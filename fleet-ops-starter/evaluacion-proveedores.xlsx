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Criterios" sheetId="2" state="visible" r:id="rId4"/>
    <sheet name="Evaluación" sheetId="3" state="visible" r:id="rId5"/>
    <sheet name="Costos" sheetId="4" state="visible" r:id="rId6"/>
    <sheet name="Preguntas" sheetId="5" state="visible" r:id="rId7"/>
    <sheet name="Pilo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<sst xmlns="http://schemas.openxmlformats.org/spreadsheetml/2006/main" count="286" uniqueCount="236">
  <si>
    <t xml:space="preserve">Evaluación de proveedores de GPS y de rutas</t>
  </si>
  <si>
    <t xml:space="preserve">Para comparar con los mismos criterios, decidir quién pasa a un piloto y dejar la decisión documentada.</t>
  </si>
  <si>
    <t xml:space="preserve">Cómo usarla, paso a paso</t>
  </si>
  <si>
    <t xml:space="preserve">1. Define criterios y pesos</t>
  </si>
  <si>
    <t xml:space="preserve">En Criterios, ajusta los pesos a lo que tu operación necesita (deben sumar 100) y marca los eliminatorios. Hazlo antes de hablar con ningún proveedor.</t>
  </si>
  <si>
    <t xml:space="preserve">2. Elige 3 candidatos</t>
  </si>
  <si>
    <t xml:space="preserve">No más de tres, para poder compararlos a fondo. Escribe sus nombres en los encabezados de Evaluación (celdas azules).</t>
  </si>
  <si>
    <t xml:space="preserve">3. Haz las mismas preguntas</t>
  </si>
  <si>
    <t xml:space="preserve">En Preguntas hay 19 preguntas. Anota la respuesta de cada proveedor y pide que muestren, no que cuenten.</t>
  </si>
  <si>
    <t xml:space="preserve">4. Califica después de cada demostración</t>
  </si>
  <si>
    <t xml:space="preserve">En Evaluación, califica de 1 a 5 con la escala de cada criterio. No esperes a la semana siguiente: se olvida.</t>
  </si>
  <si>
    <t xml:space="preserve">5. Calcula el costo</t>
  </si>
  <si>
    <t xml:space="preserve">En Costos, escribe los precios por escrito. Compara el total a 24 meses, no solo la mensualidad.</t>
  </si>
  <si>
    <t xml:space="preserve">6. Prueba al mejor en un piloto</t>
  </si>
  <si>
    <t xml:space="preserve">En Piloto, mide las mismas cosas antes y durante unas 2 semanas con 3 a 5 vehículos de tipos distintos.</t>
  </si>
  <si>
    <t xml:space="preserve">7. Decide y documenta</t>
  </si>
  <si>
    <t xml:space="preserve">Escribe la decisión y el motivo en Piloto. Así queda el argumento para tu jefe y para ti.</t>
  </si>
  <si>
    <t xml:space="preserve">Escala de calificación</t>
  </si>
  <si>
    <t xml:space="preserve">1</t>
  </si>
  <si>
    <t xml:space="preserve">No cumple.</t>
  </si>
  <si>
    <t xml:space="preserve">2</t>
  </si>
  <si>
    <t xml:space="preserve">Débil: cumple a medias o con mucho esfuerzo.</t>
  </si>
  <si>
    <t xml:space="preserve">3</t>
  </si>
  <si>
    <t xml:space="preserve">Cumple lo básico.</t>
  </si>
  <si>
    <t xml:space="preserve">4</t>
  </si>
  <si>
    <t xml:space="preserve">Bueno, con detalles menores.</t>
  </si>
  <si>
    <t xml:space="preserve">5</t>
  </si>
  <si>
    <t xml:space="preserve">Excelente: claramente mejor de lo que necesitas.</t>
  </si>
  <si>
    <t xml:space="preserve">Reglas para que la comparación sea justa</t>
  </si>
  <si>
    <t xml:space="preserve">Los mismos criterios para todos</t>
  </si>
  <si>
    <t xml:space="preserve">No cambies los pesos después de ver a los proveedores.</t>
  </si>
  <si>
    <t xml:space="preserve">Una sola persona califica</t>
  </si>
  <si>
    <t xml:space="preserve">O califiquen dos y promedien. Mezclar criterios distorsiona el resultado.</t>
  </si>
  <si>
    <t xml:space="preserve">Evidencia, no promesas</t>
  </si>
  <si>
    <t xml:space="preserve">Califica lo que viste funcionar o lo que consta por escrito.</t>
  </si>
  <si>
    <t xml:space="preserve">Eliminatorios</t>
  </si>
  <si>
    <t xml:space="preserve">Quien saque 2 o menos en un criterio eliminatorio queda descartado, aunque tenga buen puntaje total.</t>
  </si>
  <si>
    <t xml:space="preserve">El puntaje ayuda a decidir quién pasa al piloto</t>
  </si>
  <si>
    <t xml:space="preserve">La decisión final se toma con el piloto y el costo, no con el puntaje solo.</t>
  </si>
  <si>
    <t xml:space="preserve">Candidatos para investigar (no son recomendaciones)</t>
  </si>
  <si>
    <t xml:space="preserve">GPS y telemática</t>
  </si>
  <si>
    <t xml:space="preserve">Informac (producto Systrack, sobre la plataforma GpsGate; empresa dominicana), Geotab, Gurtam (Wialon, por distribuidores locales) y Samsara. La disponibilidad de Samsara en la República Dominicana no está confirmada.</t>
  </si>
  <si>
    <t xml:space="preserve">Rutas y despacho</t>
  </si>
  <si>
    <t xml:space="preserve">Routific (app del conductor en español desde febrero de 2026), OptimoRoute (app del conductor en español), Onfleet (para flotas propias de unos 3 a 50 vehículos).</t>
  </si>
  <si>
    <t xml:space="preserve">Aviso</t>
  </si>
  <si>
    <t xml:space="preserve">Esta lista sale de una investigación general. No he evaluado a estos proveedores ni verificado precios o disponibilidad en la República Dominicana: confírmalo con cada uno.</t>
  </si>
  <si>
    <t xml:space="preserve">Colores y límites</t>
  </si>
  <si>
    <t xml:space="preserve">Celda azul claro con texto azul</t>
  </si>
  <si>
    <t xml:space="preserve">Aquí escribes tú.</t>
  </si>
  <si>
    <t xml:space="preserve">Celda amarillo claro</t>
  </si>
  <si>
    <t xml:space="preserve">Ejemplo ficticio. No la tomes como un dato real.</t>
  </si>
  <si>
    <t xml:space="preserve">Celda gris</t>
  </si>
  <si>
    <t xml:space="preserve">Se calcula sola.</t>
  </si>
  <si>
    <t xml:space="preserve">Límites</t>
  </si>
  <si>
    <t xml:space="preserve">El puntaje mide lo que tú califiques. Si los criterios o los pesos no reflejan tu operación, el resultado tampoco lo hará. Revisa los pesos con tu jefe.</t>
  </si>
  <si>
    <t xml:space="preserve">Criterios y pesos</t>
  </si>
  <si>
    <t xml:space="preserve">Define los pesos ANTES de ver a los proveedores. Deben sumar 100. Los criterios marcados Sí en Eliminatorio descartan al proveedor que saque 2 o menos.</t>
  </si>
  <si>
    <t xml:space="preserve">#</t>
  </si>
  <si>
    <t xml:space="preserve">Criterio</t>
  </si>
  <si>
    <t xml:space="preserve">Qué se mide y cómo calificar (1 a 5)</t>
  </si>
  <si>
    <t xml:space="preserve">Peso (%)</t>
  </si>
  <si>
    <t xml:space="preserve">Eliminatorio</t>
  </si>
  <si>
    <t xml:space="preserve">Aplica a</t>
  </si>
  <si>
    <t xml:space="preserve">Seguimiento en vivo</t>
  </si>
  <si>
    <t xml:space="preserve">La posición se actualiza con la frecuencia suficiente y se ve claramente en el mapa. 1 = se actualiza cada varios minutos o falla; 5 = casi en tiempo real y estable.</t>
  </si>
  <si>
    <t xml:space="preserve">No</t>
  </si>
  <si>
    <t xml:space="preserve">Ambos</t>
  </si>
  <si>
    <t xml:space="preserve">Geocercas y alertas configurables</t>
  </si>
  <si>
    <t xml:space="preserve">Avisos de llegada, salida, desvío, parada larga y exceso de velocidad, a quién y por qué medio. 1 = sin alertas; 5 = alertas flexibles por WhatsApp o correo.</t>
  </si>
  <si>
    <t xml:space="preserve">GPS</t>
  </si>
  <si>
    <t xml:space="preserve">Historial y reportes</t>
  </si>
  <si>
    <t xml:space="preserve">Recorridos pasados y reportes de velocidad, frenazos, ralentí y kilómetros. 1 = casi sin reportes; 5 = completos y programables.</t>
  </si>
  <si>
    <t xml:space="preserve">Cobertura y fiabilidad en nuestras zonas</t>
  </si>
  <si>
    <t xml:space="preserve">Funciona en Santo Domingo y en las rutas largas (Santiago, Punta Cana) sin cortes frecuentes. Pídelo probado, no prometido.</t>
  </si>
  <si>
    <t xml:space="preserve">Sí</t>
  </si>
  <si>
    <t xml:space="preserve">Funciona con motos</t>
  </si>
  <si>
    <t xml:space="preserve">Rastreador pequeño o app en el teléfono del conductor, con batería y robustez razonables.</t>
  </si>
  <si>
    <t xml:space="preserve">Planificación de rutas con ventanas de tiempo</t>
  </si>
  <si>
    <t xml:space="preserve">Ordena paradas, respeta horarios prometidos y permite varios tipos de vehículo. 1 = manual; 5 = automático y ajustable.</t>
  </si>
  <si>
    <t xml:space="preserve">Rutas</t>
  </si>
  <si>
    <t xml:space="preserve">App del conductor en español y simple</t>
  </si>
  <si>
    <t xml:space="preserve">Se entiende sin capacitación larga y funciona en teléfonos comunes y con internet limitado.</t>
  </si>
  <si>
    <t xml:space="preserve">Prueba de entrega y estado de paradas</t>
  </si>
  <si>
    <t xml:space="preserve">Foto o firma y estado de cada parada (entregada, fallida, motivo).</t>
  </si>
  <si>
    <t xml:space="preserve">Hora estimada y aviso al cliente</t>
  </si>
  <si>
    <t xml:space="preserve">Calcula la hora estimada de llegada y avisa al cliente solo.</t>
  </si>
  <si>
    <t xml:space="preserve">Exportar datos</t>
  </si>
  <si>
    <t xml:space="preserve">Se pueden sacar los datos en CSV, Google Sheets o conexión (API) para tus tableros. 1 = no se puede; 5 = automático.</t>
  </si>
  <si>
    <t xml:space="preserve">Facilidad de uso para el supervisor</t>
  </si>
  <si>
    <t xml:space="preserve">Un supervisor nuevo lo domina en pocos días y encuentra rápido lo que necesita.</t>
  </si>
  <si>
    <t xml:space="preserve">Costo total</t>
  </si>
  <si>
    <t xml:space="preserve">Se puntúa con la hoja Costos: equipo, instalación y mensualidad durante 24 meses. 1 = muy caro para el valor; 5 = muy competitivo.</t>
  </si>
  <si>
    <t xml:space="preserve">Soporte local en español</t>
  </si>
  <si>
    <t xml:space="preserve">Atiende en español, en tu horario, con tiempos de respuesta claros y en la República Dominicana si es posible.</t>
  </si>
  <si>
    <t xml:space="preserve">Contrato y salida</t>
  </si>
  <si>
    <t xml:space="preserve">Plazo, permanencia, penalidad por cancelar, aumentos de precio y devolución o entrega de los datos.</t>
  </si>
  <si>
    <t xml:space="preserve">Privacidad y seguridad de datos</t>
  </si>
  <si>
    <t xml:space="preserve">Acceso por roles, dónde se guardan los datos, registro de quién ve qué, y cumplimiento de las normas aplicables.</t>
  </si>
  <si>
    <t xml:space="preserve">Suma de pesos</t>
  </si>
  <si>
    <t xml:space="preserve">Si evalúas solo GPS, pon peso 0 a los criterios que aplican a Rutas (y al revés), y reparte el peso entre los demás hasta sumar 100.</t>
  </si>
  <si>
    <t xml:space="preserve">Evaluación de proveedores</t>
  </si>
  <si>
    <t xml:space="preserve">Califica de 1 a 5 justo después de cada demostración, con evidencia. Deja en blanco lo que no hayas visto. Escribe el nombre de cada proveedor en el encabezado (celdas azules).</t>
  </si>
  <si>
    <t xml:space="preserve">Elimin.</t>
  </si>
  <si>
    <t xml:space="preserve">Ejemplo (ficticio)</t>
  </si>
  <si>
    <t xml:space="preserve">Proveedor A</t>
  </si>
  <si>
    <t xml:space="preserve">Proveedor B</t>
  </si>
  <si>
    <t xml:space="preserve">Proveedor C</t>
  </si>
  <si>
    <t xml:space="preserve">Proveedor D</t>
  </si>
  <si>
    <t xml:space="preserve">Proveedor E</t>
  </si>
  <si>
    <t xml:space="preserve">Puntaje (0 a 100)</t>
  </si>
  <si>
    <t xml:space="preserve">Posición</t>
  </si>
  <si>
    <t xml:space="preserve">-</t>
  </si>
  <si>
    <t xml:space="preserve">Criterios sin calificar</t>
  </si>
  <si>
    <t xml:space="preserve">Estado</t>
  </si>
  <si>
    <t xml:space="preserve">Cómo leer el resultado</t>
  </si>
  <si>
    <t xml:space="preserve">El puntaje es el promedio ponderado de lo calificado, convertido a 0 a 100. Los criterios sin calificar no cuentan ni suman ni restan.</t>
  </si>
  <si>
    <t xml:space="preserve">Descartado: sacó 2 o menos en un criterio eliminatorio. Aunque tenga buen puntaje, no pasa.</t>
  </si>
  <si>
    <t xml:space="preserve">Incompleto: faltan criterios por calificar; no compares su puntaje con el de otro proveedor hasta completar.</t>
  </si>
  <si>
    <t xml:space="preserve">La posición solo se calcula para proveedores en estado Evaluado (todo calificado y sin descartar). Así un proveedor a medio calificar no aparece primero.</t>
  </si>
  <si>
    <t xml:space="preserve">No uses el puntaje como única razón: úsalo para decidir quién pasa a la prueba piloto.</t>
  </si>
  <si>
    <t xml:space="preserve">Costo total por proveedor</t>
  </si>
  <si>
    <t xml:space="preserve">Pide cada precio por escrito, con impuestos incluidos. Los valores de la columna de ejemplo son ficticios.</t>
  </si>
  <si>
    <t xml:space="preserve">Número de vehículos</t>
  </si>
  <si>
    <t xml:space="preserve">Moneda</t>
  </si>
  <si>
    <t xml:space="preserve">DOP</t>
  </si>
  <si>
    <t xml:space="preserve">Concepto</t>
  </si>
  <si>
    <t xml:space="preserve">Equipo por vehículo</t>
  </si>
  <si>
    <t xml:space="preserve">Instalación por vehículo</t>
  </si>
  <si>
    <t xml:space="preserve">Mensualidad por vehículo</t>
  </si>
  <si>
    <t xml:space="preserve">Cargos fijos mensuales (plataforma, soporte)</t>
  </si>
  <si>
    <t xml:space="preserve">Meses de contrato exigidos</t>
  </si>
  <si>
    <t xml:space="preserve">Costo inicial (equipo e instalación)</t>
  </si>
  <si>
    <t xml:space="preserve">Costo mensual</t>
  </si>
  <si>
    <t xml:space="preserve">Total a 12 meses</t>
  </si>
  <si>
    <t xml:space="preserve">Total a 24 meses</t>
  </si>
  <si>
    <t xml:space="preserve">Costo por vehículo y por mes (24 meses)</t>
  </si>
  <si>
    <t xml:space="preserve">Compromiso mínimo del contrato</t>
  </si>
  <si>
    <t xml:space="preserve">Notas</t>
  </si>
  <si>
    <t xml:space="preserve">Fórmulas: costo inicial = vehículos por (equipo + instalación); costo mensual = vehículos por mensualidad + cargos fijos.</t>
  </si>
  <si>
    <t xml:space="preserve">Compara siempre el total a 24 meses, no solo la mensualidad: unos cobran más por el equipo y menos al mes, y al revés.</t>
  </si>
  <si>
    <t xml:space="preserve">Pregunta qué no está incluido (reposición de equipos dañados, cambios de vehículo, capacitación, soporte fuera de horario).</t>
  </si>
  <si>
    <t xml:space="preserve">Si el precio es en dólares, cambia la moneda arriba y usa un tipo de cambio fijo escrito en la cotización.</t>
  </si>
  <si>
    <t xml:space="preserve">Puntúa el criterio Costo total en la hoja Evaluación según estos totales y el valor que recibes.</t>
  </si>
  <si>
    <t xml:space="preserve">Preguntas para la demostración</t>
  </si>
  <si>
    <t xml:space="preserve">Haz las mismas preguntas a todos y anota la respuesta en la columna de cada proveedor. Pide que muestren, no que cuenten.</t>
  </si>
  <si>
    <t xml:space="preserve">Categoría</t>
  </si>
  <si>
    <t xml:space="preserve">Pregunta</t>
  </si>
  <si>
    <t xml:space="preserve">Por qué importa</t>
  </si>
  <si>
    <t xml:space="preserve">Equipo y cobertura</t>
  </si>
  <si>
    <t xml:space="preserve">¿Cada cuántos segundos se actualiza la posición y qué pasa cuando no hay señal?</t>
  </si>
  <si>
    <t xml:space="preserve">Define qué tan en vivo es el seguimiento y qué pasa en zonas sin cobertura.</t>
  </si>
  <si>
    <t xml:space="preserve">¿Qué equipo se instala en las motos? ¿Funciona con el teléfono del conductor? ¿Cuánto dura la batería?</t>
  </si>
  <si>
    <t xml:space="preserve">Las motos son la mayor parte de la flota.</t>
  </si>
  <si>
    <t xml:space="preserve">¿Funciona en las rutas largas (Santiago, Punta Cana)? ¿Hay tramos sin cobertura?</t>
  </si>
  <si>
    <t xml:space="preserve">Las rutas largas son las más caras de perder de vista.</t>
  </si>
  <si>
    <t xml:space="preserve">¿Cuánto tarda la instalación por vehículo y dónde se hace?</t>
  </si>
  <si>
    <t xml:space="preserve">Un vehículo parado instalándose no entrega.</t>
  </si>
  <si>
    <t xml:space="preserve">Funciones</t>
  </si>
  <si>
    <t xml:space="preserve">¿Se pueden crear geocercas y alertas (llegada, salida, desvío, parada larga, exceso de velocidad)? ¿A quién llegan y por qué medio?</t>
  </si>
  <si>
    <t xml:space="preserve">Es lo que te permite gestionar por excepción.</t>
  </si>
  <si>
    <t xml:space="preserve">¿Qué reportes trae (ralentí, frenazos, kilómetros, combustible)? ¿Se pueden programar por correo?</t>
  </si>
  <si>
    <t xml:space="preserve">Es la base del entrenamiento de conductores y del ahorro de combustible.</t>
  </si>
  <si>
    <t xml:space="preserve">¿Se puede comparar la ruta planificada con la ruta real?</t>
  </si>
  <si>
    <t xml:space="preserve">Mide si los conductores siguen el plan.</t>
  </si>
  <si>
    <t xml:space="preserve">Si es software de rutas: ¿acepta ventanas de tiempo, varios tipos de vehículo y reasignar paradas durante el día?</t>
  </si>
  <si>
    <t xml:space="preserve">Define si sirve para tu operación real.</t>
  </si>
  <si>
    <t xml:space="preserve">¿Hay prueba de entrega (foto, firma) y aviso automático al cliente?</t>
  </si>
  <si>
    <t xml:space="preserve">Reduce llamadas y disputas.</t>
  </si>
  <si>
    <t xml:space="preserve">Uso</t>
  </si>
  <si>
    <t xml:space="preserve">¿La app del conductor está en español? ¿Funciona en teléfonos básicos y con poco internet?</t>
  </si>
  <si>
    <t xml:space="preserve">Si los conductores no la usan, no hay datos.</t>
  </si>
  <si>
    <t xml:space="preserve">¿Cuánto tarda un supervisor nuevo en aprender? ¿La capacitación está incluida?</t>
  </si>
  <si>
    <t xml:space="preserve">El costo real incluye el tiempo del equipo.</t>
  </si>
  <si>
    <t xml:space="preserve">Datos</t>
  </si>
  <si>
    <t xml:space="preserve">¿Se pueden exportar los datos (CSV, Google Sheets, API)? ¿Con qué frecuencia?</t>
  </si>
  <si>
    <t xml:space="preserve">Sin exportar no puedes conectar tus tableros.</t>
  </si>
  <si>
    <t xml:space="preserve">¿Quién es dueño de los datos, cuánto tiempo se guardan y qué pasa con ellos si cancelamos?</t>
  </si>
  <si>
    <t xml:space="preserve">Evita quedar atado al proveedor.</t>
  </si>
  <si>
    <t xml:space="preserve">¿Cómo se controla quién ve qué? ¿Dónde se almacenan los datos?</t>
  </si>
  <si>
    <t xml:space="preserve">Hay datos personales de conductores.</t>
  </si>
  <si>
    <t xml:space="preserve">Negocio</t>
  </si>
  <si>
    <t xml:space="preserve">Precio completo: equipo, instalación, mensualidad por vehículo, cargos fijos e impuestos. ¿Qué no está incluido?</t>
  </si>
  <si>
    <t xml:space="preserve">Es la base de la hoja Costos.</t>
  </si>
  <si>
    <t xml:space="preserve">¿Plazo del contrato, permanencia, penalidad por cancelar y aumentos de precio?</t>
  </si>
  <si>
    <t xml:space="preserve">Define cuánto cuesta equivocarse.</t>
  </si>
  <si>
    <t xml:space="preserve">¿Soporte en español? ¿Horario, tiempo de respuesta y canal (WhatsApp, teléfono)? ¿Hay soporte en la República Dominicana?</t>
  </si>
  <si>
    <t xml:space="preserve">Cuando falla, falla en horario de operación.</t>
  </si>
  <si>
    <t xml:space="preserve">Si un equipo falla: ¿garantía, reemplazo y tiempo de reposición?</t>
  </si>
  <si>
    <t xml:space="preserve">Un equipo caído es un vehículo sin rastreo.</t>
  </si>
  <si>
    <t xml:space="preserve">Prueba</t>
  </si>
  <si>
    <t xml:space="preserve">¿Pueden darnos una prueba de 2 semanas con 3 a 5 vehículos y referencias de clientes con una flota parecida?</t>
  </si>
  <si>
    <t xml:space="preserve">La demostración muestra lo mejor; el piloto muestra la realidad.</t>
  </si>
  <si>
    <t xml:space="preserve">Prueba piloto</t>
  </si>
  <si>
    <t xml:space="preserve">Una demostración muestra lo mejor del producto. El piloto muestra cómo funciona en tu operación. Decide qué resultado esperas ANTES de empezar.</t>
  </si>
  <si>
    <t xml:space="preserve">Proveedor probado</t>
  </si>
  <si>
    <t xml:space="preserve">Ejemplo: Proveedor A</t>
  </si>
  <si>
    <t xml:space="preserve">Vehículos del piloto (mezcla de tipos)</t>
  </si>
  <si>
    <t xml:space="preserve">Ejemplo: V01 (moto), V15 (furgoneta), V21 (camión)</t>
  </si>
  <si>
    <t xml:space="preserve">Fecha de inicio</t>
  </si>
  <si>
    <t xml:space="preserve">Fecha de fin (unas 2 semanas)</t>
  </si>
  <si>
    <t xml:space="preserve">Resultado mínimo para elegirlo</t>
  </si>
  <si>
    <t xml:space="preserve">Ejemplo: reducir las llamadas a conductores a la mitad, sin fallas graves del equipo</t>
  </si>
  <si>
    <t xml:space="preserve">Medida</t>
  </si>
  <si>
    <t xml:space="preserve">Mejor si</t>
  </si>
  <si>
    <t xml:space="preserve">Antes (línea base)</t>
  </si>
  <si>
    <t xml:space="preserve">Durante el piloto</t>
  </si>
  <si>
    <t xml:space="preserve">Cambio %</t>
  </si>
  <si>
    <t xml:space="preserve">Resultado</t>
  </si>
  <si>
    <t xml:space="preserve">Cómo medirlo</t>
  </si>
  <si>
    <t xml:space="preserve">Ejemplo: llamadas a conductores por día</t>
  </si>
  <si>
    <t xml:space="preserve">Baja</t>
  </si>
  <si>
    <t xml:space="preserve">Ejemplo ficticio: borra esta fila de ejemplo o ignórala.</t>
  </si>
  <si>
    <t xml:space="preserve">Llamadas a conductores por día</t>
  </si>
  <si>
    <t xml:space="preserve">Cuenta las llamadas y mensajes de seguimiento del supervisor durante una semana antes y una durante.</t>
  </si>
  <si>
    <t xml:space="preserve">Minutos para saber dónde está cada ruta (promedio)</t>
  </si>
  <si>
    <t xml:space="preserve">Cronometra 5 veces al día cuánto tarda el supervisor en tener la posición de todas las rutas.</t>
  </si>
  <si>
    <t xml:space="preserve">Rutas atrasadas por semana</t>
  </si>
  <si>
    <t xml:space="preserve">Cuenta en la pestaña Hoy las rutas con estado Atrasada.</t>
  </si>
  <si>
    <t xml:space="preserve">Incidencias sin código de motivo por semana</t>
  </si>
  <si>
    <t xml:space="preserve">Cuenta las que aparecen marcadas en verificacion_datos.</t>
  </si>
  <si>
    <t xml:space="preserve">Minutos en armar el plan del día</t>
  </si>
  <si>
    <t xml:space="preserve">Mide cuánto tarda el supervisor en asignar y revisar las rutas cada mañana.</t>
  </si>
  <si>
    <t xml:space="preserve">Desvío de km real frente al plan (%)</t>
  </si>
  <si>
    <t xml:space="preserve">Compara km reales con km planificados de las rutas del piloto.</t>
  </si>
  <si>
    <t xml:space="preserve">Fallas técnicas del equipo o la app (cantidad)</t>
  </si>
  <si>
    <t xml:space="preserve">Anota cada falla: equipo sin señal, app que no abre, datos que no llegan.</t>
  </si>
  <si>
    <t xml:space="preserve">Satisfacción del supervisor (1 a 5)</t>
  </si>
  <si>
    <t xml:space="preserve">Sube</t>
  </si>
  <si>
    <t xml:space="preserve">Una pregunta al terminar el piloto.</t>
  </si>
  <si>
    <t xml:space="preserve">Satisfacción de los conductores (1 a 5)</t>
  </si>
  <si>
    <t xml:space="preserve">Promedio de una pregunta a cada conductor del piloto.</t>
  </si>
  <si>
    <t xml:space="preserve">Medidas que mejoraron</t>
  </si>
  <si>
    <t xml:space="preserve">Medidas que empeoraron</t>
  </si>
  <si>
    <t xml:space="preserve">Decisión</t>
  </si>
  <si>
    <t xml:space="preserve">Motivo de la decisión</t>
  </si>
  <si>
    <t xml:space="preserve">Los conteos de arriba ignoran la fila de ejemplo.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</si>
</sst>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"/>
    <numFmt numFmtId="168" formatCode="dd/mm/yyyy"/>
    <numFmt numFmtId="169" formatCode="#,##0.0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FE69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23.85" hidden="false" customHeight="false" outlineLevel="0" collapsed="false">
      <c r="B6" s="5" t="s">
        <v>3</v>
      </c>
      <c r="C6" s="6" t="s">
        <v>4</v>
      </c>
    </row>
    <row r="7" customFormat="false" ht="23.8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5" t="s">
        <v>7</v>
      </c>
      <c r="C8" s="6" t="s">
        <v>8</v>
      </c>
    </row>
    <row r="9" customFormat="false" ht="23.85" hidden="false" customHeight="false" outlineLevel="0" collapsed="false">
      <c r="B9" s="5" t="s">
        <v>9</v>
      </c>
      <c r="C9" s="6" t="s">
        <v>10</v>
      </c>
    </row>
    <row r="10" customFormat="false" ht="15" hidden="false" customHeight="false" outlineLevel="0" collapsed="false">
      <c r="B10" s="5" t="s">
        <v>11</v>
      </c>
      <c r="C10" s="6" t="s">
        <v>12</v>
      </c>
    </row>
    <row r="11" customFormat="false" ht="15" hidden="false" customHeight="false" outlineLevel="0" collapsed="false">
      <c r="B11" s="5" t="s">
        <v>13</v>
      </c>
      <c r="C11" s="6" t="s">
        <v>14</v>
      </c>
    </row>
    <row r="12" customFormat="false" ht="15" hidden="false" customHeight="false" outlineLevel="0" collapsed="false">
      <c r="B12" s="5" t="s">
        <v>15</v>
      </c>
      <c r="C12" s="6" t="s">
        <v>16</v>
      </c>
    </row>
    <row r="14" customFormat="false" ht="15" hidden="false" customHeight="false" outlineLevel="0" collapsed="false">
      <c r="B14" s="3" t="s">
        <v>17</v>
      </c>
      <c r="C14" s="4"/>
    </row>
    <row r="15" customFormat="false" ht="15" hidden="false" customHeight="false" outlineLevel="0" collapsed="false">
      <c r="B15" s="5" t="s">
        <v>18</v>
      </c>
      <c r="C15" s="6" t="s">
        <v>19</v>
      </c>
    </row>
    <row r="16" customFormat="false" ht="15" hidden="false" customHeight="false" outlineLevel="0" collapsed="false">
      <c r="B16" s="5" t="s">
        <v>20</v>
      </c>
      <c r="C16" s="6" t="s">
        <v>21</v>
      </c>
    </row>
    <row r="17" customFormat="false" ht="15" hidden="false" customHeight="false" outlineLevel="0" collapsed="false">
      <c r="B17" s="5" t="s">
        <v>22</v>
      </c>
      <c r="C17" s="6" t="s">
        <v>23</v>
      </c>
    </row>
    <row r="18" customFormat="false" ht="15" hidden="false" customHeight="false" outlineLevel="0" collapsed="false">
      <c r="B18" s="5" t="s">
        <v>24</v>
      </c>
      <c r="C18" s="6" t="s">
        <v>25</v>
      </c>
    </row>
    <row r="19" customFormat="false" ht="15" hidden="false" customHeight="false" outlineLevel="0" collapsed="false">
      <c r="B19" s="5" t="s">
        <v>26</v>
      </c>
      <c r="C19" s="6" t="s">
        <v>27</v>
      </c>
    </row>
    <row r="21" customFormat="false" ht="15" hidden="false" customHeight="false" outlineLevel="0" collapsed="false">
      <c r="B21" s="3" t="s">
        <v>28</v>
      </c>
      <c r="C21" s="4"/>
    </row>
    <row r="22" customFormat="false" ht="15" hidden="false" customHeight="false" outlineLevel="0" collapsed="false">
      <c r="B22" s="5" t="s">
        <v>29</v>
      </c>
      <c r="C22" s="6" t="s">
        <v>30</v>
      </c>
    </row>
    <row r="23" customFormat="false" ht="15" hidden="false" customHeight="false" outlineLevel="0" collapsed="false">
      <c r="B23" s="5" t="s">
        <v>31</v>
      </c>
      <c r="C23" s="6" t="s">
        <v>32</v>
      </c>
    </row>
    <row r="24" customFormat="false" ht="15" hidden="false" customHeight="false" outlineLevel="0" collapsed="false">
      <c r="B24" s="5" t="s">
        <v>33</v>
      </c>
      <c r="C24" s="6" t="s">
        <v>34</v>
      </c>
    </row>
    <row r="25" customFormat="false" ht="15" hidden="false" customHeight="false" outlineLevel="0" collapsed="false">
      <c r="B25" s="5" t="s">
        <v>35</v>
      </c>
      <c r="C25" s="6" t="s">
        <v>36</v>
      </c>
    </row>
    <row r="26" customFormat="false" ht="23.85" hidden="false" customHeight="false" outlineLevel="0" collapsed="false">
      <c r="B26" s="5" t="s">
        <v>37</v>
      </c>
      <c r="C26" s="6" t="s">
        <v>38</v>
      </c>
    </row>
    <row r="28" customFormat="false" ht="15" hidden="false" customHeight="false" outlineLevel="0" collapsed="false">
      <c r="B28" s="3" t="s">
        <v>39</v>
      </c>
      <c r="C28" s="4"/>
    </row>
    <row r="29" customFormat="false" ht="23.85" hidden="false" customHeight="false" outlineLevel="0" collapsed="false">
      <c r="B29" s="5" t="s">
        <v>40</v>
      </c>
      <c r="C29" s="6" t="s">
        <v>41</v>
      </c>
    </row>
    <row r="30" customFormat="false" ht="23.85" hidden="false" customHeight="false" outlineLevel="0" collapsed="false">
      <c r="B30" s="5" t="s">
        <v>42</v>
      </c>
      <c r="C30" s="6" t="s">
        <v>43</v>
      </c>
    </row>
    <row r="31" customFormat="false" ht="23.85" hidden="false" customHeight="false" outlineLevel="0" collapsed="false">
      <c r="B31" s="5" t="s">
        <v>44</v>
      </c>
      <c r="C31" s="6" t="s">
        <v>45</v>
      </c>
    </row>
    <row r="33" customFormat="false" ht="15" hidden="false" customHeight="false" outlineLevel="0" collapsed="false">
      <c r="B33" s="3" t="s">
        <v>46</v>
      </c>
      <c r="C33" s="4"/>
    </row>
    <row r="34" customFormat="false" ht="15" hidden="false" customHeight="false" outlineLevel="0" collapsed="false">
      <c r="B34" s="5" t="s">
        <v>47</v>
      </c>
      <c r="C34" s="6" t="s">
        <v>48</v>
      </c>
    </row>
    <row r="35" customFormat="false" ht="15" hidden="false" customHeight="false" outlineLevel="0" collapsed="false">
      <c r="B35" s="5" t="s">
        <v>49</v>
      </c>
      <c r="C35" s="6" t="s">
        <v>50</v>
      </c>
    </row>
    <row r="36" customFormat="false" ht="15" hidden="false" customHeight="false" outlineLevel="0" collapsed="false">
      <c r="B36" s="5" t="s">
        <v>51</v>
      </c>
      <c r="C36" s="6" t="s">
        <v>52</v>
      </c>
    </row>
    <row r="37" customFormat="false" ht="23.85" hidden="false" customHeight="false" outlineLevel="0" collapsed="false">
      <c r="B37" s="5" t="s">
        <v>53</v>
      </c>
      <c r="C37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</row>
    <row r="5" customFormat="false" ht="23.85" hidden="false" customHeight="false" outlineLevel="0" collapsed="false">
      <c r="A5" s="8" t="n">
        <v>1</v>
      </c>
      <c r="B5" s="9" t="s">
        <v>63</v>
      </c>
      <c r="C5" s="10" t="s">
        <v>64</v>
      </c>
      <c r="D5" s="11" t="n">
        <v>9</v>
      </c>
      <c r="E5" s="12" t="s">
        <v>65</v>
      </c>
      <c r="F5" s="12" t="s">
        <v>66</v>
      </c>
    </row>
    <row r="6" customFormat="false" ht="23.85" hidden="false" customHeight="false" outlineLevel="0" collapsed="false">
      <c r="A6" s="8" t="n">
        <v>2</v>
      </c>
      <c r="B6" s="9" t="s">
        <v>67</v>
      </c>
      <c r="C6" s="10" t="s">
        <v>68</v>
      </c>
      <c r="D6" s="11" t="n">
        <v>7</v>
      </c>
      <c r="E6" s="12" t="s">
        <v>65</v>
      </c>
      <c r="F6" s="12" t="s">
        <v>69</v>
      </c>
    </row>
    <row r="7" customFormat="false" ht="23.85" hidden="false" customHeight="false" outlineLevel="0" collapsed="false">
      <c r="A7" s="8" t="n">
        <v>3</v>
      </c>
      <c r="B7" s="9" t="s">
        <v>70</v>
      </c>
      <c r="C7" s="10" t="s">
        <v>71</v>
      </c>
      <c r="D7" s="11" t="n">
        <v>7</v>
      </c>
      <c r="E7" s="12" t="s">
        <v>65</v>
      </c>
      <c r="F7" s="12" t="s">
        <v>69</v>
      </c>
    </row>
    <row r="8" customFormat="false" ht="23.85" hidden="false" customHeight="false" outlineLevel="0" collapsed="false">
      <c r="A8" s="8" t="n">
        <v>4</v>
      </c>
      <c r="B8" s="9" t="s">
        <v>72</v>
      </c>
      <c r="C8" s="10" t="s">
        <v>73</v>
      </c>
      <c r="D8" s="11" t="n">
        <v>7</v>
      </c>
      <c r="E8" s="12" t="s">
        <v>74</v>
      </c>
      <c r="F8" s="12" t="s">
        <v>69</v>
      </c>
    </row>
    <row r="9" customFormat="false" ht="15" hidden="false" customHeight="false" outlineLevel="0" collapsed="false">
      <c r="A9" s="8" t="n">
        <v>5</v>
      </c>
      <c r="B9" s="9" t="s">
        <v>75</v>
      </c>
      <c r="C9" s="10" t="s">
        <v>76</v>
      </c>
      <c r="D9" s="11" t="n">
        <v>5</v>
      </c>
      <c r="E9" s="12" t="s">
        <v>65</v>
      </c>
      <c r="F9" s="12" t="s">
        <v>66</v>
      </c>
    </row>
    <row r="10" customFormat="false" ht="23.85" hidden="false" customHeight="false" outlineLevel="0" collapsed="false">
      <c r="A10" s="8" t="n">
        <v>6</v>
      </c>
      <c r="B10" s="9" t="s">
        <v>77</v>
      </c>
      <c r="C10" s="10" t="s">
        <v>78</v>
      </c>
      <c r="D10" s="11" t="n">
        <v>7</v>
      </c>
      <c r="E10" s="12" t="s">
        <v>65</v>
      </c>
      <c r="F10" s="12" t="s">
        <v>79</v>
      </c>
    </row>
    <row r="11" customFormat="false" ht="15" hidden="false" customHeight="false" outlineLevel="0" collapsed="false">
      <c r="A11" s="8" t="n">
        <v>7</v>
      </c>
      <c r="B11" s="9" t="s">
        <v>80</v>
      </c>
      <c r="C11" s="10" t="s">
        <v>81</v>
      </c>
      <c r="D11" s="11" t="n">
        <v>7</v>
      </c>
      <c r="E11" s="12" t="s">
        <v>74</v>
      </c>
      <c r="F11" s="12" t="s">
        <v>66</v>
      </c>
    </row>
    <row r="12" customFormat="false" ht="15" hidden="false" customHeight="false" outlineLevel="0" collapsed="false">
      <c r="A12" s="8" t="n">
        <v>8</v>
      </c>
      <c r="B12" s="9" t="s">
        <v>82</v>
      </c>
      <c r="C12" s="10" t="s">
        <v>83</v>
      </c>
      <c r="D12" s="11" t="n">
        <v>4</v>
      </c>
      <c r="E12" s="12" t="s">
        <v>65</v>
      </c>
      <c r="F12" s="12" t="s">
        <v>79</v>
      </c>
    </row>
    <row r="13" customFormat="false" ht="15" hidden="false" customHeight="false" outlineLevel="0" collapsed="false">
      <c r="A13" s="8" t="n">
        <v>9</v>
      </c>
      <c r="B13" s="9" t="s">
        <v>84</v>
      </c>
      <c r="C13" s="10" t="s">
        <v>85</v>
      </c>
      <c r="D13" s="11" t="n">
        <v>3</v>
      </c>
      <c r="E13" s="12" t="s">
        <v>65</v>
      </c>
      <c r="F13" s="12" t="s">
        <v>79</v>
      </c>
    </row>
    <row r="14" customFormat="false" ht="23.85" hidden="false" customHeight="false" outlineLevel="0" collapsed="false">
      <c r="A14" s="8" t="n">
        <v>10</v>
      </c>
      <c r="B14" s="9" t="s">
        <v>86</v>
      </c>
      <c r="C14" s="10" t="s">
        <v>87</v>
      </c>
      <c r="D14" s="11" t="n">
        <v>7</v>
      </c>
      <c r="E14" s="12" t="s">
        <v>74</v>
      </c>
      <c r="F14" s="12" t="s">
        <v>66</v>
      </c>
    </row>
    <row r="15" customFormat="false" ht="15" hidden="false" customHeight="false" outlineLevel="0" collapsed="false">
      <c r="A15" s="8" t="n">
        <v>11</v>
      </c>
      <c r="B15" s="9" t="s">
        <v>88</v>
      </c>
      <c r="C15" s="10" t="s">
        <v>89</v>
      </c>
      <c r="D15" s="11" t="n">
        <v>7</v>
      </c>
      <c r="E15" s="12" t="s">
        <v>65</v>
      </c>
      <c r="F15" s="12" t="s">
        <v>66</v>
      </c>
    </row>
    <row r="16" customFormat="false" ht="23.85" hidden="false" customHeight="false" outlineLevel="0" collapsed="false">
      <c r="A16" s="8" t="n">
        <v>12</v>
      </c>
      <c r="B16" s="9" t="s">
        <v>90</v>
      </c>
      <c r="C16" s="10" t="s">
        <v>91</v>
      </c>
      <c r="D16" s="11" t="n">
        <v>12</v>
      </c>
      <c r="E16" s="12" t="s">
        <v>65</v>
      </c>
      <c r="F16" s="12" t="s">
        <v>66</v>
      </c>
    </row>
    <row r="17" customFormat="false" ht="23.85" hidden="false" customHeight="false" outlineLevel="0" collapsed="false">
      <c r="A17" s="8" t="n">
        <v>13</v>
      </c>
      <c r="B17" s="9" t="s">
        <v>92</v>
      </c>
      <c r="C17" s="10" t="s">
        <v>93</v>
      </c>
      <c r="D17" s="11" t="n">
        <v>8</v>
      </c>
      <c r="E17" s="12" t="s">
        <v>74</v>
      </c>
      <c r="F17" s="12" t="s">
        <v>66</v>
      </c>
    </row>
    <row r="18" customFormat="false" ht="23.85" hidden="false" customHeight="false" outlineLevel="0" collapsed="false">
      <c r="A18" s="8" t="n">
        <v>14</v>
      </c>
      <c r="B18" s="9" t="s">
        <v>94</v>
      </c>
      <c r="C18" s="10" t="s">
        <v>95</v>
      </c>
      <c r="D18" s="11" t="n">
        <v>5</v>
      </c>
      <c r="E18" s="12" t="s">
        <v>65</v>
      </c>
      <c r="F18" s="12" t="s">
        <v>66</v>
      </c>
    </row>
    <row r="19" customFormat="false" ht="23.85" hidden="false" customHeight="false" outlineLevel="0" collapsed="false">
      <c r="A19" s="8" t="n">
        <v>15</v>
      </c>
      <c r="B19" s="9" t="s">
        <v>96</v>
      </c>
      <c r="C19" s="10" t="s">
        <v>97</v>
      </c>
      <c r="D19" s="11" t="n">
        <v>5</v>
      </c>
      <c r="E19" s="12" t="s">
        <v>65</v>
      </c>
      <c r="F19" s="12" t="s">
        <v>66</v>
      </c>
    </row>
    <row r="20" customFormat="false" ht="15" hidden="false" customHeight="false" outlineLevel="0" collapsed="false">
      <c r="B20" s="13" t="s">
        <v>98</v>
      </c>
      <c r="C20" s="14" t="str">
        <f aca="false">IF(D20=100,"Correcto: suma 100","Revisa: los pesos deben sumar 100")</f>
        <v>Correcto: suma 100</v>
      </c>
      <c r="D20" s="15" t="n">
        <f aca="false">SUM(D5:D19)</f>
        <v>100</v>
      </c>
    </row>
    <row r="22" customFormat="false" ht="15" hidden="false" customHeight="false" outlineLevel="0" collapsed="false">
      <c r="B22" s="2" t="s">
        <v>99</v>
      </c>
    </row>
  </sheetData>
  <conditionalFormatting sqref="C20:D20">
    <cfRule type="expression" priority="2" aboveAverage="0" equalAverage="0" bottom="0" percent="0" rank="0" text="" dxfId="0">
      <formula>$D$20&lt;&gt;100</formula>
    </cfRule>
  </conditionalFormatting>
  <dataValidations count="3">
    <dataValidation allowBlank="false" error="Elige un valor de la lista." errorStyle="stop" errorTitle="Valor no permitido" operator="between" showDropDown="false" showErrorMessage="true" showInputMessage="false" sqref="E5:E19" type="list">
      <formula1>"Sí,No"</formula1>
      <formula2>0</formula2>
    </dataValidation>
    <dataValidation allowBlank="false" error="Elige un valor de la lista." errorStyle="stop" errorTitle="Valor no permitido" operator="between" showDropDown="false" showErrorMessage="true" showInputMessage="false" sqref="F5:F19" type="list">
      <formula1>"GPS,Rutas,Ambos"</formula1>
      <formula2>0</formula2>
    </dataValidation>
    <dataValidation allowBlank="false" error="Escribe un número entre 0 y 100." errorStyle="stop" errorTitle="Peso no válido" operator="between" showDropDown="false" showErrorMessage="true" showInputMessage="false" sqref="D5:D19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9" min="4" style="0" width="17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0" hidden="false" customHeight="true" outlineLevel="0" collapsed="false">
      <c r="A4" s="7" t="s">
        <v>58</v>
      </c>
      <c r="B4" s="7" t="s">
        <v>60</v>
      </c>
      <c r="C4" s="7" t="s">
        <v>102</v>
      </c>
      <c r="D4" s="7" t="s">
        <v>103</v>
      </c>
      <c r="E4" s="16" t="s">
        <v>104</v>
      </c>
      <c r="F4" s="16" t="s">
        <v>105</v>
      </c>
      <c r="G4" s="16" t="s">
        <v>106</v>
      </c>
      <c r="H4" s="16" t="s">
        <v>107</v>
      </c>
      <c r="I4" s="16" t="s">
        <v>108</v>
      </c>
    </row>
    <row r="5" customFormat="false" ht="15" hidden="false" customHeight="false" outlineLevel="0" collapsed="false">
      <c r="A5" s="10" t="str">
        <f aca="false">Criterios!B5</f>
        <v>Seguimiento en vivo</v>
      </c>
      <c r="B5" s="17" t="n">
        <f aca="false">Criterios!D5</f>
        <v>9</v>
      </c>
      <c r="C5" s="18" t="str">
        <f aca="false">Criterios!E5</f>
        <v>No</v>
      </c>
      <c r="D5" s="19" t="n">
        <v>4</v>
      </c>
      <c r="E5" s="20"/>
      <c r="F5" s="20"/>
      <c r="G5" s="20"/>
      <c r="H5" s="20"/>
      <c r="I5" s="20"/>
    </row>
    <row r="6" customFormat="false" ht="15" hidden="false" customHeight="false" outlineLevel="0" collapsed="false">
      <c r="A6" s="10" t="str">
        <f aca="false">Criterios!B6</f>
        <v>Geocercas y alertas configurables</v>
      </c>
      <c r="B6" s="17" t="n">
        <f aca="false">Criterios!D6</f>
        <v>7</v>
      </c>
      <c r="C6" s="18" t="str">
        <f aca="false">Criterios!E6</f>
        <v>No</v>
      </c>
      <c r="D6" s="19" t="n">
        <v>3</v>
      </c>
      <c r="E6" s="20"/>
      <c r="F6" s="20"/>
      <c r="G6" s="20"/>
      <c r="H6" s="20"/>
      <c r="I6" s="20"/>
    </row>
    <row r="7" customFormat="false" ht="15" hidden="false" customHeight="false" outlineLevel="0" collapsed="false">
      <c r="A7" s="10" t="str">
        <f aca="false">Criterios!B7</f>
        <v>Historial y reportes</v>
      </c>
      <c r="B7" s="17" t="n">
        <f aca="false">Criterios!D7</f>
        <v>7</v>
      </c>
      <c r="C7" s="18" t="str">
        <f aca="false">Criterios!E7</f>
        <v>No</v>
      </c>
      <c r="D7" s="19" t="n">
        <v>4</v>
      </c>
      <c r="E7" s="20"/>
      <c r="F7" s="20"/>
      <c r="G7" s="20"/>
      <c r="H7" s="20"/>
      <c r="I7" s="20"/>
    </row>
    <row r="8" customFormat="false" ht="15" hidden="false" customHeight="false" outlineLevel="0" collapsed="false">
      <c r="A8" s="10" t="str">
        <f aca="false">Criterios!B8</f>
        <v>Cobertura y fiabilidad en nuestras zonas</v>
      </c>
      <c r="B8" s="17" t="n">
        <f aca="false">Criterios!D8</f>
        <v>7</v>
      </c>
      <c r="C8" s="18" t="str">
        <f aca="false">Criterios!E8</f>
        <v>Sí</v>
      </c>
      <c r="D8" s="19" t="n">
        <v>3</v>
      </c>
      <c r="E8" s="20"/>
      <c r="F8" s="20"/>
      <c r="G8" s="20"/>
      <c r="H8" s="20"/>
      <c r="I8" s="20"/>
    </row>
    <row r="9" customFormat="false" ht="15" hidden="false" customHeight="false" outlineLevel="0" collapsed="false">
      <c r="A9" s="10" t="str">
        <f aca="false">Criterios!B9</f>
        <v>Funciona con motos</v>
      </c>
      <c r="B9" s="17" t="n">
        <f aca="false">Criterios!D9</f>
        <v>5</v>
      </c>
      <c r="C9" s="18" t="str">
        <f aca="false">Criterios!E9</f>
        <v>No</v>
      </c>
      <c r="D9" s="19" t="n">
        <v>5</v>
      </c>
      <c r="E9" s="20"/>
      <c r="F9" s="20"/>
      <c r="G9" s="20"/>
      <c r="H9" s="20"/>
      <c r="I9" s="20"/>
    </row>
    <row r="10" customFormat="false" ht="15" hidden="false" customHeight="false" outlineLevel="0" collapsed="false">
      <c r="A10" s="10" t="str">
        <f aca="false">Criterios!B10</f>
        <v>Planificación de rutas con ventanas de tiempo</v>
      </c>
      <c r="B10" s="17" t="n">
        <f aca="false">Criterios!D10</f>
        <v>7</v>
      </c>
      <c r="C10" s="18" t="str">
        <f aca="false">Criterios!E10</f>
        <v>No</v>
      </c>
      <c r="D10" s="19" t="n">
        <v>4</v>
      </c>
      <c r="E10" s="20"/>
      <c r="F10" s="20"/>
      <c r="G10" s="20"/>
      <c r="H10" s="20"/>
      <c r="I10" s="20"/>
    </row>
    <row r="11" customFormat="false" ht="15" hidden="false" customHeight="false" outlineLevel="0" collapsed="false">
      <c r="A11" s="10" t="str">
        <f aca="false">Criterios!B11</f>
        <v>App del conductor en español y simple</v>
      </c>
      <c r="B11" s="17" t="n">
        <f aca="false">Criterios!D11</f>
        <v>7</v>
      </c>
      <c r="C11" s="18" t="str">
        <f aca="false">Criterios!E11</f>
        <v>Sí</v>
      </c>
      <c r="D11" s="19" t="n">
        <v>5</v>
      </c>
      <c r="E11" s="20"/>
      <c r="F11" s="20"/>
      <c r="G11" s="20"/>
      <c r="H11" s="20"/>
      <c r="I11" s="20"/>
    </row>
    <row r="12" customFormat="false" ht="15" hidden="false" customHeight="false" outlineLevel="0" collapsed="false">
      <c r="A12" s="10" t="str">
        <f aca="false">Criterios!B12</f>
        <v>Prueba de entrega y estado de paradas</v>
      </c>
      <c r="B12" s="17" t="n">
        <f aca="false">Criterios!D12</f>
        <v>4</v>
      </c>
      <c r="C12" s="18" t="str">
        <f aca="false">Criterios!E12</f>
        <v>No</v>
      </c>
      <c r="D12" s="19" t="n">
        <v>3</v>
      </c>
      <c r="E12" s="20"/>
      <c r="F12" s="20"/>
      <c r="G12" s="20"/>
      <c r="H12" s="20"/>
      <c r="I12" s="20"/>
    </row>
    <row r="13" customFormat="false" ht="15" hidden="false" customHeight="false" outlineLevel="0" collapsed="false">
      <c r="A13" s="10" t="str">
        <f aca="false">Criterios!B13</f>
        <v>Hora estimada y aviso al cliente</v>
      </c>
      <c r="B13" s="17" t="n">
        <f aca="false">Criterios!D13</f>
        <v>3</v>
      </c>
      <c r="C13" s="18" t="str">
        <f aca="false">Criterios!E13</f>
        <v>No</v>
      </c>
      <c r="D13" s="19" t="n">
        <v>3</v>
      </c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10" t="str">
        <f aca="false">Criterios!B14</f>
        <v>Exportar datos</v>
      </c>
      <c r="B14" s="17" t="n">
        <f aca="false">Criterios!D14</f>
        <v>7</v>
      </c>
      <c r="C14" s="18" t="str">
        <f aca="false">Criterios!E14</f>
        <v>Sí</v>
      </c>
      <c r="D14" s="19" t="n">
        <v>4</v>
      </c>
      <c r="E14" s="20"/>
      <c r="F14" s="20"/>
      <c r="G14" s="20"/>
      <c r="H14" s="20"/>
      <c r="I14" s="20"/>
    </row>
    <row r="15" customFormat="false" ht="15" hidden="false" customHeight="false" outlineLevel="0" collapsed="false">
      <c r="A15" s="10" t="str">
        <f aca="false">Criterios!B15</f>
        <v>Facilidad de uso para el supervisor</v>
      </c>
      <c r="B15" s="17" t="n">
        <f aca="false">Criterios!D15</f>
        <v>7</v>
      </c>
      <c r="C15" s="18" t="str">
        <f aca="false">Criterios!E15</f>
        <v>No</v>
      </c>
      <c r="D15" s="19" t="n">
        <v>4</v>
      </c>
      <c r="E15" s="20"/>
      <c r="F15" s="20"/>
      <c r="G15" s="20"/>
      <c r="H15" s="20"/>
      <c r="I15" s="20"/>
    </row>
    <row r="16" customFormat="false" ht="15" hidden="false" customHeight="false" outlineLevel="0" collapsed="false">
      <c r="A16" s="10" t="str">
        <f aca="false">Criterios!B16</f>
        <v>Costo total</v>
      </c>
      <c r="B16" s="17" t="n">
        <f aca="false">Criterios!D16</f>
        <v>12</v>
      </c>
      <c r="C16" s="18" t="str">
        <f aca="false">Criterios!E16</f>
        <v>No</v>
      </c>
      <c r="D16" s="19" t="n">
        <v>3</v>
      </c>
      <c r="E16" s="20"/>
      <c r="F16" s="20"/>
      <c r="G16" s="20"/>
      <c r="H16" s="20"/>
      <c r="I16" s="20"/>
    </row>
    <row r="17" customFormat="false" ht="15" hidden="false" customHeight="false" outlineLevel="0" collapsed="false">
      <c r="A17" s="10" t="str">
        <f aca="false">Criterios!B17</f>
        <v>Soporte local en español</v>
      </c>
      <c r="B17" s="17" t="n">
        <f aca="false">Criterios!D17</f>
        <v>8</v>
      </c>
      <c r="C17" s="18" t="str">
        <f aca="false">Criterios!E17</f>
        <v>Sí</v>
      </c>
      <c r="D17" s="19" t="n">
        <v>4</v>
      </c>
      <c r="E17" s="20"/>
      <c r="F17" s="20"/>
      <c r="G17" s="20"/>
      <c r="H17" s="20"/>
      <c r="I17" s="20"/>
    </row>
    <row r="18" customFormat="false" ht="15" hidden="false" customHeight="false" outlineLevel="0" collapsed="false">
      <c r="A18" s="10" t="str">
        <f aca="false">Criterios!B18</f>
        <v>Contrato y salida</v>
      </c>
      <c r="B18" s="17" t="n">
        <f aca="false">Criterios!D18</f>
        <v>5</v>
      </c>
      <c r="C18" s="18" t="str">
        <f aca="false">Criterios!E18</f>
        <v>No</v>
      </c>
      <c r="D18" s="19" t="n">
        <v>3</v>
      </c>
      <c r="E18" s="20"/>
      <c r="F18" s="20"/>
      <c r="G18" s="20"/>
      <c r="H18" s="20"/>
      <c r="I18" s="20"/>
    </row>
    <row r="19" customFormat="false" ht="15" hidden="false" customHeight="false" outlineLevel="0" collapsed="false">
      <c r="A19" s="10" t="str">
        <f aca="false">Criterios!B19</f>
        <v>Privacidad y seguridad de datos</v>
      </c>
      <c r="B19" s="17" t="n">
        <f aca="false">Criterios!D19</f>
        <v>5</v>
      </c>
      <c r="C19" s="18" t="str">
        <f aca="false">Criterios!E19</f>
        <v>No</v>
      </c>
      <c r="D19" s="19" t="n">
        <v>4</v>
      </c>
      <c r="E19" s="20"/>
      <c r="F19" s="20"/>
      <c r="G19" s="20"/>
      <c r="H19" s="20"/>
      <c r="I19" s="20"/>
    </row>
    <row r="21" customFormat="false" ht="15" hidden="false" customHeight="false" outlineLevel="0" collapsed="false">
      <c r="A21" s="21" t="s">
        <v>109</v>
      </c>
      <c r="B21" s="22"/>
      <c r="C21" s="22"/>
      <c r="D21" s="23" t="n">
        <f aca="false">IF(SUMPRODUCT($B$5:$B$19*(D5:D19&lt;&gt;""))=0,"",SUMPRODUCT($B$5:$B$19*(D5:D19&lt;&gt;"")*D5:D19)/(5*SUMPRODUCT($B$5:$B$19*(D5:D19&lt;&gt;"")))*100)</f>
        <v>74.8</v>
      </c>
      <c r="E21" s="23" t="str">
        <f aca="false">IF(SUMPRODUCT($B$5:$B$19*(E5:E19&lt;&gt;""))=0,"",SUMPRODUCT($B$5:$B$19*(E5:E19&lt;&gt;"")*E5:E19)/(5*SUMPRODUCT($B$5:$B$19*(E5:E19&lt;&gt;"")))*100)</f>
        <v/>
      </c>
      <c r="F21" s="23" t="str">
        <f aca="false">IF(SUMPRODUCT($B$5:$B$19*(F5:F19&lt;&gt;""))=0,"",SUMPRODUCT($B$5:$B$19*(F5:F19&lt;&gt;"")*F5:F19)/(5*SUMPRODUCT($B$5:$B$19*(F5:F19&lt;&gt;"")))*100)</f>
        <v/>
      </c>
      <c r="G21" s="23" t="str">
        <f aca="false">IF(SUMPRODUCT($B$5:$B$19*(G5:G19&lt;&gt;""))=0,"",SUMPRODUCT($B$5:$B$19*(G5:G19&lt;&gt;"")*G5:G19)/(5*SUMPRODUCT($B$5:$B$19*(G5:G19&lt;&gt;"")))*100)</f>
        <v/>
      </c>
      <c r="H21" s="23" t="str">
        <f aca="false">IF(SUMPRODUCT($B$5:$B$19*(H5:H19&lt;&gt;""))=0,"",SUMPRODUCT($B$5:$B$19*(H5:H19&lt;&gt;"")*H5:H19)/(5*SUMPRODUCT($B$5:$B$19*(H5:H19&lt;&gt;"")))*100)</f>
        <v/>
      </c>
      <c r="I21" s="23" t="str">
        <f aca="false">IF(SUMPRODUCT($B$5:$B$19*(I5:I19&lt;&gt;""))=0,"",SUMPRODUCT($B$5:$B$19*(I5:I19&lt;&gt;"")*I5:I19)/(5*SUMPRODUCT($B$5:$B$19*(I5:I19&lt;&gt;"")))*100)</f>
        <v/>
      </c>
    </row>
    <row r="22" customFormat="false" ht="15" hidden="false" customHeight="false" outlineLevel="0" collapsed="false">
      <c r="A22" s="21" t="s">
        <v>110</v>
      </c>
      <c r="B22" s="22"/>
      <c r="C22" s="22"/>
      <c r="D22" s="24" t="s">
        <v>111</v>
      </c>
      <c r="E22" s="25" t="str">
        <f aca="false">IF(E24="Evaluado",1+COUNTIFS($E$24:$I$24,"Evaluado",$E$21:$I$21,"&gt;"&amp;E21),"-")</f>
        <v>-</v>
      </c>
      <c r="F22" s="25" t="str">
        <f aca="false">IF(F24="Evaluado",1+COUNTIFS($E$24:$I$24,"Evaluado",$E$21:$I$21,"&gt;"&amp;F21),"-")</f>
        <v>-</v>
      </c>
      <c r="G22" s="25" t="str">
        <f aca="false">IF(G24="Evaluado",1+COUNTIFS($E$24:$I$24,"Evaluado",$E$21:$I$21,"&gt;"&amp;G21),"-")</f>
        <v>-</v>
      </c>
      <c r="H22" s="25" t="str">
        <f aca="false">IF(H24="Evaluado",1+COUNTIFS($E$24:$I$24,"Evaluado",$E$21:$I$21,"&gt;"&amp;H21),"-")</f>
        <v>-</v>
      </c>
      <c r="I22" s="25" t="str">
        <f aca="false">IF(I24="Evaluado",1+COUNTIFS($E$24:$I$24,"Evaluado",$E$21:$I$21,"&gt;"&amp;I21),"-")</f>
        <v>-</v>
      </c>
    </row>
    <row r="23" customFormat="false" ht="15" hidden="false" customHeight="false" outlineLevel="0" collapsed="false">
      <c r="A23" s="21" t="s">
        <v>112</v>
      </c>
      <c r="B23" s="22"/>
      <c r="C23" s="22"/>
      <c r="D23" s="18" t="n">
        <f aca="false">COUNTBLANK(D5:D19)</f>
        <v>0</v>
      </c>
      <c r="E23" s="18" t="n">
        <f aca="false">COUNTBLANK(E5:E19)</f>
        <v>15</v>
      </c>
      <c r="F23" s="18" t="n">
        <f aca="false">COUNTBLANK(F5:F19)</f>
        <v>15</v>
      </c>
      <c r="G23" s="18" t="n">
        <f aca="false">COUNTBLANK(G5:G19)</f>
        <v>15</v>
      </c>
      <c r="H23" s="18" t="n">
        <f aca="false">COUNTBLANK(H5:H19)</f>
        <v>15</v>
      </c>
      <c r="I23" s="18" t="n">
        <f aca="false">COUNTBLANK(I5:I19)</f>
        <v>15</v>
      </c>
    </row>
    <row r="24" customFormat="false" ht="15" hidden="false" customHeight="false" outlineLevel="0" collapsed="false">
      <c r="A24" s="21" t="s">
        <v>113</v>
      </c>
      <c r="B24" s="22"/>
      <c r="C24" s="22"/>
      <c r="D24" s="25" t="str">
        <f aca="false">IF(D23=15,"Sin datos",IF(SUMPRODUCT(($C$5:$C$19="Sí")*(D5:D19&lt;&gt;"")*(D5:D19&lt;=2))&gt;0,"Descartado",IF(D23&gt;0,"Incompleto","Evaluado")))</f>
        <v>Evaluado</v>
      </c>
      <c r="E24" s="25" t="str">
        <f aca="false">IF(E23=15,"Sin datos",IF(SUMPRODUCT(($C$5:$C$19="Sí")*(E5:E19&lt;&gt;"")*(E5:E19&lt;=2))&gt;0,"Descartado",IF(E23&gt;0,"Incompleto","Evaluado")))</f>
        <v>Sin datos</v>
      </c>
      <c r="F24" s="25" t="str">
        <f aca="false">IF(F23=15,"Sin datos",IF(SUMPRODUCT(($C$5:$C$19="Sí")*(F5:F19&lt;&gt;"")*(F5:F19&lt;=2))&gt;0,"Descartado",IF(F23&gt;0,"Incompleto","Evaluado")))</f>
        <v>Sin datos</v>
      </c>
      <c r="G24" s="25" t="str">
        <f aca="false">IF(G23=15,"Sin datos",IF(SUMPRODUCT(($C$5:$C$19="Sí")*(G5:G19&lt;&gt;"")*(G5:G19&lt;=2))&gt;0,"Descartado",IF(G23&gt;0,"Incompleto","Evaluado")))</f>
        <v>Sin datos</v>
      </c>
      <c r="H24" s="25" t="str">
        <f aca="false">IF(H23=15,"Sin datos",IF(SUMPRODUCT(($C$5:$C$19="Sí")*(H5:H19&lt;&gt;"")*(H5:H19&lt;=2))&gt;0,"Descartado",IF(H23&gt;0,"Incompleto","Evaluado")))</f>
        <v>Sin datos</v>
      </c>
      <c r="I24" s="25" t="str">
        <f aca="false">IF(I23=15,"Sin datos",IF(SUMPRODUCT(($C$5:$C$19="Sí")*(I5:I19&lt;&gt;"")*(I5:I19&lt;=2))&gt;0,"Descartado",IF(I23&gt;0,"Incompleto","Evaluado")))</f>
        <v>Sin datos</v>
      </c>
    </row>
    <row r="25" customFormat="false" ht="15" hidden="false" customHeight="false" outlineLevel="0" collapsed="false">
      <c r="A25" s="2" t="s">
        <v>98</v>
      </c>
      <c r="B25" s="26" t="n">
        <f aca="false">SUM(B5:B19)</f>
        <v>100</v>
      </c>
      <c r="C25" s="27" t="str">
        <f aca="false">IF(B25=100,"","Los pesos no suman 100: corrige en Criterios")</f>
        <v/>
      </c>
    </row>
    <row r="27" customFormat="false" ht="15" hidden="false" customHeight="false" outlineLevel="0" collapsed="false">
      <c r="A27" s="28" t="s">
        <v>114</v>
      </c>
    </row>
    <row r="28" customFormat="false" ht="15" hidden="false" customHeight="false" outlineLevel="0" collapsed="false">
      <c r="A28" s="29" t="s">
        <v>115</v>
      </c>
    </row>
    <row r="29" customFormat="false" ht="15" hidden="false" customHeight="false" outlineLevel="0" collapsed="false">
      <c r="A29" s="29" t="s">
        <v>116</v>
      </c>
    </row>
    <row r="30" customFormat="false" ht="15" hidden="false" customHeight="false" outlineLevel="0" collapsed="false">
      <c r="A30" s="29" t="s">
        <v>117</v>
      </c>
    </row>
    <row r="31" customFormat="false" ht="15" hidden="false" customHeight="false" outlineLevel="0" collapsed="false">
      <c r="A31" s="29" t="s">
        <v>118</v>
      </c>
    </row>
    <row r="32" customFormat="false" ht="15" hidden="false" customHeight="false" outlineLevel="0" collapsed="false">
      <c r="A32" s="29" t="s">
        <v>119</v>
      </c>
    </row>
  </sheetData>
  <conditionalFormatting sqref="D24:I24">
    <cfRule type="cellIs" priority="2" operator="equal" aboveAverage="0" equalAverage="0" bottom="0" percent="0" rank="0" text="" dxfId="1">
      <formula>"Descartado"</formula>
    </cfRule>
    <cfRule type="cellIs" priority="3" operator="equal" aboveAverage="0" equalAverage="0" bottom="0" percent="0" rank="0" text="" dxfId="2">
      <formula>"Evaluado"</formula>
    </cfRule>
    <cfRule type="cellIs" priority="4" operator="equal" aboveAverage="0" equalAverage="0" bottom="0" percent="0" rank="0" text="" dxfId="3">
      <formula>"Incompleto"</formula>
    </cfRule>
  </conditionalFormatting>
  <conditionalFormatting sqref="E22:I22">
    <cfRule type="cellIs" priority="5" operator="equal" aboveAverage="0" equalAverage="0" bottom="0" percent="0" rank="0" text="" dxfId="2">
      <formula>1</formula>
    </cfRule>
  </conditionalFormatting>
  <dataValidations count="1">
    <dataValidation allowBlank="true" error="Escribe un número entero del 1 al 5 o deja la celda vacía." errorStyle="stop" errorTitle="Califica de 1 a 5" operator="between" showDropDown="false" showErrorMessage="true" showInputMessage="false" sqref="D5:I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13" t="s">
        <v>122</v>
      </c>
      <c r="B4" s="30" t="n">
        <v>24</v>
      </c>
    </row>
    <row r="5" customFormat="false" ht="15" hidden="false" customHeight="false" outlineLevel="0" collapsed="false">
      <c r="A5" s="13" t="s">
        <v>123</v>
      </c>
      <c r="B5" s="31" t="s">
        <v>124</v>
      </c>
    </row>
    <row r="7" customFormat="false" ht="15" hidden="false" customHeight="false" outlineLevel="0" collapsed="false">
      <c r="A7" s="7" t="s">
        <v>125</v>
      </c>
      <c r="B7" s="7" t="s">
        <v>103</v>
      </c>
      <c r="C7" s="16" t="str">
        <f aca="false">Evaluación!E4</f>
        <v>Proveedor A</v>
      </c>
      <c r="D7" s="16" t="str">
        <f aca="false">Evaluación!F4</f>
        <v>Proveedor B</v>
      </c>
      <c r="E7" s="16" t="str">
        <f aca="false">Evaluación!G4</f>
        <v>Proveedor C</v>
      </c>
      <c r="F7" s="16" t="str">
        <f aca="false">Evaluación!H4</f>
        <v>Proveedor D</v>
      </c>
      <c r="G7" s="16" t="str">
        <f aca="false">Evaluación!I4</f>
        <v>Proveedor E</v>
      </c>
    </row>
    <row r="8" customFormat="false" ht="15" hidden="false" customHeight="false" outlineLevel="0" collapsed="false">
      <c r="A8" s="8" t="s">
        <v>126</v>
      </c>
      <c r="B8" s="32" t="n">
        <v>3500</v>
      </c>
      <c r="C8" s="33"/>
      <c r="D8" s="33"/>
      <c r="E8" s="33"/>
      <c r="F8" s="33"/>
      <c r="G8" s="33"/>
    </row>
    <row r="9" customFormat="false" ht="15" hidden="false" customHeight="false" outlineLevel="0" collapsed="false">
      <c r="A9" s="8" t="s">
        <v>127</v>
      </c>
      <c r="B9" s="32" t="n">
        <v>800</v>
      </c>
      <c r="C9" s="33"/>
      <c r="D9" s="33"/>
      <c r="E9" s="33"/>
      <c r="F9" s="33"/>
      <c r="G9" s="33"/>
    </row>
    <row r="10" customFormat="false" ht="15" hidden="false" customHeight="false" outlineLevel="0" collapsed="false">
      <c r="A10" s="8" t="s">
        <v>128</v>
      </c>
      <c r="B10" s="32" t="n">
        <v>650</v>
      </c>
      <c r="C10" s="33"/>
      <c r="D10" s="33"/>
      <c r="E10" s="33"/>
      <c r="F10" s="33"/>
      <c r="G10" s="33"/>
    </row>
    <row r="11" customFormat="false" ht="15" hidden="false" customHeight="false" outlineLevel="0" collapsed="false">
      <c r="A11" s="8" t="s">
        <v>129</v>
      </c>
      <c r="B11" s="32" t="n">
        <v>2000</v>
      </c>
      <c r="C11" s="33"/>
      <c r="D11" s="33"/>
      <c r="E11" s="33"/>
      <c r="F11" s="33"/>
      <c r="G11" s="33"/>
    </row>
    <row r="12" customFormat="false" ht="15" hidden="false" customHeight="false" outlineLevel="0" collapsed="false">
      <c r="A12" s="8" t="s">
        <v>130</v>
      </c>
      <c r="B12" s="32" t="n">
        <v>12</v>
      </c>
      <c r="C12" s="33"/>
      <c r="D12" s="33"/>
      <c r="E12" s="33"/>
      <c r="F12" s="33"/>
      <c r="G12" s="33"/>
    </row>
    <row r="13" customFormat="false" ht="15" hidden="false" customHeight="false" outlineLevel="0" collapsed="false">
      <c r="A13" s="21" t="s">
        <v>131</v>
      </c>
      <c r="B13" s="34" t="n">
        <f aca="false">IF(COUNT(B8:B11)&lt;4,"",$B$4*(B8+B9))</f>
        <v>103200</v>
      </c>
      <c r="C13" s="35" t="str">
        <f aca="false">IF(COUNT(C8:C11)&lt;4,"",$B$4*(C8+C9))</f>
        <v/>
      </c>
      <c r="D13" s="35" t="str">
        <f aca="false">IF(COUNT(D8:D11)&lt;4,"",$B$4*(D8+D9))</f>
        <v/>
      </c>
      <c r="E13" s="35" t="str">
        <f aca="false">IF(COUNT(E8:E11)&lt;4,"",$B$4*(E8+E9))</f>
        <v/>
      </c>
      <c r="F13" s="35" t="str">
        <f aca="false">IF(COUNT(F8:F11)&lt;4,"",$B$4*(F8+F9))</f>
        <v/>
      </c>
      <c r="G13" s="35" t="str">
        <f aca="false">IF(COUNT(G8:G11)&lt;4,"",$B$4*(G8+G9))</f>
        <v/>
      </c>
    </row>
    <row r="14" customFormat="false" ht="15" hidden="false" customHeight="false" outlineLevel="0" collapsed="false">
      <c r="A14" s="21" t="s">
        <v>132</v>
      </c>
      <c r="B14" s="34" t="n">
        <f aca="false">IF(COUNT(B8:B11)&lt;4,"",$B$4*B10+B11)</f>
        <v>17600</v>
      </c>
      <c r="C14" s="35" t="str">
        <f aca="false">IF(COUNT(C8:C11)&lt;4,"",$B$4*C10+C11)</f>
        <v/>
      </c>
      <c r="D14" s="35" t="str">
        <f aca="false">IF(COUNT(D8:D11)&lt;4,"",$B$4*D10+D11)</f>
        <v/>
      </c>
      <c r="E14" s="35" t="str">
        <f aca="false">IF(COUNT(E8:E11)&lt;4,"",$B$4*E10+E11)</f>
        <v/>
      </c>
      <c r="F14" s="35" t="str">
        <f aca="false">IF(COUNT(F8:F11)&lt;4,"",$B$4*F10+F11)</f>
        <v/>
      </c>
      <c r="G14" s="35" t="str">
        <f aca="false">IF(COUNT(G8:G11)&lt;4,"",$B$4*G10+G11)</f>
        <v/>
      </c>
    </row>
    <row r="15" customFormat="false" ht="15" hidden="false" customHeight="false" outlineLevel="0" collapsed="false">
      <c r="A15" s="21" t="s">
        <v>133</v>
      </c>
      <c r="B15" s="34" t="n">
        <f aca="false">IF(B13="","",B13+12*B14)</f>
        <v>314400</v>
      </c>
      <c r="C15" s="35" t="str">
        <f aca="false">IF(C13="","",C13+12*C14)</f>
        <v/>
      </c>
      <c r="D15" s="35" t="str">
        <f aca="false">IF(D13="","",D13+12*D14)</f>
        <v/>
      </c>
      <c r="E15" s="35" t="str">
        <f aca="false">IF(E13="","",E13+12*E14)</f>
        <v/>
      </c>
      <c r="F15" s="35" t="str">
        <f aca="false">IF(F13="","",F13+12*F14)</f>
        <v/>
      </c>
      <c r="G15" s="35" t="str">
        <f aca="false">IF(G13="","",G13+12*G14)</f>
        <v/>
      </c>
    </row>
    <row r="16" customFormat="false" ht="15" hidden="false" customHeight="false" outlineLevel="0" collapsed="false">
      <c r="A16" s="21" t="s">
        <v>134</v>
      </c>
      <c r="B16" s="34" t="n">
        <f aca="false">IF(B13="","",B13+24*B14)</f>
        <v>525600</v>
      </c>
      <c r="C16" s="35" t="str">
        <f aca="false">IF(C13="","",C13+24*C14)</f>
        <v/>
      </c>
      <c r="D16" s="35" t="str">
        <f aca="false">IF(D13="","",D13+24*D14)</f>
        <v/>
      </c>
      <c r="E16" s="35" t="str">
        <f aca="false">IF(E13="","",E13+24*E14)</f>
        <v/>
      </c>
      <c r="F16" s="35" t="str">
        <f aca="false">IF(F13="","",F13+24*F14)</f>
        <v/>
      </c>
      <c r="G16" s="35" t="str">
        <f aca="false">IF(G13="","",G13+24*G14)</f>
        <v/>
      </c>
    </row>
    <row r="17" customFormat="false" ht="15" hidden="false" customHeight="false" outlineLevel="0" collapsed="false">
      <c r="A17" s="21" t="s">
        <v>135</v>
      </c>
      <c r="B17" s="34" t="n">
        <f aca="false">IF(B16="","",B16/(24*$B$4))</f>
        <v>912.5</v>
      </c>
      <c r="C17" s="35" t="str">
        <f aca="false">IF(C16="","",C16/(24*$B$4))</f>
        <v/>
      </c>
      <c r="D17" s="35" t="str">
        <f aca="false">IF(D16="","",D16/(24*$B$4))</f>
        <v/>
      </c>
      <c r="E17" s="35" t="str">
        <f aca="false">IF(E16="","",E16/(24*$B$4))</f>
        <v/>
      </c>
      <c r="F17" s="35" t="str">
        <f aca="false">IF(F16="","",F16/(24*$B$4))</f>
        <v/>
      </c>
      <c r="G17" s="35" t="str">
        <f aca="false">IF(G16="","",G16/(24*$B$4))</f>
        <v/>
      </c>
    </row>
    <row r="18" customFormat="false" ht="15" hidden="false" customHeight="false" outlineLevel="0" collapsed="false">
      <c r="A18" s="21" t="s">
        <v>136</v>
      </c>
      <c r="B18" s="34" t="n">
        <f aca="false">IF(OR(B12="",B14=""),"",B13+B12*B14)</f>
        <v>314400</v>
      </c>
      <c r="C18" s="35" t="str">
        <f aca="false">IF(OR(C12="",C14=""),"",C13+C12*C14)</f>
        <v/>
      </c>
      <c r="D18" s="35" t="str">
        <f aca="false">IF(OR(D12="",D14=""),"",D13+D12*D14)</f>
        <v/>
      </c>
      <c r="E18" s="35" t="str">
        <f aca="false">IF(OR(E12="",E14=""),"",E13+E12*E14)</f>
        <v/>
      </c>
      <c r="F18" s="35" t="str">
        <f aca="false">IF(OR(F12="",F14=""),"",F13+F12*F14)</f>
        <v/>
      </c>
      <c r="G18" s="35" t="str">
        <f aca="false">IF(OR(G12="",G14=""),"",G13+G12*G14)</f>
        <v/>
      </c>
    </row>
    <row r="20" customFormat="false" ht="15" hidden="false" customHeight="false" outlineLevel="0" collapsed="false">
      <c r="A20" s="28" t="s">
        <v>137</v>
      </c>
    </row>
    <row r="21" customFormat="false" ht="15" hidden="false" customHeight="false" outlineLevel="0" collapsed="false">
      <c r="A21" s="29" t="s">
        <v>138</v>
      </c>
    </row>
    <row r="22" customFormat="false" ht="15" hidden="false" customHeight="false" outlineLevel="0" collapsed="false">
      <c r="A22" s="29" t="s">
        <v>139</v>
      </c>
    </row>
    <row r="23" customFormat="false" ht="15" hidden="false" customHeight="false" outlineLevel="0" collapsed="false">
      <c r="A23" s="29" t="s">
        <v>140</v>
      </c>
    </row>
    <row r="24" customFormat="false" ht="15" hidden="false" customHeight="false" outlineLevel="0" collapsed="false">
      <c r="A24" s="29" t="s">
        <v>141</v>
      </c>
    </row>
    <row r="25" customFormat="false" ht="15" hidden="false" customHeight="false" outlineLevel="0" collapsed="false">
      <c r="A25" s="29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4"/>
    <col collapsed="false" customWidth="true" hidden="false" outlineLevel="0" max="3" min="3" style="0" width="44"/>
    <col collapsed="false" customWidth="true" hidden="false" outlineLevel="0" max="6" min="4" style="0" width="30"/>
  </cols>
  <sheetData>
    <row r="1" customFormat="false" ht="19.7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27.75" hidden="false" customHeight="true" outlineLevel="0" collapsed="false">
      <c r="A4" s="7" t="s">
        <v>145</v>
      </c>
      <c r="B4" s="7" t="s">
        <v>146</v>
      </c>
      <c r="C4" s="7" t="s">
        <v>147</v>
      </c>
      <c r="D4" s="16" t="str">
        <f aca="false">Evaluación!E4</f>
        <v>Proveedor A</v>
      </c>
      <c r="E4" s="16" t="str">
        <f aca="false">Evaluación!F4</f>
        <v>Proveedor B</v>
      </c>
      <c r="F4" s="16" t="str">
        <f aca="false">Evaluación!G4</f>
        <v>Proveedor C</v>
      </c>
    </row>
    <row r="5" customFormat="false" ht="23.85" hidden="false" customHeight="false" outlineLevel="0" collapsed="false">
      <c r="A5" s="9" t="s">
        <v>148</v>
      </c>
      <c r="B5" s="10" t="s">
        <v>149</v>
      </c>
      <c r="C5" s="36" t="s">
        <v>150</v>
      </c>
      <c r="D5" s="10"/>
      <c r="E5" s="10"/>
      <c r="F5" s="10"/>
    </row>
    <row r="6" customFormat="false" ht="23.85" hidden="false" customHeight="false" outlineLevel="0" collapsed="false">
      <c r="A6" s="9" t="s">
        <v>148</v>
      </c>
      <c r="B6" s="10" t="s">
        <v>151</v>
      </c>
      <c r="C6" s="36" t="s">
        <v>152</v>
      </c>
      <c r="D6" s="10"/>
      <c r="E6" s="10"/>
      <c r="F6" s="10"/>
    </row>
    <row r="7" customFormat="false" ht="23.85" hidden="false" customHeight="false" outlineLevel="0" collapsed="false">
      <c r="A7" s="9" t="s">
        <v>148</v>
      </c>
      <c r="B7" s="10" t="s">
        <v>153</v>
      </c>
      <c r="C7" s="36" t="s">
        <v>154</v>
      </c>
      <c r="D7" s="10"/>
      <c r="E7" s="10"/>
      <c r="F7" s="10"/>
    </row>
    <row r="8" customFormat="false" ht="15" hidden="false" customHeight="false" outlineLevel="0" collapsed="false">
      <c r="A8" s="9" t="s">
        <v>148</v>
      </c>
      <c r="B8" s="10" t="s">
        <v>155</v>
      </c>
      <c r="C8" s="36" t="s">
        <v>156</v>
      </c>
      <c r="D8" s="10"/>
      <c r="E8" s="10"/>
      <c r="F8" s="10"/>
    </row>
    <row r="9" customFormat="false" ht="23.85" hidden="false" customHeight="false" outlineLevel="0" collapsed="false">
      <c r="A9" s="9" t="s">
        <v>157</v>
      </c>
      <c r="B9" s="10" t="s">
        <v>158</v>
      </c>
      <c r="C9" s="36" t="s">
        <v>159</v>
      </c>
      <c r="D9" s="10"/>
      <c r="E9" s="10"/>
      <c r="F9" s="10"/>
    </row>
    <row r="10" customFormat="false" ht="23.85" hidden="false" customHeight="false" outlineLevel="0" collapsed="false">
      <c r="A10" s="9" t="s">
        <v>157</v>
      </c>
      <c r="B10" s="10" t="s">
        <v>160</v>
      </c>
      <c r="C10" s="36" t="s">
        <v>161</v>
      </c>
      <c r="D10" s="10"/>
      <c r="E10" s="10"/>
      <c r="F10" s="10"/>
    </row>
    <row r="11" customFormat="false" ht="15" hidden="false" customHeight="false" outlineLevel="0" collapsed="false">
      <c r="A11" s="9" t="s">
        <v>157</v>
      </c>
      <c r="B11" s="10" t="s">
        <v>162</v>
      </c>
      <c r="C11" s="36" t="s">
        <v>163</v>
      </c>
      <c r="D11" s="10"/>
      <c r="E11" s="10"/>
      <c r="F11" s="10"/>
    </row>
    <row r="12" customFormat="false" ht="23.85" hidden="false" customHeight="false" outlineLevel="0" collapsed="false">
      <c r="A12" s="9" t="s">
        <v>157</v>
      </c>
      <c r="B12" s="10" t="s">
        <v>164</v>
      </c>
      <c r="C12" s="36" t="s">
        <v>165</v>
      </c>
      <c r="D12" s="10"/>
      <c r="E12" s="10"/>
      <c r="F12" s="10"/>
    </row>
    <row r="13" customFormat="false" ht="15" hidden="false" customHeight="false" outlineLevel="0" collapsed="false">
      <c r="A13" s="9" t="s">
        <v>157</v>
      </c>
      <c r="B13" s="10" t="s">
        <v>166</v>
      </c>
      <c r="C13" s="36" t="s">
        <v>167</v>
      </c>
      <c r="D13" s="10"/>
      <c r="E13" s="10"/>
      <c r="F13" s="10"/>
    </row>
    <row r="14" customFormat="false" ht="23.85" hidden="false" customHeight="false" outlineLevel="0" collapsed="false">
      <c r="A14" s="9" t="s">
        <v>168</v>
      </c>
      <c r="B14" s="10" t="s">
        <v>169</v>
      </c>
      <c r="C14" s="36" t="s">
        <v>170</v>
      </c>
      <c r="D14" s="10"/>
      <c r="E14" s="10"/>
      <c r="F14" s="10"/>
    </row>
    <row r="15" customFormat="false" ht="23.85" hidden="false" customHeight="false" outlineLevel="0" collapsed="false">
      <c r="A15" s="9" t="s">
        <v>168</v>
      </c>
      <c r="B15" s="10" t="s">
        <v>171</v>
      </c>
      <c r="C15" s="36" t="s">
        <v>172</v>
      </c>
      <c r="D15" s="10"/>
      <c r="E15" s="10"/>
      <c r="F15" s="10"/>
    </row>
    <row r="16" customFormat="false" ht="23.85" hidden="false" customHeight="false" outlineLevel="0" collapsed="false">
      <c r="A16" s="9" t="s">
        <v>173</v>
      </c>
      <c r="B16" s="10" t="s">
        <v>174</v>
      </c>
      <c r="C16" s="36" t="s">
        <v>175</v>
      </c>
      <c r="D16" s="10"/>
      <c r="E16" s="10"/>
      <c r="F16" s="10"/>
    </row>
    <row r="17" customFormat="false" ht="23.85" hidden="false" customHeight="false" outlineLevel="0" collapsed="false">
      <c r="A17" s="9" t="s">
        <v>173</v>
      </c>
      <c r="B17" s="10" t="s">
        <v>176</v>
      </c>
      <c r="C17" s="36" t="s">
        <v>177</v>
      </c>
      <c r="D17" s="10"/>
      <c r="E17" s="10"/>
      <c r="F17" s="10"/>
    </row>
    <row r="18" customFormat="false" ht="15" hidden="false" customHeight="false" outlineLevel="0" collapsed="false">
      <c r="A18" s="9" t="s">
        <v>173</v>
      </c>
      <c r="B18" s="10" t="s">
        <v>178</v>
      </c>
      <c r="C18" s="36" t="s">
        <v>179</v>
      </c>
      <c r="D18" s="10"/>
      <c r="E18" s="10"/>
      <c r="F18" s="10"/>
    </row>
    <row r="19" customFormat="false" ht="23.85" hidden="false" customHeight="false" outlineLevel="0" collapsed="false">
      <c r="A19" s="9" t="s">
        <v>180</v>
      </c>
      <c r="B19" s="10" t="s">
        <v>181</v>
      </c>
      <c r="C19" s="36" t="s">
        <v>182</v>
      </c>
      <c r="D19" s="10"/>
      <c r="E19" s="10"/>
      <c r="F19" s="10"/>
    </row>
    <row r="20" customFormat="false" ht="23.85" hidden="false" customHeight="false" outlineLevel="0" collapsed="false">
      <c r="A20" s="9" t="s">
        <v>180</v>
      </c>
      <c r="B20" s="10" t="s">
        <v>183</v>
      </c>
      <c r="C20" s="36" t="s">
        <v>184</v>
      </c>
      <c r="D20" s="10"/>
      <c r="E20" s="10"/>
      <c r="F20" s="10"/>
    </row>
    <row r="21" customFormat="false" ht="23.85" hidden="false" customHeight="false" outlineLevel="0" collapsed="false">
      <c r="A21" s="9" t="s">
        <v>180</v>
      </c>
      <c r="B21" s="10" t="s">
        <v>185</v>
      </c>
      <c r="C21" s="36" t="s">
        <v>186</v>
      </c>
      <c r="D21" s="10"/>
      <c r="E21" s="10"/>
      <c r="F21" s="10"/>
    </row>
    <row r="22" customFormat="false" ht="15" hidden="false" customHeight="false" outlineLevel="0" collapsed="false">
      <c r="A22" s="9" t="s">
        <v>180</v>
      </c>
      <c r="B22" s="10" t="s">
        <v>187</v>
      </c>
      <c r="C22" s="36" t="s">
        <v>188</v>
      </c>
      <c r="D22" s="10"/>
      <c r="E22" s="10"/>
      <c r="F22" s="10"/>
    </row>
    <row r="23" customFormat="false" ht="23.85" hidden="false" customHeight="false" outlineLevel="0" collapsed="false">
      <c r="A23" s="9" t="s">
        <v>189</v>
      </c>
      <c r="B23" s="10" t="s">
        <v>190</v>
      </c>
      <c r="C23" s="36" t="s">
        <v>191</v>
      </c>
      <c r="D23" s="10"/>
      <c r="E23" s="10"/>
      <c r="F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19.7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13" t="s">
        <v>194</v>
      </c>
      <c r="B4" s="31"/>
      <c r="C4" s="2" t="s">
        <v>195</v>
      </c>
    </row>
    <row r="5" customFormat="false" ht="15" hidden="false" customHeight="false" outlineLevel="0" collapsed="false">
      <c r="A5" s="13" t="s">
        <v>196</v>
      </c>
      <c r="B5" s="31"/>
      <c r="C5" s="2" t="s">
        <v>197</v>
      </c>
    </row>
    <row r="6" customFormat="false" ht="15" hidden="false" customHeight="false" outlineLevel="0" collapsed="false">
      <c r="A6" s="13" t="s">
        <v>198</v>
      </c>
      <c r="B6" s="37"/>
    </row>
    <row r="7" customFormat="false" ht="15" hidden="false" customHeight="false" outlineLevel="0" collapsed="false">
      <c r="A7" s="13" t="s">
        <v>199</v>
      </c>
      <c r="B7" s="37"/>
    </row>
    <row r="8" customFormat="false" ht="15" hidden="false" customHeight="false" outlineLevel="0" collapsed="false">
      <c r="A8" s="13" t="s">
        <v>200</v>
      </c>
      <c r="B8" s="31"/>
      <c r="C8" s="2" t="s">
        <v>201</v>
      </c>
    </row>
    <row r="10" customFormat="false" ht="15" hidden="false" customHeight="false" outlineLevel="0" collapsed="false">
      <c r="A10" s="7" t="s">
        <v>202</v>
      </c>
      <c r="B10" s="7" t="s">
        <v>203</v>
      </c>
      <c r="C10" s="7" t="s">
        <v>204</v>
      </c>
      <c r="D10" s="7" t="s">
        <v>205</v>
      </c>
      <c r="E10" s="7" t="s">
        <v>206</v>
      </c>
      <c r="F10" s="7" t="s">
        <v>207</v>
      </c>
      <c r="G10" s="7" t="s">
        <v>208</v>
      </c>
    </row>
    <row r="11" customFormat="false" ht="15" hidden="false" customHeight="false" outlineLevel="0" collapsed="false">
      <c r="A11" s="38" t="s">
        <v>209</v>
      </c>
      <c r="B11" s="39" t="s">
        <v>210</v>
      </c>
      <c r="C11" s="40" t="n">
        <v>40</v>
      </c>
      <c r="D11" s="40" t="n">
        <v>22</v>
      </c>
      <c r="E11" s="41" t="n">
        <f aca="false">IF(OR(C11="",D11="",C11=0),"",(D11-C11)/C11)</f>
        <v>-0.45</v>
      </c>
      <c r="F11" s="42" t="str">
        <f aca="false">IF(OR(C11="",D11=""),"",IF(D11=C11,"Igual",IF(OR(AND(B11="Baja",D11&lt;C11),AND(B11="Sube",D11&gt;C11)),"Mejoró","Empeoró")))</f>
        <v>Mejoró</v>
      </c>
      <c r="G11" s="36" t="s">
        <v>211</v>
      </c>
    </row>
    <row r="12" customFormat="false" ht="22.35" hidden="false" customHeight="false" outlineLevel="0" collapsed="false">
      <c r="A12" s="9" t="s">
        <v>212</v>
      </c>
      <c r="B12" s="12" t="s">
        <v>210</v>
      </c>
      <c r="C12" s="43"/>
      <c r="D12" s="43"/>
      <c r="E12" s="41" t="str">
        <f aca="false">IF(OR(C12="",D12="",C12=0),"",(D12-C12)/C12)</f>
        <v/>
      </c>
      <c r="F12" s="42" t="str">
        <f aca="false">IF(OR(C12="",D12=""),"",IF(D12=C12,"Igual",IF(OR(AND(B12="Baja",D12&lt;C12),AND(B12="Sube",D12&gt;C12)),"Mejoró","Empeoró")))</f>
        <v/>
      </c>
      <c r="G12" s="36" t="s">
        <v>213</v>
      </c>
    </row>
    <row r="13" customFormat="false" ht="22.35" hidden="false" customHeight="false" outlineLevel="0" collapsed="false">
      <c r="A13" s="9" t="s">
        <v>214</v>
      </c>
      <c r="B13" s="12" t="s">
        <v>210</v>
      </c>
      <c r="C13" s="43"/>
      <c r="D13" s="43"/>
      <c r="E13" s="41" t="str">
        <f aca="false">IF(OR(C13="",D13="",C13=0),"",(D13-C13)/C13)</f>
        <v/>
      </c>
      <c r="F13" s="42" t="str">
        <f aca="false">IF(OR(C13="",D13=""),"",IF(D13=C13,"Igual",IF(OR(AND(B13="Baja",D13&lt;C13),AND(B13="Sube",D13&gt;C13)),"Mejoró","Empeoró")))</f>
        <v/>
      </c>
      <c r="G13" s="36" t="s">
        <v>215</v>
      </c>
    </row>
    <row r="14" customFormat="false" ht="15" hidden="false" customHeight="false" outlineLevel="0" collapsed="false">
      <c r="A14" s="9" t="s">
        <v>216</v>
      </c>
      <c r="B14" s="12" t="s">
        <v>210</v>
      </c>
      <c r="C14" s="43"/>
      <c r="D14" s="43"/>
      <c r="E14" s="41" t="str">
        <f aca="false">IF(OR(C14="",D14="",C14=0),"",(D14-C14)/C14)</f>
        <v/>
      </c>
      <c r="F14" s="42" t="str">
        <f aca="false">IF(OR(C14="",D14=""),"",IF(D14=C14,"Igual",IF(OR(AND(B14="Baja",D14&lt;C14),AND(B14="Sube",D14&gt;C14)),"Mejoró","Empeoró")))</f>
        <v/>
      </c>
      <c r="G14" s="36" t="s">
        <v>217</v>
      </c>
    </row>
    <row r="15" customFormat="false" ht="15" hidden="false" customHeight="false" outlineLevel="0" collapsed="false">
      <c r="A15" s="9" t="s">
        <v>218</v>
      </c>
      <c r="B15" s="12" t="s">
        <v>210</v>
      </c>
      <c r="C15" s="43"/>
      <c r="D15" s="43"/>
      <c r="E15" s="41" t="str">
        <f aca="false">IF(OR(C15="",D15="",C15=0),"",(D15-C15)/C15)</f>
        <v/>
      </c>
      <c r="F15" s="42" t="str">
        <f aca="false">IF(OR(C15="",D15=""),"",IF(D15=C15,"Igual",IF(OR(AND(B15="Baja",D15&lt;C15),AND(B15="Sube",D15&gt;C15)),"Mejoró","Empeoró")))</f>
        <v/>
      </c>
      <c r="G15" s="36" t="s">
        <v>219</v>
      </c>
    </row>
    <row r="16" customFormat="false" ht="15" hidden="false" customHeight="false" outlineLevel="0" collapsed="false">
      <c r="A16" s="9" t="s">
        <v>220</v>
      </c>
      <c r="B16" s="12" t="s">
        <v>210</v>
      </c>
      <c r="C16" s="43"/>
      <c r="D16" s="43"/>
      <c r="E16" s="41" t="str">
        <f aca="false">IF(OR(C16="",D16="",C16=0),"",(D16-C16)/C16)</f>
        <v/>
      </c>
      <c r="F16" s="42" t="str">
        <f aca="false">IF(OR(C16="",D16=""),"",IF(D16=C16,"Igual",IF(OR(AND(B16="Baja",D16&lt;C16),AND(B16="Sube",D16&gt;C16)),"Mejoró","Empeoró")))</f>
        <v/>
      </c>
      <c r="G16" s="36" t="s">
        <v>221</v>
      </c>
    </row>
    <row r="17" customFormat="false" ht="15" hidden="false" customHeight="false" outlineLevel="0" collapsed="false">
      <c r="A17" s="9" t="s">
        <v>222</v>
      </c>
      <c r="B17" s="12" t="s">
        <v>210</v>
      </c>
      <c r="C17" s="43"/>
      <c r="D17" s="43"/>
      <c r="E17" s="41" t="str">
        <f aca="false">IF(OR(C17="",D17="",C17=0),"",(D17-C17)/C17)</f>
        <v/>
      </c>
      <c r="F17" s="42" t="str">
        <f aca="false">IF(OR(C17="",D17=""),"",IF(D17=C17,"Igual",IF(OR(AND(B17="Baja",D17&lt;C17),AND(B17="Sube",D17&gt;C17)),"Mejoró","Empeoró")))</f>
        <v/>
      </c>
      <c r="G17" s="36" t="s">
        <v>223</v>
      </c>
    </row>
    <row r="18" customFormat="false" ht="15" hidden="false" customHeight="false" outlineLevel="0" collapsed="false">
      <c r="A18" s="9" t="s">
        <v>224</v>
      </c>
      <c r="B18" s="12" t="s">
        <v>210</v>
      </c>
      <c r="C18" s="43"/>
      <c r="D18" s="43"/>
      <c r="E18" s="41" t="str">
        <f aca="false">IF(OR(C18="",D18="",C18=0),"",(D18-C18)/C18)</f>
        <v/>
      </c>
      <c r="F18" s="42" t="str">
        <f aca="false">IF(OR(C18="",D18=""),"",IF(D18=C18,"Igual",IF(OR(AND(B18="Baja",D18&lt;C18),AND(B18="Sube",D18&gt;C18)),"Mejoró","Empeoró")))</f>
        <v/>
      </c>
      <c r="G18" s="36" t="s">
        <v>225</v>
      </c>
    </row>
    <row r="19" customFormat="false" ht="15" hidden="false" customHeight="false" outlineLevel="0" collapsed="false">
      <c r="A19" s="9" t="s">
        <v>226</v>
      </c>
      <c r="B19" s="12" t="s">
        <v>227</v>
      </c>
      <c r="C19" s="43"/>
      <c r="D19" s="43"/>
      <c r="E19" s="41" t="str">
        <f aca="false">IF(OR(C19="",D19="",C19=0),"",(D19-C19)/C19)</f>
        <v/>
      </c>
      <c r="F19" s="42" t="str">
        <f aca="false">IF(OR(C19="",D19=""),"",IF(D19=C19,"Igual",IF(OR(AND(B19="Baja",D19&lt;C19),AND(B19="Sube",D19&gt;C19)),"Mejoró","Empeoró")))</f>
        <v/>
      </c>
      <c r="G19" s="36" t="s">
        <v>228</v>
      </c>
    </row>
    <row r="20" customFormat="false" ht="15" hidden="false" customHeight="false" outlineLevel="0" collapsed="false">
      <c r="A20" s="9" t="s">
        <v>229</v>
      </c>
      <c r="B20" s="12" t="s">
        <v>227</v>
      </c>
      <c r="C20" s="43"/>
      <c r="D20" s="43"/>
      <c r="E20" s="41" t="str">
        <f aca="false">IF(OR(C20="",D20="",C20=0),"",(D20-C20)/C20)</f>
        <v/>
      </c>
      <c r="F20" s="42" t="str">
        <f aca="false">IF(OR(C20="",D20=""),"",IF(D20=C20,"Igual",IF(OR(AND(B20="Baja",D20&lt;C20),AND(B20="Sube",D20&gt;C20)),"Mejoró","Empeoró")))</f>
        <v/>
      </c>
      <c r="G20" s="36" t="s">
        <v>230</v>
      </c>
    </row>
    <row r="22" customFormat="false" ht="15" hidden="false" customHeight="false" outlineLevel="0" collapsed="false">
      <c r="A22" s="13" t="s">
        <v>231</v>
      </c>
      <c r="B22" s="44" t="n">
        <f aca="false">COUNTIF(F12:F20,"Mejoró")</f>
        <v>0</v>
      </c>
    </row>
    <row r="23" customFormat="false" ht="15" hidden="false" customHeight="false" outlineLevel="0" collapsed="false">
      <c r="A23" s="13" t="s">
        <v>232</v>
      </c>
      <c r="B23" s="44" t="n">
        <f aca="false">COUNTIF(F12:F20,"Empeoró")</f>
        <v>0</v>
      </c>
    </row>
    <row r="25" customFormat="false" ht="15" hidden="false" customHeight="false" outlineLevel="0" collapsed="false">
      <c r="A25" s="13" t="s">
        <v>233</v>
      </c>
      <c r="B25" s="31"/>
    </row>
    <row r="26" customFormat="false" ht="15" hidden="false" customHeight="false" outlineLevel="0" collapsed="false">
      <c r="A26" s="13" t="s">
        <v>234</v>
      </c>
      <c r="B26" s="45"/>
      <c r="C26" s="45"/>
      <c r="D26" s="45"/>
    </row>
    <row r="28" customFormat="false" ht="15" hidden="false" customHeight="false" outlineLevel="0" collapsed="false">
      <c r="A28" s="2" t="s">
        <v>235</v>
      </c>
    </row>
  </sheetData>
  <mergeCells count="1">
    <mergeCell ref="B26:D26"/>
  </mergeCells>
  <conditionalFormatting sqref="F11:F20">
    <cfRule type="cellIs" priority="2" operator="equal" aboveAverage="0" equalAverage="0" bottom="0" percent="0" rank="0" text="" dxfId="2">
      <formula>"Mejoró"</formula>
    </cfRule>
    <cfRule type="cellIs" priority="3" operator="equal" aboveAverage="0" equalAverage="0" bottom="0" percent="0" rank="0" text="" dxfId="1">
      <formula>"Empeoró"</formula>
    </cfRule>
  </conditionalFormatting>
  <dataValidations count="2">
    <dataValidation allowBlank="false" error="Elige Baja o Sube." errorStyle="stop" errorTitle="Valor no permitido" operator="between" showDropDown="false" showErrorMessage="true" showInputMessage="false" sqref="B11:B20" type="list">
      <formula1>"Baja,Sube"</formula1>
      <formula2>0</formula2>
    </dataValidation>
    <dataValidation allowBlank="true" error="Elige una opción de la lista." errorStyle="stop" errorTitle="Valor no permitido" operator="between" showDropDown="false" showErrorMessage="true" showInputMessage="false" sqref="B25" type="list">
      <formula1>"Elegir,Rechazar,Repetir piloto"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2026-10-09T06:31:19Z</dcterms:created>
  <dc:creator>openpyxl</dc:creator>
  <dc:description/>
  <dc:language>en-US</dc:language>
  <cp:lastModifiedBy/>
  <dcterms:modified xsi:type="dcterms:W3CDTF">2026-10-09T06:31:19Z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