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Today" sheetId="2" state="visible" r:id="rId4"/>
    <sheet name="Exceptions" sheetId="3" state="visible" r:id="rId5"/>
    <sheet name="Drivers" sheetId="4" state="visible" r:id="rId6"/>
    <sheet name="Vehicles" sheetId="5" state="visible" r:id="rId7"/>
    <sheet name="Routes" sheetId="6" state="visible" r:id="rId8"/>
    <sheet name="Lists" sheetId="7" state="visible" r:id="rId9"/>
  </sheets>
  <definedNames>
    <definedName function="false" hidden="true" localSheetId="3" name="_xlnm._FilterDatabase" vbProcedure="false">Drivers!$A$1:$I$301</definedName>
    <definedName function="false" hidden="true" localSheetId="2" name="_xlnm._FilterDatabase" vbProcedure="false">Exceptions!$A$1:$L$301</definedName>
    <definedName function="false" hidden="true" localSheetId="5" name="_xlnm._FilterDatabase" vbProcedure="false">Routes!$A$1:$F$301</definedName>
    <definedName function="false" hidden="true" localSheetId="1" name="_xlnm._FilterDatabase" vbProcedure="false">Today!$A$1:$O$301</definedName>
    <definedName function="false" hidden="true" localSheetId="4" name="_xlnm._FilterDatabase" vbProcedure="false">Vehicles!$A$1:$H$301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<sst xmlns="http://schemas.openxmlformats.org/spreadsheetml/2006/main" count="292" uniqueCount="215">
  <si>
    <t xml:space="preserve">Fleet operations starter</t>
  </si>
  <si>
    <t xml:space="preserve">One source of truth for drivers, vehicles, routes, today's plan and exceptions. Built for Google Sheets or Excel, no code.</t>
  </si>
  <si>
    <t xml:space="preserve">How to start (about 1 hour)</t>
  </si>
  <si>
    <t xml:space="preserve">1. Fill the master tabs</t>
  </si>
  <si>
    <t xml:space="preserve">Drivers, Vehicles, Routes. One row each. The yellow rows are EXAMPLES: overwrite or delete them.</t>
  </si>
  <si>
    <t xml:space="preserve">2. Never type free text where there is a dropdown</t>
  </si>
  <si>
    <t xml:space="preserve">Statuses, types and reason codes come from the Lists tab. A wrong value is rejected on purpose.</t>
  </si>
  <si>
    <t xml:space="preserve">3. Each day, use the Today tab</t>
  </si>
  <si>
    <t xml:space="preserve">One row per route: date, route, driver, vehicle, stops. Update stops_done and status at each checkpoint.</t>
  </si>
  <si>
    <t xml:space="preserve">4. Log every problem in Exceptions</t>
  </si>
  <si>
    <t xml:space="preserve">One row per incident, always with a reason code. This is what shows patterns later.</t>
  </si>
  <si>
    <t xml:space="preserve">5. Read the checks</t>
  </si>
  <si>
    <t xml:space="preserve">assignment_check and data_check turn red when something does not fit. Fix the cause, do not hide the message.</t>
  </si>
  <si>
    <t xml:space="preserve">The 6 rules that keep the data clean</t>
  </si>
  <si>
    <t xml:space="preserve">Rule 1: IDs are permanent</t>
  </si>
  <si>
    <t xml:space="preserve">An ID never changes and is never reused. If a driver leaves, set status to Inactive, do not delete the row.</t>
  </si>
  <si>
    <t xml:space="preserve">Rule 2: IDs are typed once</t>
  </si>
  <si>
    <t xml:space="preserve">Everywhere else you pick the ID from a dropdown, so names and IDs cannot drift apart.</t>
  </si>
  <si>
    <t xml:space="preserve">Rule 3: fixed values only</t>
  </si>
  <si>
    <t xml:space="preserve">Status, vehicle type, severity and reason code come from the lists. To add a value, add it to Lists first.</t>
  </si>
  <si>
    <t xml:space="preserve">Rule 4: one row = one thing</t>
  </si>
  <si>
    <t xml:space="preserve">One driver, one vehicle, one route, one daily run, one incident. No merged cells, no notes in the ID column.</t>
  </si>
  <si>
    <t xml:space="preserve">Rule 5: every late or at-risk route needs a reason code</t>
  </si>
  <si>
    <t xml:space="preserve">If it is late for several reasons, record the main one and explain in notes.</t>
  </si>
  <si>
    <t xml:space="preserve">Rule 6: one owner</t>
  </si>
  <si>
    <t xml:space="preserve">Name one person who can change the master tabs. Everyone else only edits Today and Exceptions.</t>
  </si>
  <si>
    <t xml:space="preserve">ID formats</t>
  </si>
  <si>
    <t xml:space="preserve">Driver</t>
  </si>
  <si>
    <t xml:space="preserve">D + number</t>
  </si>
  <si>
    <t xml:space="preserve">D01, D02, ... D24</t>
  </si>
  <si>
    <t xml:space="preserve">Vehicle</t>
  </si>
  <si>
    <t xml:space="preserve">V + number</t>
  </si>
  <si>
    <t xml:space="preserve">V01, V02, ... V24</t>
  </si>
  <si>
    <t xml:space="preserve">Route</t>
  </si>
  <si>
    <t xml:space="preserve">type letters + number</t>
  </si>
  <si>
    <t xml:space="preserve">BK-01 (motorbike), VN-01 (van), TR-01 (truck)</t>
  </si>
  <si>
    <t xml:space="preserve">Exception</t>
  </si>
  <si>
    <t xml:space="preserve">EX- + 4 digits</t>
  </si>
  <si>
    <t xml:space="preserve">EX-0001, EX-0002, ...</t>
  </si>
  <si>
    <t xml:space="preserve">Colors</t>
  </si>
  <si>
    <t xml:space="preserve">Dark blue header</t>
  </si>
  <si>
    <t xml:space="preserve">You type or choose values in this column.</t>
  </si>
  <si>
    <t xml:space="preserve">Grey header</t>
  </si>
  <si>
    <t xml:space="preserve">Calculated. Do not type here, it is a formula.</t>
  </si>
  <si>
    <t xml:space="preserve">Light yellow row</t>
  </si>
  <si>
    <t xml:space="preserve">Example row. Overwrite it with your real data.</t>
  </si>
  <si>
    <t xml:space="preserve">Red text</t>
  </si>
  <si>
    <t xml:space="preserve">A check failed or an ID is duplicated.</t>
  </si>
  <si>
    <t xml:space="preserve">Reason codes (full list in the Lists tab)</t>
  </si>
  <si>
    <t xml:space="preserve">TRF  WTH  BRK  ACC</t>
  </si>
  <si>
    <t xml:space="preserve">Traffic, weather, breakdown, accident or incident</t>
  </si>
  <si>
    <t xml:space="preserve">CAB  ADR  ACS  REF</t>
  </si>
  <si>
    <t xml:space="preserve">Customer absent, address problem, access blocked, delivery refused</t>
  </si>
  <si>
    <t xml:space="preserve">PLN  DRV  VEH  OTH</t>
  </si>
  <si>
    <t xml:space="preserve">Plan too tight, driver issue, vehicle not ready, other (explain in notes)</t>
  </si>
  <si>
    <t xml:space="preserve">Notes and limits</t>
  </si>
  <si>
    <t xml:space="preserve">Prepared rows</t>
  </si>
  <si>
    <t xml:space="preserve">Each tab is set up for 300 rows. If you need more, copy the last row down. Sheets formulas and dropdowns carry with it.</t>
  </si>
  <si>
    <t xml:space="preserve">Using it in Google Sheets</t>
  </si>
  <si>
    <t xml:space="preserve">Upload the file to Google Drive and open it with Google Sheets. Dropdowns, colors and formulas should carry over, but test one dropdown and one check before relying on it.</t>
  </si>
  <si>
    <t xml:space="preserve">Personal data</t>
  </si>
  <si>
    <t xml:space="preserve">Phone numbers and licence dates are personal data. Limit who can open the Drivers tab, and follow your company's rules.</t>
  </si>
  <si>
    <t xml:space="preserve">Examples are fictitious</t>
  </si>
  <si>
    <t xml:space="preserve">All names, plates and phone numbers in this file are made up.</t>
  </si>
  <si>
    <t xml:space="preserve">date</t>
  </si>
  <si>
    <t xml:space="preserve">route_id</t>
  </si>
  <si>
    <t xml:space="preserve">driver_id</t>
  </si>
  <si>
    <t xml:space="preserve">vehicle_id</t>
  </si>
  <si>
    <t xml:space="preserve">driver_name</t>
  </si>
  <si>
    <t xml:space="preserve">zone</t>
  </si>
  <si>
    <t xml:space="preserve">assignment_check</t>
  </si>
  <si>
    <t xml:space="preserve">stops_planned</t>
  </si>
  <si>
    <t xml:space="preserve">stops_done</t>
  </si>
  <si>
    <t xml:space="preserve">progress</t>
  </si>
  <si>
    <t xml:space="preserve">status</t>
  </si>
  <si>
    <t xml:space="preserve">reason_code</t>
  </si>
  <si>
    <t xml:space="preserve">last_checkpoint</t>
  </si>
  <si>
    <t xml:space="preserve">notes</t>
  </si>
  <si>
    <t xml:space="preserve">data_check</t>
  </si>
  <si>
    <t xml:space="preserve">BK-01</t>
  </si>
  <si>
    <t xml:space="preserve">D01</t>
  </si>
  <si>
    <t xml:space="preserve">V01</t>
  </si>
  <si>
    <t xml:space="preserve">On track</t>
  </si>
  <si>
    <t xml:space="preserve">BK-02</t>
  </si>
  <si>
    <t xml:space="preserve">D02</t>
  </si>
  <si>
    <t xml:space="preserve">V02</t>
  </si>
  <si>
    <t xml:space="preserve">Not started</t>
  </si>
  <si>
    <t xml:space="preserve">Example: vehicle V02 is in the workshop, so the check flags it</t>
  </si>
  <si>
    <t xml:space="preserve">TR-02</t>
  </si>
  <si>
    <t xml:space="preserve">D21</t>
  </si>
  <si>
    <t xml:space="preserve">V21</t>
  </si>
  <si>
    <t xml:space="preserve">Late</t>
  </si>
  <si>
    <t xml:space="preserve">TRF</t>
  </si>
  <si>
    <t xml:space="preserve">Accident on the highway, 40 min stopped</t>
  </si>
  <si>
    <t xml:space="preserve">VN-02</t>
  </si>
  <si>
    <t xml:space="preserve">D15</t>
  </si>
  <si>
    <t xml:space="preserve">V15</t>
  </si>
  <si>
    <t xml:space="preserve">At risk</t>
  </si>
  <si>
    <t xml:space="preserve">Example: reason code missing, so data_check flags it</t>
  </si>
  <si>
    <t xml:space="preserve">exception_id</t>
  </si>
  <si>
    <t xml:space="preserve">time</t>
  </si>
  <si>
    <t xml:space="preserve">reason_meaning</t>
  </si>
  <si>
    <t xml:space="preserve">severity</t>
  </si>
  <si>
    <t xml:space="preserve">what_happened</t>
  </si>
  <si>
    <t xml:space="preserve">action_taken</t>
  </si>
  <si>
    <t xml:space="preserve">customer_informed</t>
  </si>
  <si>
    <t xml:space="preserve">resolved</t>
  </si>
  <si>
    <t xml:space="preserve">EX-0001</t>
  </si>
  <si>
    <t xml:space="preserve">Medium</t>
  </si>
  <si>
    <t xml:space="preserve">Accident on the highway, truck stopped 40 min</t>
  </si>
  <si>
    <t xml:space="preserve">Called the customer, moved the ETA by 45 min, driver resumed at 12:20</t>
  </si>
  <si>
    <t xml:space="preserve">Yes</t>
  </si>
  <si>
    <t xml:space="preserve">Resolved</t>
  </si>
  <si>
    <t xml:space="preserve">full_name</t>
  </si>
  <si>
    <t xml:space="preserve">phone</t>
  </si>
  <si>
    <t xml:space="preserve">vehicle_type</t>
  </si>
  <si>
    <t xml:space="preserve">licence_class</t>
  </si>
  <si>
    <t xml:space="preserve">shift</t>
  </si>
  <si>
    <t xml:space="preserve">licence_expiry</t>
  </si>
  <si>
    <t xml:space="preserve">default_vehicle</t>
  </si>
  <si>
    <t xml:space="preserve">Juan Martínez</t>
  </si>
  <si>
    <t xml:space="preserve">809-555-0101</t>
  </si>
  <si>
    <t xml:space="preserve">motorbike</t>
  </si>
  <si>
    <t xml:space="preserve">Motorcycle</t>
  </si>
  <si>
    <t xml:space="preserve">Morning</t>
  </si>
  <si>
    <t xml:space="preserve">Active</t>
  </si>
  <si>
    <t xml:space="preserve">Luis Almonte</t>
  </si>
  <si>
    <t xml:space="preserve">809-555-0102</t>
  </si>
  <si>
    <t xml:space="preserve">Afternoon</t>
  </si>
  <si>
    <t xml:space="preserve">Mercedes Rodríguez</t>
  </si>
  <si>
    <t xml:space="preserve">809-555-0115</t>
  </si>
  <si>
    <t xml:space="preserve">van</t>
  </si>
  <si>
    <t xml:space="preserve">Light vehicle</t>
  </si>
  <si>
    <t xml:space="preserve">Yeison Tavárez</t>
  </si>
  <si>
    <t xml:space="preserve">809-555-0121</t>
  </si>
  <si>
    <t xml:space="preserve">truck</t>
  </si>
  <si>
    <t xml:space="preserve">Heavy truck</t>
  </si>
  <si>
    <t xml:space="preserve">Long-haul</t>
  </si>
  <si>
    <t xml:space="preserve">plate</t>
  </si>
  <si>
    <t xml:space="preserve">fuel_type</t>
  </si>
  <si>
    <t xml:space="preserve">next_service_date</t>
  </si>
  <si>
    <t xml:space="preserve">odometer_km</t>
  </si>
  <si>
    <t xml:space="preserve">EXAMPLE-01</t>
  </si>
  <si>
    <t xml:space="preserve">petrol</t>
  </si>
  <si>
    <t xml:space="preserve">Available</t>
  </si>
  <si>
    <t xml:space="preserve">EXAMPLE-02</t>
  </si>
  <si>
    <t xml:space="preserve">Workshop</t>
  </si>
  <si>
    <t xml:space="preserve">Brake pads, back Monday</t>
  </si>
  <si>
    <t xml:space="preserve">EXAMPLE-15</t>
  </si>
  <si>
    <t xml:space="preserve">diesel</t>
  </si>
  <si>
    <t xml:space="preserve">EXAMPLE-21</t>
  </si>
  <si>
    <t xml:space="preserve">In use</t>
  </si>
  <si>
    <t xml:space="preserve">typical_stops</t>
  </si>
  <si>
    <t xml:space="preserve">typical_km</t>
  </si>
  <si>
    <t xml:space="preserve">active</t>
  </si>
  <si>
    <t xml:space="preserve">Distrito Nacional</t>
  </si>
  <si>
    <t xml:space="preserve">Zona Colonial</t>
  </si>
  <si>
    <t xml:space="preserve">San Cristóbal</t>
  </si>
  <si>
    <t xml:space="preserve">Santiago</t>
  </si>
  <si>
    <t xml:space="preserve">Vehicle type</t>
  </si>
  <si>
    <t xml:space="preserve">Vehicle status</t>
  </si>
  <si>
    <t xml:space="preserve">Driver status</t>
  </si>
  <si>
    <t xml:space="preserve">Shift</t>
  </si>
  <si>
    <t xml:space="preserve">Licence class</t>
  </si>
  <si>
    <t xml:space="preserve">Fuel type</t>
  </si>
  <si>
    <t xml:space="preserve">Route status</t>
  </si>
  <si>
    <t xml:space="preserve">Severity</t>
  </si>
  <si>
    <t xml:space="preserve">Yes/No</t>
  </si>
  <si>
    <t xml:space="preserve">Reason code</t>
  </si>
  <si>
    <t xml:space="preserve">Meaning</t>
  </si>
  <si>
    <t xml:space="preserve">When to use</t>
  </si>
  <si>
    <t xml:space="preserve">Low</t>
  </si>
  <si>
    <t xml:space="preserve">Open</t>
  </si>
  <si>
    <t xml:space="preserve">Traffic or road closure</t>
  </si>
  <si>
    <t xml:space="preserve">Slow roads, accident ahead, closed street</t>
  </si>
  <si>
    <t xml:space="preserve">On leave</t>
  </si>
  <si>
    <t xml:space="preserve">No</t>
  </si>
  <si>
    <t xml:space="preserve">WTH</t>
  </si>
  <si>
    <t xml:space="preserve">Weather</t>
  </si>
  <si>
    <t xml:space="preserve">Rain, storm, flooding</t>
  </si>
  <si>
    <t xml:space="preserve">Inactive</t>
  </si>
  <si>
    <t xml:space="preserve">High</t>
  </si>
  <si>
    <t xml:space="preserve">BRK</t>
  </si>
  <si>
    <t xml:space="preserve">Vehicle breakdown</t>
  </si>
  <si>
    <t xml:space="preserve">Mechanical failure, flat tyre, no fuel</t>
  </si>
  <si>
    <t xml:space="preserve">Out of service</t>
  </si>
  <si>
    <t xml:space="preserve">ACC</t>
  </si>
  <si>
    <t xml:space="preserve">Accident or incident</t>
  </si>
  <si>
    <t xml:space="preserve">Collision, injury, theft, security issue</t>
  </si>
  <si>
    <t xml:space="preserve">Finished</t>
  </si>
  <si>
    <t xml:space="preserve">CAB</t>
  </si>
  <si>
    <t xml:space="preserve">Customer absent</t>
  </si>
  <si>
    <t xml:space="preserve">Nobody to receive the delivery</t>
  </si>
  <si>
    <t xml:space="preserve">Cancelled</t>
  </si>
  <si>
    <t xml:space="preserve">ADR</t>
  </si>
  <si>
    <t xml:space="preserve">Address problem</t>
  </si>
  <si>
    <t xml:space="preserve">Wrong, incomplete or unfindable address</t>
  </si>
  <si>
    <t xml:space="preserve">ACS</t>
  </si>
  <si>
    <t xml:space="preserve">Access blocked</t>
  </si>
  <si>
    <t xml:space="preserve">Gate, building or street not accessible</t>
  </si>
  <si>
    <t xml:space="preserve">REF</t>
  </si>
  <si>
    <t xml:space="preserve">Delivery refused</t>
  </si>
  <si>
    <t xml:space="preserve">Customer refuses the delivery</t>
  </si>
  <si>
    <t xml:space="preserve">PLN</t>
  </si>
  <si>
    <t xml:space="preserve">Plan too tight</t>
  </si>
  <si>
    <t xml:space="preserve">Route had too many stops or unrealistic times</t>
  </si>
  <si>
    <t xml:space="preserve">DRV</t>
  </si>
  <si>
    <t xml:space="preserve">Driver issue</t>
  </si>
  <si>
    <t xml:space="preserve">Absent, late start, unwell, lost</t>
  </si>
  <si>
    <t xml:space="preserve">VEH</t>
  </si>
  <si>
    <t xml:space="preserve">Vehicle not ready</t>
  </si>
  <si>
    <t xml:space="preserve">Failed pre-trip check, not fuelled, not available</t>
  </si>
  <si>
    <t xml:space="preserve">OTH</t>
  </si>
  <si>
    <t xml:space="preserve">Other</t>
  </si>
  <si>
    <t xml:space="preserve">Use rarely and always explain in the notes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</si>
</sst>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%"/>
    <numFmt numFmtId="167" formatCode="hh:mm"/>
    <numFmt numFmtId="168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F8CBAD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4" min="4" style="0" width="3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</row>
    <row r="6" customFormat="false" ht="23.85" hidden="false" customHeight="false" outlineLevel="0" collapsed="false">
      <c r="B6" s="5" t="s">
        <v>3</v>
      </c>
      <c r="C6" s="6" t="s">
        <v>4</v>
      </c>
      <c r="D6" s="6"/>
    </row>
    <row r="7" customFormat="false" ht="23.85" hidden="false" customHeight="false" outlineLevel="0" collapsed="false">
      <c r="B7" s="5" t="s">
        <v>5</v>
      </c>
      <c r="C7" s="6" t="s">
        <v>6</v>
      </c>
      <c r="D7" s="6"/>
    </row>
    <row r="8" customFormat="false" ht="23.85" hidden="false" customHeight="false" outlineLevel="0" collapsed="false">
      <c r="B8" s="5" t="s">
        <v>7</v>
      </c>
      <c r="C8" s="6" t="s">
        <v>8</v>
      </c>
      <c r="D8" s="6"/>
    </row>
    <row r="9" customFormat="false" ht="23.85" hidden="false" customHeight="false" outlineLevel="0" collapsed="false">
      <c r="B9" s="5" t="s">
        <v>9</v>
      </c>
      <c r="C9" s="6" t="s">
        <v>10</v>
      </c>
      <c r="D9" s="6"/>
    </row>
    <row r="10" customFormat="false" ht="23.85" hidden="false" customHeight="false" outlineLevel="0" collapsed="false">
      <c r="B10" s="5" t="s">
        <v>11</v>
      </c>
      <c r="C10" s="6" t="s">
        <v>12</v>
      </c>
      <c r="D10" s="6"/>
    </row>
    <row r="12" customFormat="false" ht="15" hidden="false" customHeight="false" outlineLevel="0" collapsed="false">
      <c r="B12" s="3" t="s">
        <v>13</v>
      </c>
      <c r="C12" s="4"/>
      <c r="D12" s="4"/>
    </row>
    <row r="13" customFormat="false" ht="23.85" hidden="false" customHeight="false" outlineLevel="0" collapsed="false">
      <c r="B13" s="5" t="s">
        <v>14</v>
      </c>
      <c r="C13" s="6" t="s">
        <v>15</v>
      </c>
      <c r="D13" s="6"/>
    </row>
    <row r="14" customFormat="false" ht="23.85" hidden="false" customHeight="false" outlineLevel="0" collapsed="false">
      <c r="B14" s="5" t="s">
        <v>16</v>
      </c>
      <c r="C14" s="6" t="s">
        <v>17</v>
      </c>
      <c r="D14" s="6"/>
    </row>
    <row r="15" customFormat="false" ht="23.85" hidden="false" customHeight="false" outlineLevel="0" collapsed="false">
      <c r="B15" s="5" t="s">
        <v>18</v>
      </c>
      <c r="C15" s="6" t="s">
        <v>19</v>
      </c>
      <c r="D15" s="6"/>
    </row>
    <row r="16" customFormat="false" ht="23.85" hidden="false" customHeight="false" outlineLevel="0" collapsed="false">
      <c r="B16" s="5" t="s">
        <v>20</v>
      </c>
      <c r="C16" s="6" t="s">
        <v>21</v>
      </c>
      <c r="D16" s="6"/>
    </row>
    <row r="17" customFormat="false" ht="23.85" hidden="false" customHeight="false" outlineLevel="0" collapsed="false">
      <c r="B17" s="5" t="s">
        <v>22</v>
      </c>
      <c r="C17" s="6" t="s">
        <v>23</v>
      </c>
      <c r="D17" s="6"/>
    </row>
    <row r="18" customFormat="false" ht="23.85" hidden="false" customHeight="false" outlineLevel="0" collapsed="false">
      <c r="B18" s="5" t="s">
        <v>24</v>
      </c>
      <c r="C18" s="6" t="s">
        <v>25</v>
      </c>
      <c r="D18" s="6"/>
    </row>
    <row r="20" customFormat="false" ht="15" hidden="false" customHeight="false" outlineLevel="0" collapsed="false">
      <c r="B20" s="3" t="s">
        <v>26</v>
      </c>
      <c r="C20" s="4"/>
      <c r="D20" s="4"/>
    </row>
    <row r="21" customFormat="false" ht="15" hidden="false" customHeight="false" outlineLevel="0" collapsed="false">
      <c r="B21" s="5" t="s">
        <v>27</v>
      </c>
      <c r="C21" s="6" t="s">
        <v>28</v>
      </c>
      <c r="D21" s="6" t="s">
        <v>29</v>
      </c>
    </row>
    <row r="22" customFormat="false" ht="15" hidden="false" customHeight="false" outlineLevel="0" collapsed="false">
      <c r="B22" s="5" t="s">
        <v>30</v>
      </c>
      <c r="C22" s="6" t="s">
        <v>31</v>
      </c>
      <c r="D22" s="6" t="s">
        <v>32</v>
      </c>
    </row>
    <row r="23" customFormat="false" ht="23.85" hidden="false" customHeight="false" outlineLevel="0" collapsed="false">
      <c r="B23" s="5" t="s">
        <v>33</v>
      </c>
      <c r="C23" s="6" t="s">
        <v>34</v>
      </c>
      <c r="D23" s="6" t="s">
        <v>35</v>
      </c>
    </row>
    <row r="24" customFormat="false" ht="15" hidden="false" customHeight="false" outlineLevel="0" collapsed="false">
      <c r="B24" s="5" t="s">
        <v>36</v>
      </c>
      <c r="C24" s="6" t="s">
        <v>37</v>
      </c>
      <c r="D24" s="6" t="s">
        <v>38</v>
      </c>
    </row>
    <row r="26" customFormat="false" ht="15" hidden="false" customHeight="false" outlineLevel="0" collapsed="false">
      <c r="B26" s="3" t="s">
        <v>39</v>
      </c>
      <c r="C26" s="4"/>
      <c r="D26" s="4"/>
    </row>
    <row r="27" customFormat="false" ht="15" hidden="false" customHeight="false" outlineLevel="0" collapsed="false">
      <c r="B27" s="5" t="s">
        <v>40</v>
      </c>
      <c r="C27" s="6" t="s">
        <v>41</v>
      </c>
      <c r="D27" s="6"/>
    </row>
    <row r="28" customFormat="false" ht="15" hidden="false" customHeight="false" outlineLevel="0" collapsed="false">
      <c r="B28" s="5" t="s">
        <v>42</v>
      </c>
      <c r="C28" s="6" t="s">
        <v>43</v>
      </c>
      <c r="D28" s="6"/>
    </row>
    <row r="29" customFormat="false" ht="15" hidden="false" customHeight="false" outlineLevel="0" collapsed="false">
      <c r="B29" s="5" t="s">
        <v>44</v>
      </c>
      <c r="C29" s="6" t="s">
        <v>45</v>
      </c>
      <c r="D29" s="6"/>
    </row>
    <row r="30" customFormat="false" ht="15" hidden="false" customHeight="false" outlineLevel="0" collapsed="false">
      <c r="B30" s="5" t="s">
        <v>46</v>
      </c>
      <c r="C30" s="6" t="s">
        <v>47</v>
      </c>
      <c r="D30" s="6"/>
    </row>
    <row r="32" customFormat="false" ht="15" hidden="false" customHeight="false" outlineLevel="0" collapsed="false">
      <c r="B32" s="3" t="s">
        <v>48</v>
      </c>
      <c r="C32" s="4"/>
      <c r="D32" s="4"/>
    </row>
    <row r="33" customFormat="false" ht="15" hidden="false" customHeight="false" outlineLevel="0" collapsed="false">
      <c r="B33" s="5" t="s">
        <v>49</v>
      </c>
      <c r="C33" s="6" t="s">
        <v>50</v>
      </c>
      <c r="D33" s="6"/>
    </row>
    <row r="34" customFormat="false" ht="15" hidden="false" customHeight="false" outlineLevel="0" collapsed="false">
      <c r="B34" s="5" t="s">
        <v>51</v>
      </c>
      <c r="C34" s="6" t="s">
        <v>52</v>
      </c>
      <c r="D34" s="6"/>
    </row>
    <row r="35" customFormat="false" ht="15" hidden="false" customHeight="false" outlineLevel="0" collapsed="false">
      <c r="B35" s="5" t="s">
        <v>53</v>
      </c>
      <c r="C35" s="6" t="s">
        <v>54</v>
      </c>
      <c r="D35" s="6"/>
    </row>
    <row r="37" customFormat="false" ht="15" hidden="false" customHeight="false" outlineLevel="0" collapsed="false">
      <c r="B37" s="3" t="s">
        <v>55</v>
      </c>
      <c r="C37" s="4"/>
      <c r="D37" s="4"/>
    </row>
    <row r="38" customFormat="false" ht="23.85" hidden="false" customHeight="false" outlineLevel="0" collapsed="false">
      <c r="B38" s="5" t="s">
        <v>56</v>
      </c>
      <c r="C38" s="6" t="s">
        <v>57</v>
      </c>
      <c r="D38" s="6"/>
    </row>
    <row r="39" customFormat="false" ht="35.05" hidden="false" customHeight="false" outlineLevel="0" collapsed="false">
      <c r="B39" s="5" t="s">
        <v>58</v>
      </c>
      <c r="C39" s="6" t="s">
        <v>59</v>
      </c>
      <c r="D39" s="6"/>
    </row>
    <row r="40" customFormat="false" ht="23.85" hidden="false" customHeight="false" outlineLevel="0" collapsed="false">
      <c r="B40" s="5" t="s">
        <v>60</v>
      </c>
      <c r="C40" s="6" t="s">
        <v>61</v>
      </c>
      <c r="D40" s="6"/>
    </row>
    <row r="41" customFormat="false" ht="15" hidden="false" customHeight="false" outlineLevel="0" collapsed="false">
      <c r="B41" s="5" t="s">
        <v>62</v>
      </c>
      <c r="C41" s="6" t="s">
        <v>63</v>
      </c>
      <c r="D4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3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34"/>
    <col collapsed="false" customWidth="true" hidden="false" outlineLevel="0" max="15" min="15" style="0" width="22"/>
  </cols>
  <sheetData>
    <row r="1" customFormat="false" ht="31.5" hidden="false" customHeight="true" outlineLevel="0" collapsed="false">
      <c r="A1" s="7" t="s">
        <v>64</v>
      </c>
      <c r="B1" s="7" t="s">
        <v>65</v>
      </c>
      <c r="C1" s="7" t="s">
        <v>66</v>
      </c>
      <c r="D1" s="7" t="s">
        <v>67</v>
      </c>
      <c r="E1" s="8" t="s">
        <v>68</v>
      </c>
      <c r="F1" s="8" t="s">
        <v>69</v>
      </c>
      <c r="G1" s="8" t="s">
        <v>70</v>
      </c>
      <c r="H1" s="7" t="s">
        <v>71</v>
      </c>
      <c r="I1" s="7" t="s">
        <v>72</v>
      </c>
      <c r="J1" s="8" t="s">
        <v>73</v>
      </c>
      <c r="K1" s="7" t="s">
        <v>74</v>
      </c>
      <c r="L1" s="7" t="s">
        <v>75</v>
      </c>
      <c r="M1" s="7" t="s">
        <v>76</v>
      </c>
      <c r="N1" s="7" t="s">
        <v>77</v>
      </c>
      <c r="O1" s="8" t="s">
        <v>78</v>
      </c>
    </row>
    <row r="2" customFormat="false" ht="15" hidden="false" customHeight="false" outlineLevel="0" collapsed="false">
      <c r="A2" s="9" t="n">
        <v>46304</v>
      </c>
      <c r="B2" s="10" t="s">
        <v>79</v>
      </c>
      <c r="C2" s="10" t="s">
        <v>80</v>
      </c>
      <c r="D2" s="10" t="s">
        <v>81</v>
      </c>
      <c r="E2" s="11" t="str">
        <f aca="false">IF(C2="","",IFERROR(INDEX(Drivers!$B:$B,MATCH(C2,Drivers!$A:$A,0)),"ID not found"))</f>
        <v>Juan Martínez</v>
      </c>
      <c r="F2" s="11" t="str">
        <f aca="false">IF(B2="","",IFERROR(INDEX(Routes!$B:$B,MATCH(B2,Routes!$A:$A,0)),"ID not found"))</f>
        <v>Distrito Nacional</v>
      </c>
      <c r="G2" s="11" t="str">
        <f aca="false">IF(OR(B2="",C2="",D2=""),"",IF(OR(ISNA(MATCH(B2,Routes!$A:$A,0)),ISNA(MATCH(C2,Drivers!$A:$A,0)),ISNA(MATCH(D2,Vehicles!$A:$A,0))),"CHECK: ID not found",IF(INDEX(Routes!$C:$C,MATCH(B2,Routes!$A:$A,0))&lt;&gt;INDEX(Vehicles!$B:$B,MATCH(D2,Vehicles!$A:$A,0)),"CHECK: vehicle type does not fit route",IF(INDEX(Routes!$C:$C,MATCH(B2,Routes!$A:$A,0))&lt;&gt;INDEX(Drivers!$D:$D,MATCH(C2,Drivers!$A:$A,0)),"CHECK: driver type does not fit route",IF(OR(INDEX(Vehicles!$E:$E,MATCH(D2,Vehicles!$A:$A,0))="Workshop",INDEX(Vehicles!$E:$E,MATCH(D2,Vehicles!$A:$A,0))="Out of service"),"CHECK: vehicle not available",IF(INDEX(Drivers!$G:$G,MATCH(C2,Drivers!$A:$A,0))&lt;&gt;"Active","CHECK: driver not active",IF(COUNTIFS($A:$A,A2,$C:$C,C2)&gt;1,"CHECK: driver assigned twice",IF(COUNTIFS($A:$A,A2,$D:$D,D2)&gt;1,"CHECK: vehicle assigned twice","OK"))))))))</f>
        <v>OK</v>
      </c>
      <c r="H2" s="10" t="n">
        <v>24</v>
      </c>
      <c r="I2" s="10" t="n">
        <v>10</v>
      </c>
      <c r="J2" s="12" t="n">
        <f aca="false">IF(OR(H2="",H2=0),"",I2/H2)</f>
        <v>0.416666666666667</v>
      </c>
      <c r="K2" s="10" t="s">
        <v>82</v>
      </c>
      <c r="L2" s="10"/>
      <c r="M2" s="13" t="n">
        <v>0.4375</v>
      </c>
      <c r="N2" s="10"/>
      <c r="O2" s="11" t="str">
        <f aca="false">IF(AND(OR(K2="At risk",K2="Late"),L2=""),"Add a reason code",IF(AND(L2="OTH",N2=""),"Explain OTH in notes",IF(AND(K2="Finished",I2&lt;H2,L2=""),"Add a reason code","")))</f>
        <v/>
      </c>
    </row>
    <row r="3" customFormat="false" ht="15" hidden="false" customHeight="false" outlineLevel="0" collapsed="false">
      <c r="A3" s="9" t="n">
        <v>46304</v>
      </c>
      <c r="B3" s="10" t="s">
        <v>83</v>
      </c>
      <c r="C3" s="10" t="s">
        <v>84</v>
      </c>
      <c r="D3" s="10" t="s">
        <v>85</v>
      </c>
      <c r="E3" s="11" t="str">
        <f aca="false">IF(C3="","",IFERROR(INDEX(Drivers!$B:$B,MATCH(C3,Drivers!$A:$A,0)),"ID not found"))</f>
        <v>Luis Almonte</v>
      </c>
      <c r="F3" s="11" t="str">
        <f aca="false">IF(B3="","",IFERROR(INDEX(Routes!$B:$B,MATCH(B3,Routes!$A:$A,0)),"ID not found"))</f>
        <v>Zona Colonial</v>
      </c>
      <c r="G3" s="11" t="str">
        <f aca="false">IF(OR(B3="",C3="",D3=""),"",IF(OR(ISNA(MATCH(B3,Routes!$A:$A,0)),ISNA(MATCH(C3,Drivers!$A:$A,0)),ISNA(MATCH(D3,Vehicles!$A:$A,0))),"CHECK: ID not found",IF(INDEX(Routes!$C:$C,MATCH(B3,Routes!$A:$A,0))&lt;&gt;INDEX(Vehicles!$B:$B,MATCH(D3,Vehicles!$A:$A,0)),"CHECK: vehicle type does not fit route",IF(INDEX(Routes!$C:$C,MATCH(B3,Routes!$A:$A,0))&lt;&gt;INDEX(Drivers!$D:$D,MATCH(C3,Drivers!$A:$A,0)),"CHECK: driver type does not fit route",IF(OR(INDEX(Vehicles!$E:$E,MATCH(D3,Vehicles!$A:$A,0))="Workshop",INDEX(Vehicles!$E:$E,MATCH(D3,Vehicles!$A:$A,0))="Out of service"),"CHECK: vehicle not available",IF(INDEX(Drivers!$G:$G,MATCH(C3,Drivers!$A:$A,0))&lt;&gt;"Active","CHECK: driver not active",IF(COUNTIFS($A:$A,A3,$C:$C,C3)&gt;1,"CHECK: driver assigned twice",IF(COUNTIFS($A:$A,A3,$D:$D,D3)&gt;1,"CHECK: vehicle assigned twice","OK"))))))))</f>
        <v>CHECK: vehicle not available</v>
      </c>
      <c r="H3" s="10" t="n">
        <v>22</v>
      </c>
      <c r="I3" s="10" t="n">
        <v>0</v>
      </c>
      <c r="J3" s="12" t="n">
        <f aca="false">IF(OR(H3="",H3=0),"",I3/H3)</f>
        <v>0</v>
      </c>
      <c r="K3" s="10" t="s">
        <v>86</v>
      </c>
      <c r="L3" s="10"/>
      <c r="M3" s="13"/>
      <c r="N3" s="10" t="s">
        <v>87</v>
      </c>
      <c r="O3" s="11" t="str">
        <f aca="false">IF(AND(OR(K3="At risk",K3="Late"),L3=""),"Add a reason code",IF(AND(L3="OTH",N3=""),"Explain OTH in notes",IF(AND(K3="Finished",I3&lt;H3,L3=""),"Add a reason code","")))</f>
        <v/>
      </c>
    </row>
    <row r="4" customFormat="false" ht="15" hidden="false" customHeight="false" outlineLevel="0" collapsed="false">
      <c r="A4" s="9" t="n">
        <v>46304</v>
      </c>
      <c r="B4" s="10" t="s">
        <v>88</v>
      </c>
      <c r="C4" s="10" t="s">
        <v>89</v>
      </c>
      <c r="D4" s="10" t="s">
        <v>90</v>
      </c>
      <c r="E4" s="11" t="str">
        <f aca="false">IF(C4="","",IFERROR(INDEX(Drivers!$B:$B,MATCH(C4,Drivers!$A:$A,0)),"ID not found"))</f>
        <v>Yeison Tavárez</v>
      </c>
      <c r="F4" s="11" t="str">
        <f aca="false">IF(B4="","",IFERROR(INDEX(Routes!$B:$B,MATCH(B4,Routes!$A:$A,0)),"ID not found"))</f>
        <v>Santiago</v>
      </c>
      <c r="G4" s="11" t="str">
        <f aca="false">IF(OR(B4="",C4="",D4=""),"",IF(OR(ISNA(MATCH(B4,Routes!$A:$A,0)),ISNA(MATCH(C4,Drivers!$A:$A,0)),ISNA(MATCH(D4,Vehicles!$A:$A,0))),"CHECK: ID not found",IF(INDEX(Routes!$C:$C,MATCH(B4,Routes!$A:$A,0))&lt;&gt;INDEX(Vehicles!$B:$B,MATCH(D4,Vehicles!$A:$A,0)),"CHECK: vehicle type does not fit route",IF(INDEX(Routes!$C:$C,MATCH(B4,Routes!$A:$A,0))&lt;&gt;INDEX(Drivers!$D:$D,MATCH(C4,Drivers!$A:$A,0)),"CHECK: driver type does not fit route",IF(OR(INDEX(Vehicles!$E:$E,MATCH(D4,Vehicles!$A:$A,0))="Workshop",INDEX(Vehicles!$E:$E,MATCH(D4,Vehicles!$A:$A,0))="Out of service"),"CHECK: vehicle not available",IF(INDEX(Drivers!$G:$G,MATCH(C4,Drivers!$A:$A,0))&lt;&gt;"Active","CHECK: driver not active",IF(COUNTIFS($A:$A,A4,$C:$C,C4)&gt;1,"CHECK: driver assigned twice",IF(COUNTIFS($A:$A,A4,$D:$D,D4)&gt;1,"CHECK: vehicle assigned twice","OK"))))))))</f>
        <v>OK</v>
      </c>
      <c r="H4" s="10" t="n">
        <v>8</v>
      </c>
      <c r="I4" s="10" t="n">
        <v>3</v>
      </c>
      <c r="J4" s="12" t="n">
        <f aca="false">IF(OR(H4="",H4=0),"",I4/H4)</f>
        <v>0.375</v>
      </c>
      <c r="K4" s="10" t="s">
        <v>91</v>
      </c>
      <c r="L4" s="10" t="s">
        <v>92</v>
      </c>
      <c r="M4" s="13" t="n">
        <v>0.486111111111111</v>
      </c>
      <c r="N4" s="10" t="s">
        <v>93</v>
      </c>
      <c r="O4" s="11" t="str">
        <f aca="false">IF(AND(OR(K4="At risk",K4="Late"),L4=""),"Add a reason code",IF(AND(L4="OTH",N4=""),"Explain OTH in notes",IF(AND(K4="Finished",I4&lt;H4,L4=""),"Add a reason code","")))</f>
        <v/>
      </c>
    </row>
    <row r="5" customFormat="false" ht="15" hidden="false" customHeight="false" outlineLevel="0" collapsed="false">
      <c r="A5" s="9" t="n">
        <v>46304</v>
      </c>
      <c r="B5" s="10" t="s">
        <v>94</v>
      </c>
      <c r="C5" s="10" t="s">
        <v>95</v>
      </c>
      <c r="D5" s="10" t="s">
        <v>96</v>
      </c>
      <c r="E5" s="11" t="str">
        <f aca="false">IF(C5="","",IFERROR(INDEX(Drivers!$B:$B,MATCH(C5,Drivers!$A:$A,0)),"ID not found"))</f>
        <v>Mercedes Rodríguez</v>
      </c>
      <c r="F5" s="11" t="str">
        <f aca="false">IF(B5="","",IFERROR(INDEX(Routes!$B:$B,MATCH(B5,Routes!$A:$A,0)),"ID not found"))</f>
        <v>San Cristóbal</v>
      </c>
      <c r="G5" s="11" t="str">
        <f aca="false">IF(OR(B5="",C5="",D5=""),"",IF(OR(ISNA(MATCH(B5,Routes!$A:$A,0)),ISNA(MATCH(C5,Drivers!$A:$A,0)),ISNA(MATCH(D5,Vehicles!$A:$A,0))),"CHECK: ID not found",IF(INDEX(Routes!$C:$C,MATCH(B5,Routes!$A:$A,0))&lt;&gt;INDEX(Vehicles!$B:$B,MATCH(D5,Vehicles!$A:$A,0)),"CHECK: vehicle type does not fit route",IF(INDEX(Routes!$C:$C,MATCH(B5,Routes!$A:$A,0))&lt;&gt;INDEX(Drivers!$D:$D,MATCH(C5,Drivers!$A:$A,0)),"CHECK: driver type does not fit route",IF(OR(INDEX(Vehicles!$E:$E,MATCH(D5,Vehicles!$A:$A,0))="Workshop",INDEX(Vehicles!$E:$E,MATCH(D5,Vehicles!$A:$A,0))="Out of service"),"CHECK: vehicle not available",IF(INDEX(Drivers!$G:$G,MATCH(C5,Drivers!$A:$A,0))&lt;&gt;"Active","CHECK: driver not active",IF(COUNTIFS($A:$A,A5,$C:$C,C5)&gt;1,"CHECK: driver assigned twice",IF(COUNTIFS($A:$A,A5,$D:$D,D5)&gt;1,"CHECK: vehicle assigned twice","OK"))))))))</f>
        <v>OK</v>
      </c>
      <c r="H5" s="10" t="n">
        <v>18</v>
      </c>
      <c r="I5" s="10" t="n">
        <v>9</v>
      </c>
      <c r="J5" s="12" t="n">
        <f aca="false">IF(OR(H5="",H5=0),"",I5/H5)</f>
        <v>0.5</v>
      </c>
      <c r="K5" s="10" t="s">
        <v>97</v>
      </c>
      <c r="L5" s="10"/>
      <c r="M5" s="13" t="n">
        <v>0.46875</v>
      </c>
      <c r="N5" s="10" t="s">
        <v>98</v>
      </c>
      <c r="O5" s="11" t="str">
        <f aca="false">IF(AND(OR(K5="At risk",K5="Late"),L5=""),"Add a reason code",IF(AND(L5="OTH",N5=""),"Explain OTH in notes",IF(AND(K5="Finished",I5&lt;H5,L5=""),"Add a reason code","")))</f>
        <v>Add a reason code</v>
      </c>
    </row>
    <row r="6" customFormat="false" ht="15" hidden="false" customHeight="false" outlineLevel="0" collapsed="false">
      <c r="A6" s="14"/>
      <c r="B6" s="15"/>
      <c r="C6" s="15"/>
      <c r="D6" s="15"/>
      <c r="E6" s="16" t="str">
        <f aca="false">IF(C6="","",IFERROR(INDEX(Drivers!$B:$B,MATCH(C6,Drivers!$A:$A,0)),"ID not found"))</f>
        <v/>
      </c>
      <c r="F6" s="16" t="str">
        <f aca="false">IF(B6="","",IFERROR(INDEX(Routes!$B:$B,MATCH(B6,Routes!$A:$A,0)),"ID not found"))</f>
        <v/>
      </c>
      <c r="G6" s="16" t="str">
        <f aca="false">IF(OR(B6="",C6="",D6=""),"",IF(OR(ISNA(MATCH(B6,Routes!$A:$A,0)),ISNA(MATCH(C6,Drivers!$A:$A,0)),ISNA(MATCH(D6,Vehicles!$A:$A,0))),"CHECK: ID not found",IF(INDEX(Routes!$C:$C,MATCH(B6,Routes!$A:$A,0))&lt;&gt;INDEX(Vehicles!$B:$B,MATCH(D6,Vehicles!$A:$A,0)),"CHECK: vehicle type does not fit route",IF(INDEX(Routes!$C:$C,MATCH(B6,Routes!$A:$A,0))&lt;&gt;INDEX(Drivers!$D:$D,MATCH(C6,Drivers!$A:$A,0)),"CHECK: driver type does not fit route",IF(OR(INDEX(Vehicles!$E:$E,MATCH(D6,Vehicles!$A:$A,0))="Workshop",INDEX(Vehicles!$E:$E,MATCH(D6,Vehicles!$A:$A,0))="Out of service"),"CHECK: vehicle not available",IF(INDEX(Drivers!$G:$G,MATCH(C6,Drivers!$A:$A,0))&lt;&gt;"Active","CHECK: driver not active",IF(COUNTIFS($A:$A,A6,$C:$C,C6)&gt;1,"CHECK: driver assigned twice",IF(COUNTIFS($A:$A,A6,$D:$D,D6)&gt;1,"CHECK: vehicle assigned twice","OK"))))))))</f>
        <v/>
      </c>
      <c r="H6" s="15"/>
      <c r="I6" s="15"/>
      <c r="J6" s="17" t="str">
        <f aca="false">IF(OR(H6="",H6=0),"",I6/H6)</f>
        <v/>
      </c>
      <c r="K6" s="15"/>
      <c r="L6" s="15"/>
      <c r="M6" s="18"/>
      <c r="N6" s="15"/>
      <c r="O6" s="16" t="str">
        <f aca="false">IF(AND(OR(K6="At risk",K6="Late"),L6=""),"Add a reason code",IF(AND(L6="OTH",N6=""),"Explain OTH in notes",IF(AND(K6="Finished",I6&lt;H6,L6=""),"Add a reason code","")))</f>
        <v/>
      </c>
    </row>
    <row r="7" customFormat="false" ht="15" hidden="false" customHeight="false" outlineLevel="0" collapsed="false">
      <c r="A7" s="14"/>
      <c r="B7" s="15"/>
      <c r="C7" s="15"/>
      <c r="D7" s="15"/>
      <c r="E7" s="16" t="str">
        <f aca="false">IF(C7="","",IFERROR(INDEX(Drivers!$B:$B,MATCH(C7,Drivers!$A:$A,0)),"ID not found"))</f>
        <v/>
      </c>
      <c r="F7" s="16" t="str">
        <f aca="false">IF(B7="","",IFERROR(INDEX(Routes!$B:$B,MATCH(B7,Routes!$A:$A,0)),"ID not found"))</f>
        <v/>
      </c>
      <c r="G7" s="16" t="str">
        <f aca="false">IF(OR(B7="",C7="",D7=""),"",IF(OR(ISNA(MATCH(B7,Routes!$A:$A,0)),ISNA(MATCH(C7,Drivers!$A:$A,0)),ISNA(MATCH(D7,Vehicles!$A:$A,0))),"CHECK: ID not found",IF(INDEX(Routes!$C:$C,MATCH(B7,Routes!$A:$A,0))&lt;&gt;INDEX(Vehicles!$B:$B,MATCH(D7,Vehicles!$A:$A,0)),"CHECK: vehicle type does not fit route",IF(INDEX(Routes!$C:$C,MATCH(B7,Routes!$A:$A,0))&lt;&gt;INDEX(Drivers!$D:$D,MATCH(C7,Drivers!$A:$A,0)),"CHECK: driver type does not fit route",IF(OR(INDEX(Vehicles!$E:$E,MATCH(D7,Vehicles!$A:$A,0))="Workshop",INDEX(Vehicles!$E:$E,MATCH(D7,Vehicles!$A:$A,0))="Out of service"),"CHECK: vehicle not available",IF(INDEX(Drivers!$G:$G,MATCH(C7,Drivers!$A:$A,0))&lt;&gt;"Active","CHECK: driver not active",IF(COUNTIFS($A:$A,A7,$C:$C,C7)&gt;1,"CHECK: driver assigned twice",IF(COUNTIFS($A:$A,A7,$D:$D,D7)&gt;1,"CHECK: vehicle assigned twice","OK"))))))))</f>
        <v/>
      </c>
      <c r="H7" s="15"/>
      <c r="I7" s="15"/>
      <c r="J7" s="17" t="str">
        <f aca="false">IF(OR(H7="",H7=0),"",I7/H7)</f>
        <v/>
      </c>
      <c r="K7" s="15"/>
      <c r="L7" s="15"/>
      <c r="M7" s="18"/>
      <c r="N7" s="15"/>
      <c r="O7" s="16" t="str">
        <f aca="false">IF(AND(OR(K7="At risk",K7="Late"),L7=""),"Add a reason code",IF(AND(L7="OTH",N7=""),"Explain OTH in notes",IF(AND(K7="Finished",I7&lt;H7,L7=""),"Add a reason code","")))</f>
        <v/>
      </c>
    </row>
    <row r="8" customFormat="false" ht="15" hidden="false" customHeight="false" outlineLevel="0" collapsed="false">
      <c r="A8" s="14"/>
      <c r="B8" s="15"/>
      <c r="C8" s="15"/>
      <c r="D8" s="15"/>
      <c r="E8" s="16" t="str">
        <f aca="false">IF(C8="","",IFERROR(INDEX(Drivers!$B:$B,MATCH(C8,Drivers!$A:$A,0)),"ID not found"))</f>
        <v/>
      </c>
      <c r="F8" s="16" t="str">
        <f aca="false">IF(B8="","",IFERROR(INDEX(Routes!$B:$B,MATCH(B8,Routes!$A:$A,0)),"ID not found"))</f>
        <v/>
      </c>
      <c r="G8" s="16" t="str">
        <f aca="false">IF(OR(B8="",C8="",D8=""),"",IF(OR(ISNA(MATCH(B8,Routes!$A:$A,0)),ISNA(MATCH(C8,Drivers!$A:$A,0)),ISNA(MATCH(D8,Vehicles!$A:$A,0))),"CHECK: ID not found",IF(INDEX(Routes!$C:$C,MATCH(B8,Routes!$A:$A,0))&lt;&gt;INDEX(Vehicles!$B:$B,MATCH(D8,Vehicles!$A:$A,0)),"CHECK: vehicle type does not fit route",IF(INDEX(Routes!$C:$C,MATCH(B8,Routes!$A:$A,0))&lt;&gt;INDEX(Drivers!$D:$D,MATCH(C8,Drivers!$A:$A,0)),"CHECK: driver type does not fit route",IF(OR(INDEX(Vehicles!$E:$E,MATCH(D8,Vehicles!$A:$A,0))="Workshop",INDEX(Vehicles!$E:$E,MATCH(D8,Vehicles!$A:$A,0))="Out of service"),"CHECK: vehicle not available",IF(INDEX(Drivers!$G:$G,MATCH(C8,Drivers!$A:$A,0))&lt;&gt;"Active","CHECK: driver not active",IF(COUNTIFS($A:$A,A8,$C:$C,C8)&gt;1,"CHECK: driver assigned twice",IF(COUNTIFS($A:$A,A8,$D:$D,D8)&gt;1,"CHECK: vehicle assigned twice","OK"))))))))</f>
        <v/>
      </c>
      <c r="H8" s="15"/>
      <c r="I8" s="15"/>
      <c r="J8" s="17" t="str">
        <f aca="false">IF(OR(H8="",H8=0),"",I8/H8)</f>
        <v/>
      </c>
      <c r="K8" s="15"/>
      <c r="L8" s="15"/>
      <c r="M8" s="18"/>
      <c r="N8" s="15"/>
      <c r="O8" s="16" t="str">
        <f aca="false">IF(AND(OR(K8="At risk",K8="Late"),L8=""),"Add a reason code",IF(AND(L8="OTH",N8=""),"Explain OTH in notes",IF(AND(K8="Finished",I8&lt;H8,L8=""),"Add a reason code","")))</f>
        <v/>
      </c>
    </row>
    <row r="9" customFormat="false" ht="15" hidden="false" customHeight="false" outlineLevel="0" collapsed="false">
      <c r="A9" s="14"/>
      <c r="B9" s="15"/>
      <c r="C9" s="15"/>
      <c r="D9" s="15"/>
      <c r="E9" s="16" t="str">
        <f aca="false">IF(C9="","",IFERROR(INDEX(Drivers!$B:$B,MATCH(C9,Drivers!$A:$A,0)),"ID not found"))</f>
        <v/>
      </c>
      <c r="F9" s="16" t="str">
        <f aca="false">IF(B9="","",IFERROR(INDEX(Routes!$B:$B,MATCH(B9,Routes!$A:$A,0)),"ID not found"))</f>
        <v/>
      </c>
      <c r="G9" s="16" t="str">
        <f aca="false">IF(OR(B9="",C9="",D9=""),"",IF(OR(ISNA(MATCH(B9,Routes!$A:$A,0)),ISNA(MATCH(C9,Drivers!$A:$A,0)),ISNA(MATCH(D9,Vehicles!$A:$A,0))),"CHECK: ID not found",IF(INDEX(Routes!$C:$C,MATCH(B9,Routes!$A:$A,0))&lt;&gt;INDEX(Vehicles!$B:$B,MATCH(D9,Vehicles!$A:$A,0)),"CHECK: vehicle type does not fit route",IF(INDEX(Routes!$C:$C,MATCH(B9,Routes!$A:$A,0))&lt;&gt;INDEX(Drivers!$D:$D,MATCH(C9,Drivers!$A:$A,0)),"CHECK: driver type does not fit route",IF(OR(INDEX(Vehicles!$E:$E,MATCH(D9,Vehicles!$A:$A,0))="Workshop",INDEX(Vehicles!$E:$E,MATCH(D9,Vehicles!$A:$A,0))="Out of service"),"CHECK: vehicle not available",IF(INDEX(Drivers!$G:$G,MATCH(C9,Drivers!$A:$A,0))&lt;&gt;"Active","CHECK: driver not active",IF(COUNTIFS($A:$A,A9,$C:$C,C9)&gt;1,"CHECK: driver assigned twice",IF(COUNTIFS($A:$A,A9,$D:$D,D9)&gt;1,"CHECK: vehicle assigned twice","OK"))))))))</f>
        <v/>
      </c>
      <c r="H9" s="15"/>
      <c r="I9" s="15"/>
      <c r="J9" s="17" t="str">
        <f aca="false">IF(OR(H9="",H9=0),"",I9/H9)</f>
        <v/>
      </c>
      <c r="K9" s="15"/>
      <c r="L9" s="15"/>
      <c r="M9" s="18"/>
      <c r="N9" s="15"/>
      <c r="O9" s="16" t="str">
        <f aca="false">IF(AND(OR(K9="At risk",K9="Late"),L9=""),"Add a reason code",IF(AND(L9="OTH",N9=""),"Explain OTH in notes",IF(AND(K9="Finished",I9&lt;H9,L9=""),"Add a reason code","")))</f>
        <v/>
      </c>
    </row>
    <row r="10" customFormat="false" ht="15" hidden="false" customHeight="false" outlineLevel="0" collapsed="false">
      <c r="A10" s="14"/>
      <c r="B10" s="15"/>
      <c r="C10" s="15"/>
      <c r="D10" s="15"/>
      <c r="E10" s="16" t="str">
        <f aca="false">IF(C10="","",IFERROR(INDEX(Drivers!$B:$B,MATCH(C10,Drivers!$A:$A,0)),"ID not found"))</f>
        <v/>
      </c>
      <c r="F10" s="16" t="str">
        <f aca="false">IF(B10="","",IFERROR(INDEX(Routes!$B:$B,MATCH(B10,Routes!$A:$A,0)),"ID not found"))</f>
        <v/>
      </c>
      <c r="G10" s="16" t="str">
        <f aca="false">IF(OR(B10="",C10="",D10=""),"",IF(OR(ISNA(MATCH(B10,Routes!$A:$A,0)),ISNA(MATCH(C10,Drivers!$A:$A,0)),ISNA(MATCH(D10,Vehicles!$A:$A,0))),"CHECK: ID not found",IF(INDEX(Routes!$C:$C,MATCH(B10,Routes!$A:$A,0))&lt;&gt;INDEX(Vehicles!$B:$B,MATCH(D10,Vehicles!$A:$A,0)),"CHECK: vehicle type does not fit route",IF(INDEX(Routes!$C:$C,MATCH(B10,Routes!$A:$A,0))&lt;&gt;INDEX(Drivers!$D:$D,MATCH(C10,Drivers!$A:$A,0)),"CHECK: driver type does not fit route",IF(OR(INDEX(Vehicles!$E:$E,MATCH(D10,Vehicles!$A:$A,0))="Workshop",INDEX(Vehicles!$E:$E,MATCH(D10,Vehicles!$A:$A,0))="Out of service"),"CHECK: vehicle not available",IF(INDEX(Drivers!$G:$G,MATCH(C10,Drivers!$A:$A,0))&lt;&gt;"Active","CHECK: driver not active",IF(COUNTIFS($A:$A,A10,$C:$C,C10)&gt;1,"CHECK: driver assigned twice",IF(COUNTIFS($A:$A,A10,$D:$D,D10)&gt;1,"CHECK: vehicle assigned twice","OK"))))))))</f>
        <v/>
      </c>
      <c r="H10" s="15"/>
      <c r="I10" s="15"/>
      <c r="J10" s="17" t="str">
        <f aca="false">IF(OR(H10="",H10=0),"",I10/H10)</f>
        <v/>
      </c>
      <c r="K10" s="15"/>
      <c r="L10" s="15"/>
      <c r="M10" s="18"/>
      <c r="N10" s="15"/>
      <c r="O10" s="16" t="str">
        <f aca="false">IF(AND(OR(K10="At risk",K10="Late"),L10=""),"Add a reason code",IF(AND(L10="OTH",N10=""),"Explain OTH in notes",IF(AND(K10="Finished",I10&lt;H10,L10=""),"Add a reason code","")))</f>
        <v/>
      </c>
    </row>
    <row r="11" customFormat="false" ht="15" hidden="false" customHeight="false" outlineLevel="0" collapsed="false">
      <c r="A11" s="14"/>
      <c r="B11" s="15"/>
      <c r="C11" s="15"/>
      <c r="D11" s="15"/>
      <c r="E11" s="16" t="str">
        <f aca="false">IF(C11="","",IFERROR(INDEX(Drivers!$B:$B,MATCH(C11,Drivers!$A:$A,0)),"ID not found"))</f>
        <v/>
      </c>
      <c r="F11" s="16" t="str">
        <f aca="false">IF(B11="","",IFERROR(INDEX(Routes!$B:$B,MATCH(B11,Routes!$A:$A,0)),"ID not found"))</f>
        <v/>
      </c>
      <c r="G11" s="16" t="str">
        <f aca="false">IF(OR(B11="",C11="",D11=""),"",IF(OR(ISNA(MATCH(B11,Routes!$A:$A,0)),ISNA(MATCH(C11,Drivers!$A:$A,0)),ISNA(MATCH(D11,Vehicles!$A:$A,0))),"CHECK: ID not found",IF(INDEX(Routes!$C:$C,MATCH(B11,Routes!$A:$A,0))&lt;&gt;INDEX(Vehicles!$B:$B,MATCH(D11,Vehicles!$A:$A,0)),"CHECK: vehicle type does not fit route",IF(INDEX(Routes!$C:$C,MATCH(B11,Routes!$A:$A,0))&lt;&gt;INDEX(Drivers!$D:$D,MATCH(C11,Drivers!$A:$A,0)),"CHECK: driver type does not fit route",IF(OR(INDEX(Vehicles!$E:$E,MATCH(D11,Vehicles!$A:$A,0))="Workshop",INDEX(Vehicles!$E:$E,MATCH(D11,Vehicles!$A:$A,0))="Out of service"),"CHECK: vehicle not available",IF(INDEX(Drivers!$G:$G,MATCH(C11,Drivers!$A:$A,0))&lt;&gt;"Active","CHECK: driver not active",IF(COUNTIFS($A:$A,A11,$C:$C,C11)&gt;1,"CHECK: driver assigned twice",IF(COUNTIFS($A:$A,A11,$D:$D,D11)&gt;1,"CHECK: vehicle assigned twice","OK"))))))))</f>
        <v/>
      </c>
      <c r="H11" s="15"/>
      <c r="I11" s="15"/>
      <c r="J11" s="17" t="str">
        <f aca="false">IF(OR(H11="",H11=0),"",I11/H11)</f>
        <v/>
      </c>
      <c r="K11" s="15"/>
      <c r="L11" s="15"/>
      <c r="M11" s="18"/>
      <c r="N11" s="15"/>
      <c r="O11" s="16" t="str">
        <f aca="false">IF(AND(OR(K11="At risk",K11="Late"),L11=""),"Add a reason code",IF(AND(L11="OTH",N11=""),"Explain OTH in notes",IF(AND(K11="Finished",I11&lt;H11,L11=""),"Add a reason code","")))</f>
        <v/>
      </c>
    </row>
    <row r="12" customFormat="false" ht="15" hidden="false" customHeight="false" outlineLevel="0" collapsed="false">
      <c r="A12" s="14"/>
      <c r="B12" s="15"/>
      <c r="C12" s="15"/>
      <c r="D12" s="15"/>
      <c r="E12" s="16" t="str">
        <f aca="false">IF(C12="","",IFERROR(INDEX(Drivers!$B:$B,MATCH(C12,Drivers!$A:$A,0)),"ID not found"))</f>
        <v/>
      </c>
      <c r="F12" s="16" t="str">
        <f aca="false">IF(B12="","",IFERROR(INDEX(Routes!$B:$B,MATCH(B12,Routes!$A:$A,0)),"ID not found"))</f>
        <v/>
      </c>
      <c r="G12" s="16" t="str">
        <f aca="false">IF(OR(B12="",C12="",D12=""),"",IF(OR(ISNA(MATCH(B12,Routes!$A:$A,0)),ISNA(MATCH(C12,Drivers!$A:$A,0)),ISNA(MATCH(D12,Vehicles!$A:$A,0))),"CHECK: ID not found",IF(INDEX(Routes!$C:$C,MATCH(B12,Routes!$A:$A,0))&lt;&gt;INDEX(Vehicles!$B:$B,MATCH(D12,Vehicles!$A:$A,0)),"CHECK: vehicle type does not fit route",IF(INDEX(Routes!$C:$C,MATCH(B12,Routes!$A:$A,0))&lt;&gt;INDEX(Drivers!$D:$D,MATCH(C12,Drivers!$A:$A,0)),"CHECK: driver type does not fit route",IF(OR(INDEX(Vehicles!$E:$E,MATCH(D12,Vehicles!$A:$A,0))="Workshop",INDEX(Vehicles!$E:$E,MATCH(D12,Vehicles!$A:$A,0))="Out of service"),"CHECK: vehicle not available",IF(INDEX(Drivers!$G:$G,MATCH(C12,Drivers!$A:$A,0))&lt;&gt;"Active","CHECK: driver not active",IF(COUNTIFS($A:$A,A12,$C:$C,C12)&gt;1,"CHECK: driver assigned twice",IF(COUNTIFS($A:$A,A12,$D:$D,D12)&gt;1,"CHECK: vehicle assigned twice","OK"))))))))</f>
        <v/>
      </c>
      <c r="H12" s="15"/>
      <c r="I12" s="15"/>
      <c r="J12" s="17" t="str">
        <f aca="false">IF(OR(H12="",H12=0),"",I12/H12)</f>
        <v/>
      </c>
      <c r="K12" s="15"/>
      <c r="L12" s="15"/>
      <c r="M12" s="18"/>
      <c r="N12" s="15"/>
      <c r="O12" s="16" t="str">
        <f aca="false">IF(AND(OR(K12="At risk",K12="Late"),L12=""),"Add a reason code",IF(AND(L12="OTH",N12=""),"Explain OTH in notes",IF(AND(K12="Finished",I12&lt;H12,L12=""),"Add a reason code","")))</f>
        <v/>
      </c>
    </row>
    <row r="13" customFormat="false" ht="15" hidden="false" customHeight="false" outlineLevel="0" collapsed="false">
      <c r="A13" s="14"/>
      <c r="B13" s="15"/>
      <c r="C13" s="15"/>
      <c r="D13" s="15"/>
      <c r="E13" s="16" t="str">
        <f aca="false">IF(C13="","",IFERROR(INDEX(Drivers!$B:$B,MATCH(C13,Drivers!$A:$A,0)),"ID not found"))</f>
        <v/>
      </c>
      <c r="F13" s="16" t="str">
        <f aca="false">IF(B13="","",IFERROR(INDEX(Routes!$B:$B,MATCH(B13,Routes!$A:$A,0)),"ID not found"))</f>
        <v/>
      </c>
      <c r="G13" s="16" t="str">
        <f aca="false">IF(OR(B13="",C13="",D13=""),"",IF(OR(ISNA(MATCH(B13,Routes!$A:$A,0)),ISNA(MATCH(C13,Drivers!$A:$A,0)),ISNA(MATCH(D13,Vehicles!$A:$A,0))),"CHECK: ID not found",IF(INDEX(Routes!$C:$C,MATCH(B13,Routes!$A:$A,0))&lt;&gt;INDEX(Vehicles!$B:$B,MATCH(D13,Vehicles!$A:$A,0)),"CHECK: vehicle type does not fit route",IF(INDEX(Routes!$C:$C,MATCH(B13,Routes!$A:$A,0))&lt;&gt;INDEX(Drivers!$D:$D,MATCH(C13,Drivers!$A:$A,0)),"CHECK: driver type does not fit route",IF(OR(INDEX(Vehicles!$E:$E,MATCH(D13,Vehicles!$A:$A,0))="Workshop",INDEX(Vehicles!$E:$E,MATCH(D13,Vehicles!$A:$A,0))="Out of service"),"CHECK: vehicle not available",IF(INDEX(Drivers!$G:$G,MATCH(C13,Drivers!$A:$A,0))&lt;&gt;"Active","CHECK: driver not active",IF(COUNTIFS($A:$A,A13,$C:$C,C13)&gt;1,"CHECK: driver assigned twice",IF(COUNTIFS($A:$A,A13,$D:$D,D13)&gt;1,"CHECK: vehicle assigned twice","OK"))))))))</f>
        <v/>
      </c>
      <c r="H13" s="15"/>
      <c r="I13" s="15"/>
      <c r="J13" s="17" t="str">
        <f aca="false">IF(OR(H13="",H13=0),"",I13/H13)</f>
        <v/>
      </c>
      <c r="K13" s="15"/>
      <c r="L13" s="15"/>
      <c r="M13" s="18"/>
      <c r="N13" s="15"/>
      <c r="O13" s="16" t="str">
        <f aca="false">IF(AND(OR(K13="At risk",K13="Late"),L13=""),"Add a reason code",IF(AND(L13="OTH",N13=""),"Explain OTH in notes",IF(AND(K13="Finished",I13&lt;H13,L13=""),"Add a reason code","")))</f>
        <v/>
      </c>
    </row>
    <row r="14" customFormat="false" ht="15" hidden="false" customHeight="false" outlineLevel="0" collapsed="false">
      <c r="A14" s="14"/>
      <c r="B14" s="15"/>
      <c r="C14" s="15"/>
      <c r="D14" s="15"/>
      <c r="E14" s="16" t="str">
        <f aca="false">IF(C14="","",IFERROR(INDEX(Drivers!$B:$B,MATCH(C14,Drivers!$A:$A,0)),"ID not found"))</f>
        <v/>
      </c>
      <c r="F14" s="16" t="str">
        <f aca="false">IF(B14="","",IFERROR(INDEX(Routes!$B:$B,MATCH(B14,Routes!$A:$A,0)),"ID not found"))</f>
        <v/>
      </c>
      <c r="G14" s="16" t="str">
        <f aca="false">IF(OR(B14="",C14="",D14=""),"",IF(OR(ISNA(MATCH(B14,Routes!$A:$A,0)),ISNA(MATCH(C14,Drivers!$A:$A,0)),ISNA(MATCH(D14,Vehicles!$A:$A,0))),"CHECK: ID not found",IF(INDEX(Routes!$C:$C,MATCH(B14,Routes!$A:$A,0))&lt;&gt;INDEX(Vehicles!$B:$B,MATCH(D14,Vehicles!$A:$A,0)),"CHECK: vehicle type does not fit route",IF(INDEX(Routes!$C:$C,MATCH(B14,Routes!$A:$A,0))&lt;&gt;INDEX(Drivers!$D:$D,MATCH(C14,Drivers!$A:$A,0)),"CHECK: driver type does not fit route",IF(OR(INDEX(Vehicles!$E:$E,MATCH(D14,Vehicles!$A:$A,0))="Workshop",INDEX(Vehicles!$E:$E,MATCH(D14,Vehicles!$A:$A,0))="Out of service"),"CHECK: vehicle not available",IF(INDEX(Drivers!$G:$G,MATCH(C14,Drivers!$A:$A,0))&lt;&gt;"Active","CHECK: driver not active",IF(COUNTIFS($A:$A,A14,$C:$C,C14)&gt;1,"CHECK: driver assigned twice",IF(COUNTIFS($A:$A,A14,$D:$D,D14)&gt;1,"CHECK: vehicle assigned twice","OK"))))))))</f>
        <v/>
      </c>
      <c r="H14" s="15"/>
      <c r="I14" s="15"/>
      <c r="J14" s="17" t="str">
        <f aca="false">IF(OR(H14="",H14=0),"",I14/H14)</f>
        <v/>
      </c>
      <c r="K14" s="15"/>
      <c r="L14" s="15"/>
      <c r="M14" s="18"/>
      <c r="N14" s="15"/>
      <c r="O14" s="16" t="str">
        <f aca="false">IF(AND(OR(K14="At risk",K14="Late"),L14=""),"Add a reason code",IF(AND(L14="OTH",N14=""),"Explain OTH in notes",IF(AND(K14="Finished",I14&lt;H14,L14=""),"Add a reason code","")))</f>
        <v/>
      </c>
    </row>
    <row r="15" customFormat="false" ht="15" hidden="false" customHeight="false" outlineLevel="0" collapsed="false">
      <c r="A15" s="14"/>
      <c r="B15" s="15"/>
      <c r="C15" s="15"/>
      <c r="D15" s="15"/>
      <c r="E15" s="16" t="str">
        <f aca="false">IF(C15="","",IFERROR(INDEX(Drivers!$B:$B,MATCH(C15,Drivers!$A:$A,0)),"ID not found"))</f>
        <v/>
      </c>
      <c r="F15" s="16" t="str">
        <f aca="false">IF(B15="","",IFERROR(INDEX(Routes!$B:$B,MATCH(B15,Routes!$A:$A,0)),"ID not found"))</f>
        <v/>
      </c>
      <c r="G15" s="16" t="str">
        <f aca="false">IF(OR(B15="",C15="",D15=""),"",IF(OR(ISNA(MATCH(B15,Routes!$A:$A,0)),ISNA(MATCH(C15,Drivers!$A:$A,0)),ISNA(MATCH(D15,Vehicles!$A:$A,0))),"CHECK: ID not found",IF(INDEX(Routes!$C:$C,MATCH(B15,Routes!$A:$A,0))&lt;&gt;INDEX(Vehicles!$B:$B,MATCH(D15,Vehicles!$A:$A,0)),"CHECK: vehicle type does not fit route",IF(INDEX(Routes!$C:$C,MATCH(B15,Routes!$A:$A,0))&lt;&gt;INDEX(Drivers!$D:$D,MATCH(C15,Drivers!$A:$A,0)),"CHECK: driver type does not fit route",IF(OR(INDEX(Vehicles!$E:$E,MATCH(D15,Vehicles!$A:$A,0))="Workshop",INDEX(Vehicles!$E:$E,MATCH(D15,Vehicles!$A:$A,0))="Out of service"),"CHECK: vehicle not available",IF(INDEX(Drivers!$G:$G,MATCH(C15,Drivers!$A:$A,0))&lt;&gt;"Active","CHECK: driver not active",IF(COUNTIFS($A:$A,A15,$C:$C,C15)&gt;1,"CHECK: driver assigned twice",IF(COUNTIFS($A:$A,A15,$D:$D,D15)&gt;1,"CHECK: vehicle assigned twice","OK"))))))))</f>
        <v/>
      </c>
      <c r="H15" s="15"/>
      <c r="I15" s="15"/>
      <c r="J15" s="17" t="str">
        <f aca="false">IF(OR(H15="",H15=0),"",I15/H15)</f>
        <v/>
      </c>
      <c r="K15" s="15"/>
      <c r="L15" s="15"/>
      <c r="M15" s="18"/>
      <c r="N15" s="15"/>
      <c r="O15" s="16" t="str">
        <f aca="false">IF(AND(OR(K15="At risk",K15="Late"),L15=""),"Add a reason code",IF(AND(L15="OTH",N15=""),"Explain OTH in notes",IF(AND(K15="Finished",I15&lt;H15,L15=""),"Add a reason code","")))</f>
        <v/>
      </c>
    </row>
    <row r="16" customFormat="false" ht="15" hidden="false" customHeight="false" outlineLevel="0" collapsed="false">
      <c r="A16" s="14"/>
      <c r="B16" s="15"/>
      <c r="C16" s="15"/>
      <c r="D16" s="15"/>
      <c r="E16" s="16" t="str">
        <f aca="false">IF(C16="","",IFERROR(INDEX(Drivers!$B:$B,MATCH(C16,Drivers!$A:$A,0)),"ID not found"))</f>
        <v/>
      </c>
      <c r="F16" s="16" t="str">
        <f aca="false">IF(B16="","",IFERROR(INDEX(Routes!$B:$B,MATCH(B16,Routes!$A:$A,0)),"ID not found"))</f>
        <v/>
      </c>
      <c r="G16" s="16" t="str">
        <f aca="false">IF(OR(B16="",C16="",D16=""),"",IF(OR(ISNA(MATCH(B16,Routes!$A:$A,0)),ISNA(MATCH(C16,Drivers!$A:$A,0)),ISNA(MATCH(D16,Vehicles!$A:$A,0))),"CHECK: ID not found",IF(INDEX(Routes!$C:$C,MATCH(B16,Routes!$A:$A,0))&lt;&gt;INDEX(Vehicles!$B:$B,MATCH(D16,Vehicles!$A:$A,0)),"CHECK: vehicle type does not fit route",IF(INDEX(Routes!$C:$C,MATCH(B16,Routes!$A:$A,0))&lt;&gt;INDEX(Drivers!$D:$D,MATCH(C16,Drivers!$A:$A,0)),"CHECK: driver type does not fit route",IF(OR(INDEX(Vehicles!$E:$E,MATCH(D16,Vehicles!$A:$A,0))="Workshop",INDEX(Vehicles!$E:$E,MATCH(D16,Vehicles!$A:$A,0))="Out of service"),"CHECK: vehicle not available",IF(INDEX(Drivers!$G:$G,MATCH(C16,Drivers!$A:$A,0))&lt;&gt;"Active","CHECK: driver not active",IF(COUNTIFS($A:$A,A16,$C:$C,C16)&gt;1,"CHECK: driver assigned twice",IF(COUNTIFS($A:$A,A16,$D:$D,D16)&gt;1,"CHECK: vehicle assigned twice","OK"))))))))</f>
        <v/>
      </c>
      <c r="H16" s="15"/>
      <c r="I16" s="15"/>
      <c r="J16" s="17" t="str">
        <f aca="false">IF(OR(H16="",H16=0),"",I16/H16)</f>
        <v/>
      </c>
      <c r="K16" s="15"/>
      <c r="L16" s="15"/>
      <c r="M16" s="18"/>
      <c r="N16" s="15"/>
      <c r="O16" s="16" t="str">
        <f aca="false">IF(AND(OR(K16="At risk",K16="Late"),L16=""),"Add a reason code",IF(AND(L16="OTH",N16=""),"Explain OTH in notes",IF(AND(K16="Finished",I16&lt;H16,L16=""),"Add a reason code","")))</f>
        <v/>
      </c>
    </row>
    <row r="17" customFormat="false" ht="15" hidden="false" customHeight="false" outlineLevel="0" collapsed="false">
      <c r="A17" s="14"/>
      <c r="B17" s="15"/>
      <c r="C17" s="15"/>
      <c r="D17" s="15"/>
      <c r="E17" s="16" t="str">
        <f aca="false">IF(C17="","",IFERROR(INDEX(Drivers!$B:$B,MATCH(C17,Drivers!$A:$A,0)),"ID not found"))</f>
        <v/>
      </c>
      <c r="F17" s="16" t="str">
        <f aca="false">IF(B17="","",IFERROR(INDEX(Routes!$B:$B,MATCH(B17,Routes!$A:$A,0)),"ID not found"))</f>
        <v/>
      </c>
      <c r="G17" s="16" t="str">
        <f aca="false">IF(OR(B17="",C17="",D17=""),"",IF(OR(ISNA(MATCH(B17,Routes!$A:$A,0)),ISNA(MATCH(C17,Drivers!$A:$A,0)),ISNA(MATCH(D17,Vehicles!$A:$A,0))),"CHECK: ID not found",IF(INDEX(Routes!$C:$C,MATCH(B17,Routes!$A:$A,0))&lt;&gt;INDEX(Vehicles!$B:$B,MATCH(D17,Vehicles!$A:$A,0)),"CHECK: vehicle type does not fit route",IF(INDEX(Routes!$C:$C,MATCH(B17,Routes!$A:$A,0))&lt;&gt;INDEX(Drivers!$D:$D,MATCH(C17,Drivers!$A:$A,0)),"CHECK: driver type does not fit route",IF(OR(INDEX(Vehicles!$E:$E,MATCH(D17,Vehicles!$A:$A,0))="Workshop",INDEX(Vehicles!$E:$E,MATCH(D17,Vehicles!$A:$A,0))="Out of service"),"CHECK: vehicle not available",IF(INDEX(Drivers!$G:$G,MATCH(C17,Drivers!$A:$A,0))&lt;&gt;"Active","CHECK: driver not active",IF(COUNTIFS($A:$A,A17,$C:$C,C17)&gt;1,"CHECK: driver assigned twice",IF(COUNTIFS($A:$A,A17,$D:$D,D17)&gt;1,"CHECK: vehicle assigned twice","OK"))))))))</f>
        <v/>
      </c>
      <c r="H17" s="15"/>
      <c r="I17" s="15"/>
      <c r="J17" s="17" t="str">
        <f aca="false">IF(OR(H17="",H17=0),"",I17/H17)</f>
        <v/>
      </c>
      <c r="K17" s="15"/>
      <c r="L17" s="15"/>
      <c r="M17" s="18"/>
      <c r="N17" s="15"/>
      <c r="O17" s="16" t="str">
        <f aca="false">IF(AND(OR(K17="At risk",K17="Late"),L17=""),"Add a reason code",IF(AND(L17="OTH",N17=""),"Explain OTH in notes",IF(AND(K17="Finished",I17&lt;H17,L17=""),"Add a reason code","")))</f>
        <v/>
      </c>
    </row>
    <row r="18" customFormat="false" ht="15" hidden="false" customHeight="false" outlineLevel="0" collapsed="false">
      <c r="A18" s="14"/>
      <c r="B18" s="15"/>
      <c r="C18" s="15"/>
      <c r="D18" s="15"/>
      <c r="E18" s="16" t="str">
        <f aca="false">IF(C18="","",IFERROR(INDEX(Drivers!$B:$B,MATCH(C18,Drivers!$A:$A,0)),"ID not found"))</f>
        <v/>
      </c>
      <c r="F18" s="16" t="str">
        <f aca="false">IF(B18="","",IFERROR(INDEX(Routes!$B:$B,MATCH(B18,Routes!$A:$A,0)),"ID not found"))</f>
        <v/>
      </c>
      <c r="G18" s="16" t="str">
        <f aca="false">IF(OR(B18="",C18="",D18=""),"",IF(OR(ISNA(MATCH(B18,Routes!$A:$A,0)),ISNA(MATCH(C18,Drivers!$A:$A,0)),ISNA(MATCH(D18,Vehicles!$A:$A,0))),"CHECK: ID not found",IF(INDEX(Routes!$C:$C,MATCH(B18,Routes!$A:$A,0))&lt;&gt;INDEX(Vehicles!$B:$B,MATCH(D18,Vehicles!$A:$A,0)),"CHECK: vehicle type does not fit route",IF(INDEX(Routes!$C:$C,MATCH(B18,Routes!$A:$A,0))&lt;&gt;INDEX(Drivers!$D:$D,MATCH(C18,Drivers!$A:$A,0)),"CHECK: driver type does not fit route",IF(OR(INDEX(Vehicles!$E:$E,MATCH(D18,Vehicles!$A:$A,0))="Workshop",INDEX(Vehicles!$E:$E,MATCH(D18,Vehicles!$A:$A,0))="Out of service"),"CHECK: vehicle not available",IF(INDEX(Drivers!$G:$G,MATCH(C18,Drivers!$A:$A,0))&lt;&gt;"Active","CHECK: driver not active",IF(COUNTIFS($A:$A,A18,$C:$C,C18)&gt;1,"CHECK: driver assigned twice",IF(COUNTIFS($A:$A,A18,$D:$D,D18)&gt;1,"CHECK: vehicle assigned twice","OK"))))))))</f>
        <v/>
      </c>
      <c r="H18" s="15"/>
      <c r="I18" s="15"/>
      <c r="J18" s="17" t="str">
        <f aca="false">IF(OR(H18="",H18=0),"",I18/H18)</f>
        <v/>
      </c>
      <c r="K18" s="15"/>
      <c r="L18" s="15"/>
      <c r="M18" s="18"/>
      <c r="N18" s="15"/>
      <c r="O18" s="16" t="str">
        <f aca="false">IF(AND(OR(K18="At risk",K18="Late"),L18=""),"Add a reason code",IF(AND(L18="OTH",N18=""),"Explain OTH in notes",IF(AND(K18="Finished",I18&lt;H18,L18=""),"Add a reason code","")))</f>
        <v/>
      </c>
    </row>
    <row r="19" customFormat="false" ht="15" hidden="false" customHeight="false" outlineLevel="0" collapsed="false">
      <c r="A19" s="14"/>
      <c r="B19" s="15"/>
      <c r="C19" s="15"/>
      <c r="D19" s="15"/>
      <c r="E19" s="16" t="str">
        <f aca="false">IF(C19="","",IFERROR(INDEX(Drivers!$B:$B,MATCH(C19,Drivers!$A:$A,0)),"ID not found"))</f>
        <v/>
      </c>
      <c r="F19" s="16" t="str">
        <f aca="false">IF(B19="","",IFERROR(INDEX(Routes!$B:$B,MATCH(B19,Routes!$A:$A,0)),"ID not found"))</f>
        <v/>
      </c>
      <c r="G19" s="16" t="str">
        <f aca="false">IF(OR(B19="",C19="",D19=""),"",IF(OR(ISNA(MATCH(B19,Routes!$A:$A,0)),ISNA(MATCH(C19,Drivers!$A:$A,0)),ISNA(MATCH(D19,Vehicles!$A:$A,0))),"CHECK: ID not found",IF(INDEX(Routes!$C:$C,MATCH(B19,Routes!$A:$A,0))&lt;&gt;INDEX(Vehicles!$B:$B,MATCH(D19,Vehicles!$A:$A,0)),"CHECK: vehicle type does not fit route",IF(INDEX(Routes!$C:$C,MATCH(B19,Routes!$A:$A,0))&lt;&gt;INDEX(Drivers!$D:$D,MATCH(C19,Drivers!$A:$A,0)),"CHECK: driver type does not fit route",IF(OR(INDEX(Vehicles!$E:$E,MATCH(D19,Vehicles!$A:$A,0))="Workshop",INDEX(Vehicles!$E:$E,MATCH(D19,Vehicles!$A:$A,0))="Out of service"),"CHECK: vehicle not available",IF(INDEX(Drivers!$G:$G,MATCH(C19,Drivers!$A:$A,0))&lt;&gt;"Active","CHECK: driver not active",IF(COUNTIFS($A:$A,A19,$C:$C,C19)&gt;1,"CHECK: driver assigned twice",IF(COUNTIFS($A:$A,A19,$D:$D,D19)&gt;1,"CHECK: vehicle assigned twice","OK"))))))))</f>
        <v/>
      </c>
      <c r="H19" s="15"/>
      <c r="I19" s="15"/>
      <c r="J19" s="17" t="str">
        <f aca="false">IF(OR(H19="",H19=0),"",I19/H19)</f>
        <v/>
      </c>
      <c r="K19" s="15"/>
      <c r="L19" s="15"/>
      <c r="M19" s="18"/>
      <c r="N19" s="15"/>
      <c r="O19" s="16" t="str">
        <f aca="false">IF(AND(OR(K19="At risk",K19="Late"),L19=""),"Add a reason code",IF(AND(L19="OTH",N19=""),"Explain OTH in notes",IF(AND(K19="Finished",I19&lt;H19,L19=""),"Add a reason code","")))</f>
        <v/>
      </c>
    </row>
    <row r="20" customFormat="false" ht="15" hidden="false" customHeight="false" outlineLevel="0" collapsed="false">
      <c r="A20" s="14"/>
      <c r="B20" s="15"/>
      <c r="C20" s="15"/>
      <c r="D20" s="15"/>
      <c r="E20" s="16" t="str">
        <f aca="false">IF(C20="","",IFERROR(INDEX(Drivers!$B:$B,MATCH(C20,Drivers!$A:$A,0)),"ID not found"))</f>
        <v/>
      </c>
      <c r="F20" s="16" t="str">
        <f aca="false">IF(B20="","",IFERROR(INDEX(Routes!$B:$B,MATCH(B20,Routes!$A:$A,0)),"ID not found"))</f>
        <v/>
      </c>
      <c r="G20" s="16" t="str">
        <f aca="false">IF(OR(B20="",C20="",D20=""),"",IF(OR(ISNA(MATCH(B20,Routes!$A:$A,0)),ISNA(MATCH(C20,Drivers!$A:$A,0)),ISNA(MATCH(D20,Vehicles!$A:$A,0))),"CHECK: ID not found",IF(INDEX(Routes!$C:$C,MATCH(B20,Routes!$A:$A,0))&lt;&gt;INDEX(Vehicles!$B:$B,MATCH(D20,Vehicles!$A:$A,0)),"CHECK: vehicle type does not fit route",IF(INDEX(Routes!$C:$C,MATCH(B20,Routes!$A:$A,0))&lt;&gt;INDEX(Drivers!$D:$D,MATCH(C20,Drivers!$A:$A,0)),"CHECK: driver type does not fit route",IF(OR(INDEX(Vehicles!$E:$E,MATCH(D20,Vehicles!$A:$A,0))="Workshop",INDEX(Vehicles!$E:$E,MATCH(D20,Vehicles!$A:$A,0))="Out of service"),"CHECK: vehicle not available",IF(INDEX(Drivers!$G:$G,MATCH(C20,Drivers!$A:$A,0))&lt;&gt;"Active","CHECK: driver not active",IF(COUNTIFS($A:$A,A20,$C:$C,C20)&gt;1,"CHECK: driver assigned twice",IF(COUNTIFS($A:$A,A20,$D:$D,D20)&gt;1,"CHECK: vehicle assigned twice","OK"))))))))</f>
        <v/>
      </c>
      <c r="H20" s="15"/>
      <c r="I20" s="15"/>
      <c r="J20" s="17" t="str">
        <f aca="false">IF(OR(H20="",H20=0),"",I20/H20)</f>
        <v/>
      </c>
      <c r="K20" s="15"/>
      <c r="L20" s="15"/>
      <c r="M20" s="18"/>
      <c r="N20" s="15"/>
      <c r="O20" s="16" t="str">
        <f aca="false">IF(AND(OR(K20="At risk",K20="Late"),L20=""),"Add a reason code",IF(AND(L20="OTH",N20=""),"Explain OTH in notes",IF(AND(K20="Finished",I20&lt;H20,L20=""),"Add a reason code","")))</f>
        <v/>
      </c>
    </row>
    <row r="21" customFormat="false" ht="15" hidden="false" customHeight="false" outlineLevel="0" collapsed="false">
      <c r="A21" s="14"/>
      <c r="B21" s="15"/>
      <c r="C21" s="15"/>
      <c r="D21" s="15"/>
      <c r="E21" s="16" t="str">
        <f aca="false">IF(C21="","",IFERROR(INDEX(Drivers!$B:$B,MATCH(C21,Drivers!$A:$A,0)),"ID not found"))</f>
        <v/>
      </c>
      <c r="F21" s="16" t="str">
        <f aca="false">IF(B21="","",IFERROR(INDEX(Routes!$B:$B,MATCH(B21,Routes!$A:$A,0)),"ID not found"))</f>
        <v/>
      </c>
      <c r="G21" s="16" t="str">
        <f aca="false">IF(OR(B21="",C21="",D21=""),"",IF(OR(ISNA(MATCH(B21,Routes!$A:$A,0)),ISNA(MATCH(C21,Drivers!$A:$A,0)),ISNA(MATCH(D21,Vehicles!$A:$A,0))),"CHECK: ID not found",IF(INDEX(Routes!$C:$C,MATCH(B21,Routes!$A:$A,0))&lt;&gt;INDEX(Vehicles!$B:$B,MATCH(D21,Vehicles!$A:$A,0)),"CHECK: vehicle type does not fit route",IF(INDEX(Routes!$C:$C,MATCH(B21,Routes!$A:$A,0))&lt;&gt;INDEX(Drivers!$D:$D,MATCH(C21,Drivers!$A:$A,0)),"CHECK: driver type does not fit route",IF(OR(INDEX(Vehicles!$E:$E,MATCH(D21,Vehicles!$A:$A,0))="Workshop",INDEX(Vehicles!$E:$E,MATCH(D21,Vehicles!$A:$A,0))="Out of service"),"CHECK: vehicle not available",IF(INDEX(Drivers!$G:$G,MATCH(C21,Drivers!$A:$A,0))&lt;&gt;"Active","CHECK: driver not active",IF(COUNTIFS($A:$A,A21,$C:$C,C21)&gt;1,"CHECK: driver assigned twice",IF(COUNTIFS($A:$A,A21,$D:$D,D21)&gt;1,"CHECK: vehicle assigned twice","OK"))))))))</f>
        <v/>
      </c>
      <c r="H21" s="15"/>
      <c r="I21" s="15"/>
      <c r="J21" s="17" t="str">
        <f aca="false">IF(OR(H21="",H21=0),"",I21/H21)</f>
        <v/>
      </c>
      <c r="K21" s="15"/>
      <c r="L21" s="15"/>
      <c r="M21" s="18"/>
      <c r="N21" s="15"/>
      <c r="O21" s="16" t="str">
        <f aca="false">IF(AND(OR(K21="At risk",K21="Late"),L21=""),"Add a reason code",IF(AND(L21="OTH",N21=""),"Explain OTH in notes",IF(AND(K21="Finished",I21&lt;H21,L21=""),"Add a reason code","")))</f>
        <v/>
      </c>
    </row>
    <row r="22" customFormat="false" ht="15" hidden="false" customHeight="false" outlineLevel="0" collapsed="false">
      <c r="A22" s="14"/>
      <c r="B22" s="15"/>
      <c r="C22" s="15"/>
      <c r="D22" s="15"/>
      <c r="E22" s="16" t="str">
        <f aca="false">IF(C22="","",IFERROR(INDEX(Drivers!$B:$B,MATCH(C22,Drivers!$A:$A,0)),"ID not found"))</f>
        <v/>
      </c>
      <c r="F22" s="16" t="str">
        <f aca="false">IF(B22="","",IFERROR(INDEX(Routes!$B:$B,MATCH(B22,Routes!$A:$A,0)),"ID not found"))</f>
        <v/>
      </c>
      <c r="G22" s="16" t="str">
        <f aca="false">IF(OR(B22="",C22="",D22=""),"",IF(OR(ISNA(MATCH(B22,Routes!$A:$A,0)),ISNA(MATCH(C22,Drivers!$A:$A,0)),ISNA(MATCH(D22,Vehicles!$A:$A,0))),"CHECK: ID not found",IF(INDEX(Routes!$C:$C,MATCH(B22,Routes!$A:$A,0))&lt;&gt;INDEX(Vehicles!$B:$B,MATCH(D22,Vehicles!$A:$A,0)),"CHECK: vehicle type does not fit route",IF(INDEX(Routes!$C:$C,MATCH(B22,Routes!$A:$A,0))&lt;&gt;INDEX(Drivers!$D:$D,MATCH(C22,Drivers!$A:$A,0)),"CHECK: driver type does not fit route",IF(OR(INDEX(Vehicles!$E:$E,MATCH(D22,Vehicles!$A:$A,0))="Workshop",INDEX(Vehicles!$E:$E,MATCH(D22,Vehicles!$A:$A,0))="Out of service"),"CHECK: vehicle not available",IF(INDEX(Drivers!$G:$G,MATCH(C22,Drivers!$A:$A,0))&lt;&gt;"Active","CHECK: driver not active",IF(COUNTIFS($A:$A,A22,$C:$C,C22)&gt;1,"CHECK: driver assigned twice",IF(COUNTIFS($A:$A,A22,$D:$D,D22)&gt;1,"CHECK: vehicle assigned twice","OK"))))))))</f>
        <v/>
      </c>
      <c r="H22" s="15"/>
      <c r="I22" s="15"/>
      <c r="J22" s="17" t="str">
        <f aca="false">IF(OR(H22="",H22=0),"",I22/H22)</f>
        <v/>
      </c>
      <c r="K22" s="15"/>
      <c r="L22" s="15"/>
      <c r="M22" s="18"/>
      <c r="N22" s="15"/>
      <c r="O22" s="16" t="str">
        <f aca="false">IF(AND(OR(K22="At risk",K22="Late"),L22=""),"Add a reason code",IF(AND(L22="OTH",N22=""),"Explain OTH in notes",IF(AND(K22="Finished",I22&lt;H22,L22=""),"Add a reason code","")))</f>
        <v/>
      </c>
    </row>
    <row r="23" customFormat="false" ht="15" hidden="false" customHeight="false" outlineLevel="0" collapsed="false">
      <c r="A23" s="14"/>
      <c r="B23" s="15"/>
      <c r="C23" s="15"/>
      <c r="D23" s="15"/>
      <c r="E23" s="16" t="str">
        <f aca="false">IF(C23="","",IFERROR(INDEX(Drivers!$B:$B,MATCH(C23,Drivers!$A:$A,0)),"ID not found"))</f>
        <v/>
      </c>
      <c r="F23" s="16" t="str">
        <f aca="false">IF(B23="","",IFERROR(INDEX(Routes!$B:$B,MATCH(B23,Routes!$A:$A,0)),"ID not found"))</f>
        <v/>
      </c>
      <c r="G23" s="16" t="str">
        <f aca="false">IF(OR(B23="",C23="",D23=""),"",IF(OR(ISNA(MATCH(B23,Routes!$A:$A,0)),ISNA(MATCH(C23,Drivers!$A:$A,0)),ISNA(MATCH(D23,Vehicles!$A:$A,0))),"CHECK: ID not found",IF(INDEX(Routes!$C:$C,MATCH(B23,Routes!$A:$A,0))&lt;&gt;INDEX(Vehicles!$B:$B,MATCH(D23,Vehicles!$A:$A,0)),"CHECK: vehicle type does not fit route",IF(INDEX(Routes!$C:$C,MATCH(B23,Routes!$A:$A,0))&lt;&gt;INDEX(Drivers!$D:$D,MATCH(C23,Drivers!$A:$A,0)),"CHECK: driver type does not fit route",IF(OR(INDEX(Vehicles!$E:$E,MATCH(D23,Vehicles!$A:$A,0))="Workshop",INDEX(Vehicles!$E:$E,MATCH(D23,Vehicles!$A:$A,0))="Out of service"),"CHECK: vehicle not available",IF(INDEX(Drivers!$G:$G,MATCH(C23,Drivers!$A:$A,0))&lt;&gt;"Active","CHECK: driver not active",IF(COUNTIFS($A:$A,A23,$C:$C,C23)&gt;1,"CHECK: driver assigned twice",IF(COUNTIFS($A:$A,A23,$D:$D,D23)&gt;1,"CHECK: vehicle assigned twice","OK"))))))))</f>
        <v/>
      </c>
      <c r="H23" s="15"/>
      <c r="I23" s="15"/>
      <c r="J23" s="17" t="str">
        <f aca="false">IF(OR(H23="",H23=0),"",I23/H23)</f>
        <v/>
      </c>
      <c r="K23" s="15"/>
      <c r="L23" s="15"/>
      <c r="M23" s="18"/>
      <c r="N23" s="15"/>
      <c r="O23" s="16" t="str">
        <f aca="false">IF(AND(OR(K23="At risk",K23="Late"),L23=""),"Add a reason code",IF(AND(L23="OTH",N23=""),"Explain OTH in notes",IF(AND(K23="Finished",I23&lt;H23,L23=""),"Add a reason code","")))</f>
        <v/>
      </c>
    </row>
    <row r="24" customFormat="false" ht="15" hidden="false" customHeight="false" outlineLevel="0" collapsed="false">
      <c r="A24" s="14"/>
      <c r="B24" s="15"/>
      <c r="C24" s="15"/>
      <c r="D24" s="15"/>
      <c r="E24" s="16" t="str">
        <f aca="false">IF(C24="","",IFERROR(INDEX(Drivers!$B:$B,MATCH(C24,Drivers!$A:$A,0)),"ID not found"))</f>
        <v/>
      </c>
      <c r="F24" s="16" t="str">
        <f aca="false">IF(B24="","",IFERROR(INDEX(Routes!$B:$B,MATCH(B24,Routes!$A:$A,0)),"ID not found"))</f>
        <v/>
      </c>
      <c r="G24" s="16" t="str">
        <f aca="false">IF(OR(B24="",C24="",D24=""),"",IF(OR(ISNA(MATCH(B24,Routes!$A:$A,0)),ISNA(MATCH(C24,Drivers!$A:$A,0)),ISNA(MATCH(D24,Vehicles!$A:$A,0))),"CHECK: ID not found",IF(INDEX(Routes!$C:$C,MATCH(B24,Routes!$A:$A,0))&lt;&gt;INDEX(Vehicles!$B:$B,MATCH(D24,Vehicles!$A:$A,0)),"CHECK: vehicle type does not fit route",IF(INDEX(Routes!$C:$C,MATCH(B24,Routes!$A:$A,0))&lt;&gt;INDEX(Drivers!$D:$D,MATCH(C24,Drivers!$A:$A,0)),"CHECK: driver type does not fit route",IF(OR(INDEX(Vehicles!$E:$E,MATCH(D24,Vehicles!$A:$A,0))="Workshop",INDEX(Vehicles!$E:$E,MATCH(D24,Vehicles!$A:$A,0))="Out of service"),"CHECK: vehicle not available",IF(INDEX(Drivers!$G:$G,MATCH(C24,Drivers!$A:$A,0))&lt;&gt;"Active","CHECK: driver not active",IF(COUNTIFS($A:$A,A24,$C:$C,C24)&gt;1,"CHECK: driver assigned twice",IF(COUNTIFS($A:$A,A24,$D:$D,D24)&gt;1,"CHECK: vehicle assigned twice","OK"))))))))</f>
        <v/>
      </c>
      <c r="H24" s="15"/>
      <c r="I24" s="15"/>
      <c r="J24" s="17" t="str">
        <f aca="false">IF(OR(H24="",H24=0),"",I24/H24)</f>
        <v/>
      </c>
      <c r="K24" s="15"/>
      <c r="L24" s="15"/>
      <c r="M24" s="18"/>
      <c r="N24" s="15"/>
      <c r="O24" s="16" t="str">
        <f aca="false">IF(AND(OR(K24="At risk",K24="Late"),L24=""),"Add a reason code",IF(AND(L24="OTH",N24=""),"Explain OTH in notes",IF(AND(K24="Finished",I24&lt;H24,L24=""),"Add a reason code","")))</f>
        <v/>
      </c>
    </row>
    <row r="25" customFormat="false" ht="15" hidden="false" customHeight="false" outlineLevel="0" collapsed="false">
      <c r="A25" s="14"/>
      <c r="B25" s="15"/>
      <c r="C25" s="15"/>
      <c r="D25" s="15"/>
      <c r="E25" s="16" t="str">
        <f aca="false">IF(C25="","",IFERROR(INDEX(Drivers!$B:$B,MATCH(C25,Drivers!$A:$A,0)),"ID not found"))</f>
        <v/>
      </c>
      <c r="F25" s="16" t="str">
        <f aca="false">IF(B25="","",IFERROR(INDEX(Routes!$B:$B,MATCH(B25,Routes!$A:$A,0)),"ID not found"))</f>
        <v/>
      </c>
      <c r="G25" s="16" t="str">
        <f aca="false">IF(OR(B25="",C25="",D25=""),"",IF(OR(ISNA(MATCH(B25,Routes!$A:$A,0)),ISNA(MATCH(C25,Drivers!$A:$A,0)),ISNA(MATCH(D25,Vehicles!$A:$A,0))),"CHECK: ID not found",IF(INDEX(Routes!$C:$C,MATCH(B25,Routes!$A:$A,0))&lt;&gt;INDEX(Vehicles!$B:$B,MATCH(D25,Vehicles!$A:$A,0)),"CHECK: vehicle type does not fit route",IF(INDEX(Routes!$C:$C,MATCH(B25,Routes!$A:$A,0))&lt;&gt;INDEX(Drivers!$D:$D,MATCH(C25,Drivers!$A:$A,0)),"CHECK: driver type does not fit route",IF(OR(INDEX(Vehicles!$E:$E,MATCH(D25,Vehicles!$A:$A,0))="Workshop",INDEX(Vehicles!$E:$E,MATCH(D25,Vehicles!$A:$A,0))="Out of service"),"CHECK: vehicle not available",IF(INDEX(Drivers!$G:$G,MATCH(C25,Drivers!$A:$A,0))&lt;&gt;"Active","CHECK: driver not active",IF(COUNTIFS($A:$A,A25,$C:$C,C25)&gt;1,"CHECK: driver assigned twice",IF(COUNTIFS($A:$A,A25,$D:$D,D25)&gt;1,"CHECK: vehicle assigned twice","OK"))))))))</f>
        <v/>
      </c>
      <c r="H25" s="15"/>
      <c r="I25" s="15"/>
      <c r="J25" s="17" t="str">
        <f aca="false">IF(OR(H25="",H25=0),"",I25/H25)</f>
        <v/>
      </c>
      <c r="K25" s="15"/>
      <c r="L25" s="15"/>
      <c r="M25" s="18"/>
      <c r="N25" s="15"/>
      <c r="O25" s="16" t="str">
        <f aca="false">IF(AND(OR(K25="At risk",K25="Late"),L25=""),"Add a reason code",IF(AND(L25="OTH",N25=""),"Explain OTH in notes",IF(AND(K25="Finished",I25&lt;H25,L25=""),"Add a reason code","")))</f>
        <v/>
      </c>
    </row>
    <row r="26" customFormat="false" ht="15" hidden="false" customHeight="false" outlineLevel="0" collapsed="false">
      <c r="A26" s="14"/>
      <c r="B26" s="15"/>
      <c r="C26" s="15"/>
      <c r="D26" s="15"/>
      <c r="E26" s="16" t="str">
        <f aca="false">IF(C26="","",IFERROR(INDEX(Drivers!$B:$B,MATCH(C26,Drivers!$A:$A,0)),"ID not found"))</f>
        <v/>
      </c>
      <c r="F26" s="16" t="str">
        <f aca="false">IF(B26="","",IFERROR(INDEX(Routes!$B:$B,MATCH(B26,Routes!$A:$A,0)),"ID not found"))</f>
        <v/>
      </c>
      <c r="G26" s="16" t="str">
        <f aca="false">IF(OR(B26="",C26="",D26=""),"",IF(OR(ISNA(MATCH(B26,Routes!$A:$A,0)),ISNA(MATCH(C26,Drivers!$A:$A,0)),ISNA(MATCH(D26,Vehicles!$A:$A,0))),"CHECK: ID not found",IF(INDEX(Routes!$C:$C,MATCH(B26,Routes!$A:$A,0))&lt;&gt;INDEX(Vehicles!$B:$B,MATCH(D26,Vehicles!$A:$A,0)),"CHECK: vehicle type does not fit route",IF(INDEX(Routes!$C:$C,MATCH(B26,Routes!$A:$A,0))&lt;&gt;INDEX(Drivers!$D:$D,MATCH(C26,Drivers!$A:$A,0)),"CHECK: driver type does not fit route",IF(OR(INDEX(Vehicles!$E:$E,MATCH(D26,Vehicles!$A:$A,0))="Workshop",INDEX(Vehicles!$E:$E,MATCH(D26,Vehicles!$A:$A,0))="Out of service"),"CHECK: vehicle not available",IF(INDEX(Drivers!$G:$G,MATCH(C26,Drivers!$A:$A,0))&lt;&gt;"Active","CHECK: driver not active",IF(COUNTIFS($A:$A,A26,$C:$C,C26)&gt;1,"CHECK: driver assigned twice",IF(COUNTIFS($A:$A,A26,$D:$D,D26)&gt;1,"CHECK: vehicle assigned twice","OK"))))))))</f>
        <v/>
      </c>
      <c r="H26" s="15"/>
      <c r="I26" s="15"/>
      <c r="J26" s="17" t="str">
        <f aca="false">IF(OR(H26="",H26=0),"",I26/H26)</f>
        <v/>
      </c>
      <c r="K26" s="15"/>
      <c r="L26" s="15"/>
      <c r="M26" s="18"/>
      <c r="N26" s="15"/>
      <c r="O26" s="16" t="str">
        <f aca="false">IF(AND(OR(K26="At risk",K26="Late"),L26=""),"Add a reason code",IF(AND(L26="OTH",N26=""),"Explain OTH in notes",IF(AND(K26="Finished",I26&lt;H26,L26=""),"Add a reason code","")))</f>
        <v/>
      </c>
    </row>
    <row r="27" customFormat="false" ht="15" hidden="false" customHeight="false" outlineLevel="0" collapsed="false">
      <c r="A27" s="14"/>
      <c r="B27" s="15"/>
      <c r="C27" s="15"/>
      <c r="D27" s="15"/>
      <c r="E27" s="16" t="str">
        <f aca="false">IF(C27="","",IFERROR(INDEX(Drivers!$B:$B,MATCH(C27,Drivers!$A:$A,0)),"ID not found"))</f>
        <v/>
      </c>
      <c r="F27" s="16" t="str">
        <f aca="false">IF(B27="","",IFERROR(INDEX(Routes!$B:$B,MATCH(B27,Routes!$A:$A,0)),"ID not found"))</f>
        <v/>
      </c>
      <c r="G27" s="16" t="str">
        <f aca="false">IF(OR(B27="",C27="",D27=""),"",IF(OR(ISNA(MATCH(B27,Routes!$A:$A,0)),ISNA(MATCH(C27,Drivers!$A:$A,0)),ISNA(MATCH(D27,Vehicles!$A:$A,0))),"CHECK: ID not found",IF(INDEX(Routes!$C:$C,MATCH(B27,Routes!$A:$A,0))&lt;&gt;INDEX(Vehicles!$B:$B,MATCH(D27,Vehicles!$A:$A,0)),"CHECK: vehicle type does not fit route",IF(INDEX(Routes!$C:$C,MATCH(B27,Routes!$A:$A,0))&lt;&gt;INDEX(Drivers!$D:$D,MATCH(C27,Drivers!$A:$A,0)),"CHECK: driver type does not fit route",IF(OR(INDEX(Vehicles!$E:$E,MATCH(D27,Vehicles!$A:$A,0))="Workshop",INDEX(Vehicles!$E:$E,MATCH(D27,Vehicles!$A:$A,0))="Out of service"),"CHECK: vehicle not available",IF(INDEX(Drivers!$G:$G,MATCH(C27,Drivers!$A:$A,0))&lt;&gt;"Active","CHECK: driver not active",IF(COUNTIFS($A:$A,A27,$C:$C,C27)&gt;1,"CHECK: driver assigned twice",IF(COUNTIFS($A:$A,A27,$D:$D,D27)&gt;1,"CHECK: vehicle assigned twice","OK"))))))))</f>
        <v/>
      </c>
      <c r="H27" s="15"/>
      <c r="I27" s="15"/>
      <c r="J27" s="17" t="str">
        <f aca="false">IF(OR(H27="",H27=0),"",I27/H27)</f>
        <v/>
      </c>
      <c r="K27" s="15"/>
      <c r="L27" s="15"/>
      <c r="M27" s="18"/>
      <c r="N27" s="15"/>
      <c r="O27" s="16" t="str">
        <f aca="false">IF(AND(OR(K27="At risk",K27="Late"),L27=""),"Add a reason code",IF(AND(L27="OTH",N27=""),"Explain OTH in notes",IF(AND(K27="Finished",I27&lt;H27,L27=""),"Add a reason code","")))</f>
        <v/>
      </c>
    </row>
    <row r="28" customFormat="false" ht="15" hidden="false" customHeight="false" outlineLevel="0" collapsed="false">
      <c r="A28" s="14"/>
      <c r="B28" s="15"/>
      <c r="C28" s="15"/>
      <c r="D28" s="15"/>
      <c r="E28" s="16" t="str">
        <f aca="false">IF(C28="","",IFERROR(INDEX(Drivers!$B:$B,MATCH(C28,Drivers!$A:$A,0)),"ID not found"))</f>
        <v/>
      </c>
      <c r="F28" s="16" t="str">
        <f aca="false">IF(B28="","",IFERROR(INDEX(Routes!$B:$B,MATCH(B28,Routes!$A:$A,0)),"ID not found"))</f>
        <v/>
      </c>
      <c r="G28" s="16" t="str">
        <f aca="false">IF(OR(B28="",C28="",D28=""),"",IF(OR(ISNA(MATCH(B28,Routes!$A:$A,0)),ISNA(MATCH(C28,Drivers!$A:$A,0)),ISNA(MATCH(D28,Vehicles!$A:$A,0))),"CHECK: ID not found",IF(INDEX(Routes!$C:$C,MATCH(B28,Routes!$A:$A,0))&lt;&gt;INDEX(Vehicles!$B:$B,MATCH(D28,Vehicles!$A:$A,0)),"CHECK: vehicle type does not fit route",IF(INDEX(Routes!$C:$C,MATCH(B28,Routes!$A:$A,0))&lt;&gt;INDEX(Drivers!$D:$D,MATCH(C28,Drivers!$A:$A,0)),"CHECK: driver type does not fit route",IF(OR(INDEX(Vehicles!$E:$E,MATCH(D28,Vehicles!$A:$A,0))="Workshop",INDEX(Vehicles!$E:$E,MATCH(D28,Vehicles!$A:$A,0))="Out of service"),"CHECK: vehicle not available",IF(INDEX(Drivers!$G:$G,MATCH(C28,Drivers!$A:$A,0))&lt;&gt;"Active","CHECK: driver not active",IF(COUNTIFS($A:$A,A28,$C:$C,C28)&gt;1,"CHECK: driver assigned twice",IF(COUNTIFS($A:$A,A28,$D:$D,D28)&gt;1,"CHECK: vehicle assigned twice","OK"))))))))</f>
        <v/>
      </c>
      <c r="H28" s="15"/>
      <c r="I28" s="15"/>
      <c r="J28" s="17" t="str">
        <f aca="false">IF(OR(H28="",H28=0),"",I28/H28)</f>
        <v/>
      </c>
      <c r="K28" s="15"/>
      <c r="L28" s="15"/>
      <c r="M28" s="18"/>
      <c r="N28" s="15"/>
      <c r="O28" s="16" t="str">
        <f aca="false">IF(AND(OR(K28="At risk",K28="Late"),L28=""),"Add a reason code",IF(AND(L28="OTH",N28=""),"Explain OTH in notes",IF(AND(K28="Finished",I28&lt;H28,L28=""),"Add a reason code","")))</f>
        <v/>
      </c>
    </row>
    <row r="29" customFormat="false" ht="15" hidden="false" customHeight="false" outlineLevel="0" collapsed="false">
      <c r="A29" s="14"/>
      <c r="B29" s="15"/>
      <c r="C29" s="15"/>
      <c r="D29" s="15"/>
      <c r="E29" s="16" t="str">
        <f aca="false">IF(C29="","",IFERROR(INDEX(Drivers!$B:$B,MATCH(C29,Drivers!$A:$A,0)),"ID not found"))</f>
        <v/>
      </c>
      <c r="F29" s="16" t="str">
        <f aca="false">IF(B29="","",IFERROR(INDEX(Routes!$B:$B,MATCH(B29,Routes!$A:$A,0)),"ID not found"))</f>
        <v/>
      </c>
      <c r="G29" s="16" t="str">
        <f aca="false">IF(OR(B29="",C29="",D29=""),"",IF(OR(ISNA(MATCH(B29,Routes!$A:$A,0)),ISNA(MATCH(C29,Drivers!$A:$A,0)),ISNA(MATCH(D29,Vehicles!$A:$A,0))),"CHECK: ID not found",IF(INDEX(Routes!$C:$C,MATCH(B29,Routes!$A:$A,0))&lt;&gt;INDEX(Vehicles!$B:$B,MATCH(D29,Vehicles!$A:$A,0)),"CHECK: vehicle type does not fit route",IF(INDEX(Routes!$C:$C,MATCH(B29,Routes!$A:$A,0))&lt;&gt;INDEX(Drivers!$D:$D,MATCH(C29,Drivers!$A:$A,0)),"CHECK: driver type does not fit route",IF(OR(INDEX(Vehicles!$E:$E,MATCH(D29,Vehicles!$A:$A,0))="Workshop",INDEX(Vehicles!$E:$E,MATCH(D29,Vehicles!$A:$A,0))="Out of service"),"CHECK: vehicle not available",IF(INDEX(Drivers!$G:$G,MATCH(C29,Drivers!$A:$A,0))&lt;&gt;"Active","CHECK: driver not active",IF(COUNTIFS($A:$A,A29,$C:$C,C29)&gt;1,"CHECK: driver assigned twice",IF(COUNTIFS($A:$A,A29,$D:$D,D29)&gt;1,"CHECK: vehicle assigned twice","OK"))))))))</f>
        <v/>
      </c>
      <c r="H29" s="15"/>
      <c r="I29" s="15"/>
      <c r="J29" s="17" t="str">
        <f aca="false">IF(OR(H29="",H29=0),"",I29/H29)</f>
        <v/>
      </c>
      <c r="K29" s="15"/>
      <c r="L29" s="15"/>
      <c r="M29" s="18"/>
      <c r="N29" s="15"/>
      <c r="O29" s="16" t="str">
        <f aca="false">IF(AND(OR(K29="At risk",K29="Late"),L29=""),"Add a reason code",IF(AND(L29="OTH",N29=""),"Explain OTH in notes",IF(AND(K29="Finished",I29&lt;H29,L29=""),"Add a reason code","")))</f>
        <v/>
      </c>
    </row>
    <row r="30" customFormat="false" ht="15" hidden="false" customHeight="false" outlineLevel="0" collapsed="false">
      <c r="A30" s="14"/>
      <c r="B30" s="15"/>
      <c r="C30" s="15"/>
      <c r="D30" s="15"/>
      <c r="E30" s="16" t="str">
        <f aca="false">IF(C30="","",IFERROR(INDEX(Drivers!$B:$B,MATCH(C30,Drivers!$A:$A,0)),"ID not found"))</f>
        <v/>
      </c>
      <c r="F30" s="16" t="str">
        <f aca="false">IF(B30="","",IFERROR(INDEX(Routes!$B:$B,MATCH(B30,Routes!$A:$A,0)),"ID not found"))</f>
        <v/>
      </c>
      <c r="G30" s="16" t="str">
        <f aca="false">IF(OR(B30="",C30="",D30=""),"",IF(OR(ISNA(MATCH(B30,Routes!$A:$A,0)),ISNA(MATCH(C30,Drivers!$A:$A,0)),ISNA(MATCH(D30,Vehicles!$A:$A,0))),"CHECK: ID not found",IF(INDEX(Routes!$C:$C,MATCH(B30,Routes!$A:$A,0))&lt;&gt;INDEX(Vehicles!$B:$B,MATCH(D30,Vehicles!$A:$A,0)),"CHECK: vehicle type does not fit route",IF(INDEX(Routes!$C:$C,MATCH(B30,Routes!$A:$A,0))&lt;&gt;INDEX(Drivers!$D:$D,MATCH(C30,Drivers!$A:$A,0)),"CHECK: driver type does not fit route",IF(OR(INDEX(Vehicles!$E:$E,MATCH(D30,Vehicles!$A:$A,0))="Workshop",INDEX(Vehicles!$E:$E,MATCH(D30,Vehicles!$A:$A,0))="Out of service"),"CHECK: vehicle not available",IF(INDEX(Drivers!$G:$G,MATCH(C30,Drivers!$A:$A,0))&lt;&gt;"Active","CHECK: driver not active",IF(COUNTIFS($A:$A,A30,$C:$C,C30)&gt;1,"CHECK: driver assigned twice",IF(COUNTIFS($A:$A,A30,$D:$D,D30)&gt;1,"CHECK: vehicle assigned twice","OK"))))))))</f>
        <v/>
      </c>
      <c r="H30" s="15"/>
      <c r="I30" s="15"/>
      <c r="J30" s="17" t="str">
        <f aca="false">IF(OR(H30="",H30=0),"",I30/H30)</f>
        <v/>
      </c>
      <c r="K30" s="15"/>
      <c r="L30" s="15"/>
      <c r="M30" s="18"/>
      <c r="N30" s="15"/>
      <c r="O30" s="16" t="str">
        <f aca="false">IF(AND(OR(K30="At risk",K30="Late"),L30=""),"Add a reason code",IF(AND(L30="OTH",N30=""),"Explain OTH in notes",IF(AND(K30="Finished",I30&lt;H30,L30=""),"Add a reason code","")))</f>
        <v/>
      </c>
    </row>
    <row r="31" customFormat="false" ht="15" hidden="false" customHeight="false" outlineLevel="0" collapsed="false">
      <c r="A31" s="14"/>
      <c r="B31" s="15"/>
      <c r="C31" s="15"/>
      <c r="D31" s="15"/>
      <c r="E31" s="16" t="str">
        <f aca="false">IF(C31="","",IFERROR(INDEX(Drivers!$B:$B,MATCH(C31,Drivers!$A:$A,0)),"ID not found"))</f>
        <v/>
      </c>
      <c r="F31" s="16" t="str">
        <f aca="false">IF(B31="","",IFERROR(INDEX(Routes!$B:$B,MATCH(B31,Routes!$A:$A,0)),"ID not found"))</f>
        <v/>
      </c>
      <c r="G31" s="16" t="str">
        <f aca="false">IF(OR(B31="",C31="",D31=""),"",IF(OR(ISNA(MATCH(B31,Routes!$A:$A,0)),ISNA(MATCH(C31,Drivers!$A:$A,0)),ISNA(MATCH(D31,Vehicles!$A:$A,0))),"CHECK: ID not found",IF(INDEX(Routes!$C:$C,MATCH(B31,Routes!$A:$A,0))&lt;&gt;INDEX(Vehicles!$B:$B,MATCH(D31,Vehicles!$A:$A,0)),"CHECK: vehicle type does not fit route",IF(INDEX(Routes!$C:$C,MATCH(B31,Routes!$A:$A,0))&lt;&gt;INDEX(Drivers!$D:$D,MATCH(C31,Drivers!$A:$A,0)),"CHECK: driver type does not fit route",IF(OR(INDEX(Vehicles!$E:$E,MATCH(D31,Vehicles!$A:$A,0))="Workshop",INDEX(Vehicles!$E:$E,MATCH(D31,Vehicles!$A:$A,0))="Out of service"),"CHECK: vehicle not available",IF(INDEX(Drivers!$G:$G,MATCH(C31,Drivers!$A:$A,0))&lt;&gt;"Active","CHECK: driver not active",IF(COUNTIFS($A:$A,A31,$C:$C,C31)&gt;1,"CHECK: driver assigned twice",IF(COUNTIFS($A:$A,A31,$D:$D,D31)&gt;1,"CHECK: vehicle assigned twice","OK"))))))))</f>
        <v/>
      </c>
      <c r="H31" s="15"/>
      <c r="I31" s="15"/>
      <c r="J31" s="17" t="str">
        <f aca="false">IF(OR(H31="",H31=0),"",I31/H31)</f>
        <v/>
      </c>
      <c r="K31" s="15"/>
      <c r="L31" s="15"/>
      <c r="M31" s="18"/>
      <c r="N31" s="15"/>
      <c r="O31" s="16" t="str">
        <f aca="false">IF(AND(OR(K31="At risk",K31="Late"),L31=""),"Add a reason code",IF(AND(L31="OTH",N31=""),"Explain OTH in notes",IF(AND(K31="Finished",I31&lt;H31,L31=""),"Add a reason code","")))</f>
        <v/>
      </c>
    </row>
    <row r="32" customFormat="false" ht="15" hidden="false" customHeight="false" outlineLevel="0" collapsed="false">
      <c r="A32" s="14"/>
      <c r="B32" s="15"/>
      <c r="C32" s="15"/>
      <c r="D32" s="15"/>
      <c r="E32" s="16" t="str">
        <f aca="false">IF(C32="","",IFERROR(INDEX(Drivers!$B:$B,MATCH(C32,Drivers!$A:$A,0)),"ID not found"))</f>
        <v/>
      </c>
      <c r="F32" s="16" t="str">
        <f aca="false">IF(B32="","",IFERROR(INDEX(Routes!$B:$B,MATCH(B32,Routes!$A:$A,0)),"ID not found"))</f>
        <v/>
      </c>
      <c r="G32" s="16" t="str">
        <f aca="false">IF(OR(B32="",C32="",D32=""),"",IF(OR(ISNA(MATCH(B32,Routes!$A:$A,0)),ISNA(MATCH(C32,Drivers!$A:$A,0)),ISNA(MATCH(D32,Vehicles!$A:$A,0))),"CHECK: ID not found",IF(INDEX(Routes!$C:$C,MATCH(B32,Routes!$A:$A,0))&lt;&gt;INDEX(Vehicles!$B:$B,MATCH(D32,Vehicles!$A:$A,0)),"CHECK: vehicle type does not fit route",IF(INDEX(Routes!$C:$C,MATCH(B32,Routes!$A:$A,0))&lt;&gt;INDEX(Drivers!$D:$D,MATCH(C32,Drivers!$A:$A,0)),"CHECK: driver type does not fit route",IF(OR(INDEX(Vehicles!$E:$E,MATCH(D32,Vehicles!$A:$A,0))="Workshop",INDEX(Vehicles!$E:$E,MATCH(D32,Vehicles!$A:$A,0))="Out of service"),"CHECK: vehicle not available",IF(INDEX(Drivers!$G:$G,MATCH(C32,Drivers!$A:$A,0))&lt;&gt;"Active","CHECK: driver not active",IF(COUNTIFS($A:$A,A32,$C:$C,C32)&gt;1,"CHECK: driver assigned twice",IF(COUNTIFS($A:$A,A32,$D:$D,D32)&gt;1,"CHECK: vehicle assigned twice","OK"))))))))</f>
        <v/>
      </c>
      <c r="H32" s="15"/>
      <c r="I32" s="15"/>
      <c r="J32" s="17" t="str">
        <f aca="false">IF(OR(H32="",H32=0),"",I32/H32)</f>
        <v/>
      </c>
      <c r="K32" s="15"/>
      <c r="L32" s="15"/>
      <c r="M32" s="18"/>
      <c r="N32" s="15"/>
      <c r="O32" s="16" t="str">
        <f aca="false">IF(AND(OR(K32="At risk",K32="Late"),L32=""),"Add a reason code",IF(AND(L32="OTH",N32=""),"Explain OTH in notes",IF(AND(K32="Finished",I32&lt;H32,L32=""),"Add a reason code","")))</f>
        <v/>
      </c>
    </row>
    <row r="33" customFormat="false" ht="15" hidden="false" customHeight="false" outlineLevel="0" collapsed="false">
      <c r="A33" s="14"/>
      <c r="B33" s="15"/>
      <c r="C33" s="15"/>
      <c r="D33" s="15"/>
      <c r="E33" s="16" t="str">
        <f aca="false">IF(C33="","",IFERROR(INDEX(Drivers!$B:$B,MATCH(C33,Drivers!$A:$A,0)),"ID not found"))</f>
        <v/>
      </c>
      <c r="F33" s="16" t="str">
        <f aca="false">IF(B33="","",IFERROR(INDEX(Routes!$B:$B,MATCH(B33,Routes!$A:$A,0)),"ID not found"))</f>
        <v/>
      </c>
      <c r="G33" s="16" t="str">
        <f aca="false">IF(OR(B33="",C33="",D33=""),"",IF(OR(ISNA(MATCH(B33,Routes!$A:$A,0)),ISNA(MATCH(C33,Drivers!$A:$A,0)),ISNA(MATCH(D33,Vehicles!$A:$A,0))),"CHECK: ID not found",IF(INDEX(Routes!$C:$C,MATCH(B33,Routes!$A:$A,0))&lt;&gt;INDEX(Vehicles!$B:$B,MATCH(D33,Vehicles!$A:$A,0)),"CHECK: vehicle type does not fit route",IF(INDEX(Routes!$C:$C,MATCH(B33,Routes!$A:$A,0))&lt;&gt;INDEX(Drivers!$D:$D,MATCH(C33,Drivers!$A:$A,0)),"CHECK: driver type does not fit route",IF(OR(INDEX(Vehicles!$E:$E,MATCH(D33,Vehicles!$A:$A,0))="Workshop",INDEX(Vehicles!$E:$E,MATCH(D33,Vehicles!$A:$A,0))="Out of service"),"CHECK: vehicle not available",IF(INDEX(Drivers!$G:$G,MATCH(C33,Drivers!$A:$A,0))&lt;&gt;"Active","CHECK: driver not active",IF(COUNTIFS($A:$A,A33,$C:$C,C33)&gt;1,"CHECK: driver assigned twice",IF(COUNTIFS($A:$A,A33,$D:$D,D33)&gt;1,"CHECK: vehicle assigned twice","OK"))))))))</f>
        <v/>
      </c>
      <c r="H33" s="15"/>
      <c r="I33" s="15"/>
      <c r="J33" s="17" t="str">
        <f aca="false">IF(OR(H33="",H33=0),"",I33/H33)</f>
        <v/>
      </c>
      <c r="K33" s="15"/>
      <c r="L33" s="15"/>
      <c r="M33" s="18"/>
      <c r="N33" s="15"/>
      <c r="O33" s="16" t="str">
        <f aca="false">IF(AND(OR(K33="At risk",K33="Late"),L33=""),"Add a reason code",IF(AND(L33="OTH",N33=""),"Explain OTH in notes",IF(AND(K33="Finished",I33&lt;H33,L33=""),"Add a reason code","")))</f>
        <v/>
      </c>
    </row>
    <row r="34" customFormat="false" ht="15" hidden="false" customHeight="false" outlineLevel="0" collapsed="false">
      <c r="A34" s="14"/>
      <c r="B34" s="15"/>
      <c r="C34" s="15"/>
      <c r="D34" s="15"/>
      <c r="E34" s="16" t="str">
        <f aca="false">IF(C34="","",IFERROR(INDEX(Drivers!$B:$B,MATCH(C34,Drivers!$A:$A,0)),"ID not found"))</f>
        <v/>
      </c>
      <c r="F34" s="16" t="str">
        <f aca="false">IF(B34="","",IFERROR(INDEX(Routes!$B:$B,MATCH(B34,Routes!$A:$A,0)),"ID not found"))</f>
        <v/>
      </c>
      <c r="G34" s="16" t="str">
        <f aca="false">IF(OR(B34="",C34="",D34=""),"",IF(OR(ISNA(MATCH(B34,Routes!$A:$A,0)),ISNA(MATCH(C34,Drivers!$A:$A,0)),ISNA(MATCH(D34,Vehicles!$A:$A,0))),"CHECK: ID not found",IF(INDEX(Routes!$C:$C,MATCH(B34,Routes!$A:$A,0))&lt;&gt;INDEX(Vehicles!$B:$B,MATCH(D34,Vehicles!$A:$A,0)),"CHECK: vehicle type does not fit route",IF(INDEX(Routes!$C:$C,MATCH(B34,Routes!$A:$A,0))&lt;&gt;INDEX(Drivers!$D:$D,MATCH(C34,Drivers!$A:$A,0)),"CHECK: driver type does not fit route",IF(OR(INDEX(Vehicles!$E:$E,MATCH(D34,Vehicles!$A:$A,0))="Workshop",INDEX(Vehicles!$E:$E,MATCH(D34,Vehicles!$A:$A,0))="Out of service"),"CHECK: vehicle not available",IF(INDEX(Drivers!$G:$G,MATCH(C34,Drivers!$A:$A,0))&lt;&gt;"Active","CHECK: driver not active",IF(COUNTIFS($A:$A,A34,$C:$C,C34)&gt;1,"CHECK: driver assigned twice",IF(COUNTIFS($A:$A,A34,$D:$D,D34)&gt;1,"CHECK: vehicle assigned twice","OK"))))))))</f>
        <v/>
      </c>
      <c r="H34" s="15"/>
      <c r="I34" s="15"/>
      <c r="J34" s="17" t="str">
        <f aca="false">IF(OR(H34="",H34=0),"",I34/H34)</f>
        <v/>
      </c>
      <c r="K34" s="15"/>
      <c r="L34" s="15"/>
      <c r="M34" s="18"/>
      <c r="N34" s="15"/>
      <c r="O34" s="16" t="str">
        <f aca="false">IF(AND(OR(K34="At risk",K34="Late"),L34=""),"Add a reason code",IF(AND(L34="OTH",N34=""),"Explain OTH in notes",IF(AND(K34="Finished",I34&lt;H34,L34=""),"Add a reason code","")))</f>
        <v/>
      </c>
    </row>
    <row r="35" customFormat="false" ht="15" hidden="false" customHeight="false" outlineLevel="0" collapsed="false">
      <c r="A35" s="14"/>
      <c r="B35" s="15"/>
      <c r="C35" s="15"/>
      <c r="D35" s="15"/>
      <c r="E35" s="16" t="str">
        <f aca="false">IF(C35="","",IFERROR(INDEX(Drivers!$B:$B,MATCH(C35,Drivers!$A:$A,0)),"ID not found"))</f>
        <v/>
      </c>
      <c r="F35" s="16" t="str">
        <f aca="false">IF(B35="","",IFERROR(INDEX(Routes!$B:$B,MATCH(B35,Routes!$A:$A,0)),"ID not found"))</f>
        <v/>
      </c>
      <c r="G35" s="16" t="str">
        <f aca="false">IF(OR(B35="",C35="",D35=""),"",IF(OR(ISNA(MATCH(B35,Routes!$A:$A,0)),ISNA(MATCH(C35,Drivers!$A:$A,0)),ISNA(MATCH(D35,Vehicles!$A:$A,0))),"CHECK: ID not found",IF(INDEX(Routes!$C:$C,MATCH(B35,Routes!$A:$A,0))&lt;&gt;INDEX(Vehicles!$B:$B,MATCH(D35,Vehicles!$A:$A,0)),"CHECK: vehicle type does not fit route",IF(INDEX(Routes!$C:$C,MATCH(B35,Routes!$A:$A,0))&lt;&gt;INDEX(Drivers!$D:$D,MATCH(C35,Drivers!$A:$A,0)),"CHECK: driver type does not fit route",IF(OR(INDEX(Vehicles!$E:$E,MATCH(D35,Vehicles!$A:$A,0))="Workshop",INDEX(Vehicles!$E:$E,MATCH(D35,Vehicles!$A:$A,0))="Out of service"),"CHECK: vehicle not available",IF(INDEX(Drivers!$G:$G,MATCH(C35,Drivers!$A:$A,0))&lt;&gt;"Active","CHECK: driver not active",IF(COUNTIFS($A:$A,A35,$C:$C,C35)&gt;1,"CHECK: driver assigned twice",IF(COUNTIFS($A:$A,A35,$D:$D,D35)&gt;1,"CHECK: vehicle assigned twice","OK"))))))))</f>
        <v/>
      </c>
      <c r="H35" s="15"/>
      <c r="I35" s="15"/>
      <c r="J35" s="17" t="str">
        <f aca="false">IF(OR(H35="",H35=0),"",I35/H35)</f>
        <v/>
      </c>
      <c r="K35" s="15"/>
      <c r="L35" s="15"/>
      <c r="M35" s="18"/>
      <c r="N35" s="15"/>
      <c r="O35" s="16" t="str">
        <f aca="false">IF(AND(OR(K35="At risk",K35="Late"),L35=""),"Add a reason code",IF(AND(L35="OTH",N35=""),"Explain OTH in notes",IF(AND(K35="Finished",I35&lt;H35,L35=""),"Add a reason code","")))</f>
        <v/>
      </c>
    </row>
    <row r="36" customFormat="false" ht="15" hidden="false" customHeight="false" outlineLevel="0" collapsed="false">
      <c r="A36" s="14"/>
      <c r="B36" s="15"/>
      <c r="C36" s="15"/>
      <c r="D36" s="15"/>
      <c r="E36" s="16" t="str">
        <f aca="false">IF(C36="","",IFERROR(INDEX(Drivers!$B:$B,MATCH(C36,Drivers!$A:$A,0)),"ID not found"))</f>
        <v/>
      </c>
      <c r="F36" s="16" t="str">
        <f aca="false">IF(B36="","",IFERROR(INDEX(Routes!$B:$B,MATCH(B36,Routes!$A:$A,0)),"ID not found"))</f>
        <v/>
      </c>
      <c r="G36" s="16" t="str">
        <f aca="false">IF(OR(B36="",C36="",D36=""),"",IF(OR(ISNA(MATCH(B36,Routes!$A:$A,0)),ISNA(MATCH(C36,Drivers!$A:$A,0)),ISNA(MATCH(D36,Vehicles!$A:$A,0))),"CHECK: ID not found",IF(INDEX(Routes!$C:$C,MATCH(B36,Routes!$A:$A,0))&lt;&gt;INDEX(Vehicles!$B:$B,MATCH(D36,Vehicles!$A:$A,0)),"CHECK: vehicle type does not fit route",IF(INDEX(Routes!$C:$C,MATCH(B36,Routes!$A:$A,0))&lt;&gt;INDEX(Drivers!$D:$D,MATCH(C36,Drivers!$A:$A,0)),"CHECK: driver type does not fit route",IF(OR(INDEX(Vehicles!$E:$E,MATCH(D36,Vehicles!$A:$A,0))="Workshop",INDEX(Vehicles!$E:$E,MATCH(D36,Vehicles!$A:$A,0))="Out of service"),"CHECK: vehicle not available",IF(INDEX(Drivers!$G:$G,MATCH(C36,Drivers!$A:$A,0))&lt;&gt;"Active","CHECK: driver not active",IF(COUNTIFS($A:$A,A36,$C:$C,C36)&gt;1,"CHECK: driver assigned twice",IF(COUNTIFS($A:$A,A36,$D:$D,D36)&gt;1,"CHECK: vehicle assigned twice","OK"))))))))</f>
        <v/>
      </c>
      <c r="H36" s="15"/>
      <c r="I36" s="15"/>
      <c r="J36" s="17" t="str">
        <f aca="false">IF(OR(H36="",H36=0),"",I36/H36)</f>
        <v/>
      </c>
      <c r="K36" s="15"/>
      <c r="L36" s="15"/>
      <c r="M36" s="18"/>
      <c r="N36" s="15"/>
      <c r="O36" s="16" t="str">
        <f aca="false">IF(AND(OR(K36="At risk",K36="Late"),L36=""),"Add a reason code",IF(AND(L36="OTH",N36=""),"Explain OTH in notes",IF(AND(K36="Finished",I36&lt;H36,L36=""),"Add a reason code","")))</f>
        <v/>
      </c>
    </row>
    <row r="37" customFormat="false" ht="15" hidden="false" customHeight="false" outlineLevel="0" collapsed="false">
      <c r="A37" s="14"/>
      <c r="B37" s="15"/>
      <c r="C37" s="15"/>
      <c r="D37" s="15"/>
      <c r="E37" s="16" t="str">
        <f aca="false">IF(C37="","",IFERROR(INDEX(Drivers!$B:$B,MATCH(C37,Drivers!$A:$A,0)),"ID not found"))</f>
        <v/>
      </c>
      <c r="F37" s="16" t="str">
        <f aca="false">IF(B37="","",IFERROR(INDEX(Routes!$B:$B,MATCH(B37,Routes!$A:$A,0)),"ID not found"))</f>
        <v/>
      </c>
      <c r="G37" s="16" t="str">
        <f aca="false">IF(OR(B37="",C37="",D37=""),"",IF(OR(ISNA(MATCH(B37,Routes!$A:$A,0)),ISNA(MATCH(C37,Drivers!$A:$A,0)),ISNA(MATCH(D37,Vehicles!$A:$A,0))),"CHECK: ID not found",IF(INDEX(Routes!$C:$C,MATCH(B37,Routes!$A:$A,0))&lt;&gt;INDEX(Vehicles!$B:$B,MATCH(D37,Vehicles!$A:$A,0)),"CHECK: vehicle type does not fit route",IF(INDEX(Routes!$C:$C,MATCH(B37,Routes!$A:$A,0))&lt;&gt;INDEX(Drivers!$D:$D,MATCH(C37,Drivers!$A:$A,0)),"CHECK: driver type does not fit route",IF(OR(INDEX(Vehicles!$E:$E,MATCH(D37,Vehicles!$A:$A,0))="Workshop",INDEX(Vehicles!$E:$E,MATCH(D37,Vehicles!$A:$A,0))="Out of service"),"CHECK: vehicle not available",IF(INDEX(Drivers!$G:$G,MATCH(C37,Drivers!$A:$A,0))&lt;&gt;"Active","CHECK: driver not active",IF(COUNTIFS($A:$A,A37,$C:$C,C37)&gt;1,"CHECK: driver assigned twice",IF(COUNTIFS($A:$A,A37,$D:$D,D37)&gt;1,"CHECK: vehicle assigned twice","OK"))))))))</f>
        <v/>
      </c>
      <c r="H37" s="15"/>
      <c r="I37" s="15"/>
      <c r="J37" s="17" t="str">
        <f aca="false">IF(OR(H37="",H37=0),"",I37/H37)</f>
        <v/>
      </c>
      <c r="K37" s="15"/>
      <c r="L37" s="15"/>
      <c r="M37" s="18"/>
      <c r="N37" s="15"/>
      <c r="O37" s="16" t="str">
        <f aca="false">IF(AND(OR(K37="At risk",K37="Late"),L37=""),"Add a reason code",IF(AND(L37="OTH",N37=""),"Explain OTH in notes",IF(AND(K37="Finished",I37&lt;H37,L37=""),"Add a reason code","")))</f>
        <v/>
      </c>
    </row>
    <row r="38" customFormat="false" ht="15" hidden="false" customHeight="false" outlineLevel="0" collapsed="false">
      <c r="A38" s="14"/>
      <c r="B38" s="15"/>
      <c r="C38" s="15"/>
      <c r="D38" s="15"/>
      <c r="E38" s="16" t="str">
        <f aca="false">IF(C38="","",IFERROR(INDEX(Drivers!$B:$B,MATCH(C38,Drivers!$A:$A,0)),"ID not found"))</f>
        <v/>
      </c>
      <c r="F38" s="16" t="str">
        <f aca="false">IF(B38="","",IFERROR(INDEX(Routes!$B:$B,MATCH(B38,Routes!$A:$A,0)),"ID not found"))</f>
        <v/>
      </c>
      <c r="G38" s="16" t="str">
        <f aca="false">IF(OR(B38="",C38="",D38=""),"",IF(OR(ISNA(MATCH(B38,Routes!$A:$A,0)),ISNA(MATCH(C38,Drivers!$A:$A,0)),ISNA(MATCH(D38,Vehicles!$A:$A,0))),"CHECK: ID not found",IF(INDEX(Routes!$C:$C,MATCH(B38,Routes!$A:$A,0))&lt;&gt;INDEX(Vehicles!$B:$B,MATCH(D38,Vehicles!$A:$A,0)),"CHECK: vehicle type does not fit route",IF(INDEX(Routes!$C:$C,MATCH(B38,Routes!$A:$A,0))&lt;&gt;INDEX(Drivers!$D:$D,MATCH(C38,Drivers!$A:$A,0)),"CHECK: driver type does not fit route",IF(OR(INDEX(Vehicles!$E:$E,MATCH(D38,Vehicles!$A:$A,0))="Workshop",INDEX(Vehicles!$E:$E,MATCH(D38,Vehicles!$A:$A,0))="Out of service"),"CHECK: vehicle not available",IF(INDEX(Drivers!$G:$G,MATCH(C38,Drivers!$A:$A,0))&lt;&gt;"Active","CHECK: driver not active",IF(COUNTIFS($A:$A,A38,$C:$C,C38)&gt;1,"CHECK: driver assigned twice",IF(COUNTIFS($A:$A,A38,$D:$D,D38)&gt;1,"CHECK: vehicle assigned twice","OK"))))))))</f>
        <v/>
      </c>
      <c r="H38" s="15"/>
      <c r="I38" s="15"/>
      <c r="J38" s="17" t="str">
        <f aca="false">IF(OR(H38="",H38=0),"",I38/H38)</f>
        <v/>
      </c>
      <c r="K38" s="15"/>
      <c r="L38" s="15"/>
      <c r="M38" s="18"/>
      <c r="N38" s="15"/>
      <c r="O38" s="16" t="str">
        <f aca="false">IF(AND(OR(K38="At risk",K38="Late"),L38=""),"Add a reason code",IF(AND(L38="OTH",N38=""),"Explain OTH in notes",IF(AND(K38="Finished",I38&lt;H38,L38=""),"Add a reason code","")))</f>
        <v/>
      </c>
    </row>
    <row r="39" customFormat="false" ht="15" hidden="false" customHeight="false" outlineLevel="0" collapsed="false">
      <c r="A39" s="14"/>
      <c r="B39" s="15"/>
      <c r="C39" s="15"/>
      <c r="D39" s="15"/>
      <c r="E39" s="16" t="str">
        <f aca="false">IF(C39="","",IFERROR(INDEX(Drivers!$B:$B,MATCH(C39,Drivers!$A:$A,0)),"ID not found"))</f>
        <v/>
      </c>
      <c r="F39" s="16" t="str">
        <f aca="false">IF(B39="","",IFERROR(INDEX(Routes!$B:$B,MATCH(B39,Routes!$A:$A,0)),"ID not found"))</f>
        <v/>
      </c>
      <c r="G39" s="16" t="str">
        <f aca="false">IF(OR(B39="",C39="",D39=""),"",IF(OR(ISNA(MATCH(B39,Routes!$A:$A,0)),ISNA(MATCH(C39,Drivers!$A:$A,0)),ISNA(MATCH(D39,Vehicles!$A:$A,0))),"CHECK: ID not found",IF(INDEX(Routes!$C:$C,MATCH(B39,Routes!$A:$A,0))&lt;&gt;INDEX(Vehicles!$B:$B,MATCH(D39,Vehicles!$A:$A,0)),"CHECK: vehicle type does not fit route",IF(INDEX(Routes!$C:$C,MATCH(B39,Routes!$A:$A,0))&lt;&gt;INDEX(Drivers!$D:$D,MATCH(C39,Drivers!$A:$A,0)),"CHECK: driver type does not fit route",IF(OR(INDEX(Vehicles!$E:$E,MATCH(D39,Vehicles!$A:$A,0))="Workshop",INDEX(Vehicles!$E:$E,MATCH(D39,Vehicles!$A:$A,0))="Out of service"),"CHECK: vehicle not available",IF(INDEX(Drivers!$G:$G,MATCH(C39,Drivers!$A:$A,0))&lt;&gt;"Active","CHECK: driver not active",IF(COUNTIFS($A:$A,A39,$C:$C,C39)&gt;1,"CHECK: driver assigned twice",IF(COUNTIFS($A:$A,A39,$D:$D,D39)&gt;1,"CHECK: vehicle assigned twice","OK"))))))))</f>
        <v/>
      </c>
      <c r="H39" s="15"/>
      <c r="I39" s="15"/>
      <c r="J39" s="17" t="str">
        <f aca="false">IF(OR(H39="",H39=0),"",I39/H39)</f>
        <v/>
      </c>
      <c r="K39" s="15"/>
      <c r="L39" s="15"/>
      <c r="M39" s="18"/>
      <c r="N39" s="15"/>
      <c r="O39" s="16" t="str">
        <f aca="false">IF(AND(OR(K39="At risk",K39="Late"),L39=""),"Add a reason code",IF(AND(L39="OTH",N39=""),"Explain OTH in notes",IF(AND(K39="Finished",I39&lt;H39,L39=""),"Add a reason code","")))</f>
        <v/>
      </c>
    </row>
    <row r="40" customFormat="false" ht="15" hidden="false" customHeight="false" outlineLevel="0" collapsed="false">
      <c r="A40" s="14"/>
      <c r="B40" s="15"/>
      <c r="C40" s="15"/>
      <c r="D40" s="15"/>
      <c r="E40" s="16" t="str">
        <f aca="false">IF(C40="","",IFERROR(INDEX(Drivers!$B:$B,MATCH(C40,Drivers!$A:$A,0)),"ID not found"))</f>
        <v/>
      </c>
      <c r="F40" s="16" t="str">
        <f aca="false">IF(B40="","",IFERROR(INDEX(Routes!$B:$B,MATCH(B40,Routes!$A:$A,0)),"ID not found"))</f>
        <v/>
      </c>
      <c r="G40" s="16" t="str">
        <f aca="false">IF(OR(B40="",C40="",D40=""),"",IF(OR(ISNA(MATCH(B40,Routes!$A:$A,0)),ISNA(MATCH(C40,Drivers!$A:$A,0)),ISNA(MATCH(D40,Vehicles!$A:$A,0))),"CHECK: ID not found",IF(INDEX(Routes!$C:$C,MATCH(B40,Routes!$A:$A,0))&lt;&gt;INDEX(Vehicles!$B:$B,MATCH(D40,Vehicles!$A:$A,0)),"CHECK: vehicle type does not fit route",IF(INDEX(Routes!$C:$C,MATCH(B40,Routes!$A:$A,0))&lt;&gt;INDEX(Drivers!$D:$D,MATCH(C40,Drivers!$A:$A,0)),"CHECK: driver type does not fit route",IF(OR(INDEX(Vehicles!$E:$E,MATCH(D40,Vehicles!$A:$A,0))="Workshop",INDEX(Vehicles!$E:$E,MATCH(D40,Vehicles!$A:$A,0))="Out of service"),"CHECK: vehicle not available",IF(INDEX(Drivers!$G:$G,MATCH(C40,Drivers!$A:$A,0))&lt;&gt;"Active","CHECK: driver not active",IF(COUNTIFS($A:$A,A40,$C:$C,C40)&gt;1,"CHECK: driver assigned twice",IF(COUNTIFS($A:$A,A40,$D:$D,D40)&gt;1,"CHECK: vehicle assigned twice","OK"))))))))</f>
        <v/>
      </c>
      <c r="H40" s="15"/>
      <c r="I40" s="15"/>
      <c r="J40" s="17" t="str">
        <f aca="false">IF(OR(H40="",H40=0),"",I40/H40)</f>
        <v/>
      </c>
      <c r="K40" s="15"/>
      <c r="L40" s="15"/>
      <c r="M40" s="18"/>
      <c r="N40" s="15"/>
      <c r="O40" s="16" t="str">
        <f aca="false">IF(AND(OR(K40="At risk",K40="Late"),L40=""),"Add a reason code",IF(AND(L40="OTH",N40=""),"Explain OTH in notes",IF(AND(K40="Finished",I40&lt;H40,L40=""),"Add a reason code","")))</f>
        <v/>
      </c>
    </row>
    <row r="41" customFormat="false" ht="15" hidden="false" customHeight="false" outlineLevel="0" collapsed="false">
      <c r="A41" s="14"/>
      <c r="B41" s="15"/>
      <c r="C41" s="15"/>
      <c r="D41" s="15"/>
      <c r="E41" s="16" t="str">
        <f aca="false">IF(C41="","",IFERROR(INDEX(Drivers!$B:$B,MATCH(C41,Drivers!$A:$A,0)),"ID not found"))</f>
        <v/>
      </c>
      <c r="F41" s="16" t="str">
        <f aca="false">IF(B41="","",IFERROR(INDEX(Routes!$B:$B,MATCH(B41,Routes!$A:$A,0)),"ID not found"))</f>
        <v/>
      </c>
      <c r="G41" s="16" t="str">
        <f aca="false">IF(OR(B41="",C41="",D41=""),"",IF(OR(ISNA(MATCH(B41,Routes!$A:$A,0)),ISNA(MATCH(C41,Drivers!$A:$A,0)),ISNA(MATCH(D41,Vehicles!$A:$A,0))),"CHECK: ID not found",IF(INDEX(Routes!$C:$C,MATCH(B41,Routes!$A:$A,0))&lt;&gt;INDEX(Vehicles!$B:$B,MATCH(D41,Vehicles!$A:$A,0)),"CHECK: vehicle type does not fit route",IF(INDEX(Routes!$C:$C,MATCH(B41,Routes!$A:$A,0))&lt;&gt;INDEX(Drivers!$D:$D,MATCH(C41,Drivers!$A:$A,0)),"CHECK: driver type does not fit route",IF(OR(INDEX(Vehicles!$E:$E,MATCH(D41,Vehicles!$A:$A,0))="Workshop",INDEX(Vehicles!$E:$E,MATCH(D41,Vehicles!$A:$A,0))="Out of service"),"CHECK: vehicle not available",IF(INDEX(Drivers!$G:$G,MATCH(C41,Drivers!$A:$A,0))&lt;&gt;"Active","CHECK: driver not active",IF(COUNTIFS($A:$A,A41,$C:$C,C41)&gt;1,"CHECK: driver assigned twice",IF(COUNTIFS($A:$A,A41,$D:$D,D41)&gt;1,"CHECK: vehicle assigned twice","OK"))))))))</f>
        <v/>
      </c>
      <c r="H41" s="15"/>
      <c r="I41" s="15"/>
      <c r="J41" s="17" t="str">
        <f aca="false">IF(OR(H41="",H41=0),"",I41/H41)</f>
        <v/>
      </c>
      <c r="K41" s="15"/>
      <c r="L41" s="15"/>
      <c r="M41" s="18"/>
      <c r="N41" s="15"/>
      <c r="O41" s="16" t="str">
        <f aca="false">IF(AND(OR(K41="At risk",K41="Late"),L41=""),"Add a reason code",IF(AND(L41="OTH",N41=""),"Explain OTH in notes",IF(AND(K41="Finished",I41&lt;H41,L41=""),"Add a reason code","")))</f>
        <v/>
      </c>
    </row>
    <row r="42" customFormat="false" ht="15" hidden="false" customHeight="false" outlineLevel="0" collapsed="false">
      <c r="A42" s="14"/>
      <c r="B42" s="15"/>
      <c r="C42" s="15"/>
      <c r="D42" s="15"/>
      <c r="E42" s="16" t="str">
        <f aca="false">IF(C42="","",IFERROR(INDEX(Drivers!$B:$B,MATCH(C42,Drivers!$A:$A,0)),"ID not found"))</f>
        <v/>
      </c>
      <c r="F42" s="16" t="str">
        <f aca="false">IF(B42="","",IFERROR(INDEX(Routes!$B:$B,MATCH(B42,Routes!$A:$A,0)),"ID not found"))</f>
        <v/>
      </c>
      <c r="G42" s="16" t="str">
        <f aca="false">IF(OR(B42="",C42="",D42=""),"",IF(OR(ISNA(MATCH(B42,Routes!$A:$A,0)),ISNA(MATCH(C42,Drivers!$A:$A,0)),ISNA(MATCH(D42,Vehicles!$A:$A,0))),"CHECK: ID not found",IF(INDEX(Routes!$C:$C,MATCH(B42,Routes!$A:$A,0))&lt;&gt;INDEX(Vehicles!$B:$B,MATCH(D42,Vehicles!$A:$A,0)),"CHECK: vehicle type does not fit route",IF(INDEX(Routes!$C:$C,MATCH(B42,Routes!$A:$A,0))&lt;&gt;INDEX(Drivers!$D:$D,MATCH(C42,Drivers!$A:$A,0)),"CHECK: driver type does not fit route",IF(OR(INDEX(Vehicles!$E:$E,MATCH(D42,Vehicles!$A:$A,0))="Workshop",INDEX(Vehicles!$E:$E,MATCH(D42,Vehicles!$A:$A,0))="Out of service"),"CHECK: vehicle not available",IF(INDEX(Drivers!$G:$G,MATCH(C42,Drivers!$A:$A,0))&lt;&gt;"Active","CHECK: driver not active",IF(COUNTIFS($A:$A,A42,$C:$C,C42)&gt;1,"CHECK: driver assigned twice",IF(COUNTIFS($A:$A,A42,$D:$D,D42)&gt;1,"CHECK: vehicle assigned twice","OK"))))))))</f>
        <v/>
      </c>
      <c r="H42" s="15"/>
      <c r="I42" s="15"/>
      <c r="J42" s="17" t="str">
        <f aca="false">IF(OR(H42="",H42=0),"",I42/H42)</f>
        <v/>
      </c>
      <c r="K42" s="15"/>
      <c r="L42" s="15"/>
      <c r="M42" s="18"/>
      <c r="N42" s="15"/>
      <c r="O42" s="16" t="str">
        <f aca="false">IF(AND(OR(K42="At risk",K42="Late"),L42=""),"Add a reason code",IF(AND(L42="OTH",N42=""),"Explain OTH in notes",IF(AND(K42="Finished",I42&lt;H42,L42=""),"Add a reason code","")))</f>
        <v/>
      </c>
    </row>
    <row r="43" customFormat="false" ht="15" hidden="false" customHeight="false" outlineLevel="0" collapsed="false">
      <c r="A43" s="14"/>
      <c r="B43" s="15"/>
      <c r="C43" s="15"/>
      <c r="D43" s="15"/>
      <c r="E43" s="16" t="str">
        <f aca="false">IF(C43="","",IFERROR(INDEX(Drivers!$B:$B,MATCH(C43,Drivers!$A:$A,0)),"ID not found"))</f>
        <v/>
      </c>
      <c r="F43" s="16" t="str">
        <f aca="false">IF(B43="","",IFERROR(INDEX(Routes!$B:$B,MATCH(B43,Routes!$A:$A,0)),"ID not found"))</f>
        <v/>
      </c>
      <c r="G43" s="16" t="str">
        <f aca="false">IF(OR(B43="",C43="",D43=""),"",IF(OR(ISNA(MATCH(B43,Routes!$A:$A,0)),ISNA(MATCH(C43,Drivers!$A:$A,0)),ISNA(MATCH(D43,Vehicles!$A:$A,0))),"CHECK: ID not found",IF(INDEX(Routes!$C:$C,MATCH(B43,Routes!$A:$A,0))&lt;&gt;INDEX(Vehicles!$B:$B,MATCH(D43,Vehicles!$A:$A,0)),"CHECK: vehicle type does not fit route",IF(INDEX(Routes!$C:$C,MATCH(B43,Routes!$A:$A,0))&lt;&gt;INDEX(Drivers!$D:$D,MATCH(C43,Drivers!$A:$A,0)),"CHECK: driver type does not fit route",IF(OR(INDEX(Vehicles!$E:$E,MATCH(D43,Vehicles!$A:$A,0))="Workshop",INDEX(Vehicles!$E:$E,MATCH(D43,Vehicles!$A:$A,0))="Out of service"),"CHECK: vehicle not available",IF(INDEX(Drivers!$G:$G,MATCH(C43,Drivers!$A:$A,0))&lt;&gt;"Active","CHECK: driver not active",IF(COUNTIFS($A:$A,A43,$C:$C,C43)&gt;1,"CHECK: driver assigned twice",IF(COUNTIFS($A:$A,A43,$D:$D,D43)&gt;1,"CHECK: vehicle assigned twice","OK"))))))))</f>
        <v/>
      </c>
      <c r="H43" s="15"/>
      <c r="I43" s="15"/>
      <c r="J43" s="17" t="str">
        <f aca="false">IF(OR(H43="",H43=0),"",I43/H43)</f>
        <v/>
      </c>
      <c r="K43" s="15"/>
      <c r="L43" s="15"/>
      <c r="M43" s="18"/>
      <c r="N43" s="15"/>
      <c r="O43" s="16" t="str">
        <f aca="false">IF(AND(OR(K43="At risk",K43="Late"),L43=""),"Add a reason code",IF(AND(L43="OTH",N43=""),"Explain OTH in notes",IF(AND(K43="Finished",I43&lt;H43,L43=""),"Add a reason code","")))</f>
        <v/>
      </c>
    </row>
    <row r="44" customFormat="false" ht="15" hidden="false" customHeight="false" outlineLevel="0" collapsed="false">
      <c r="A44" s="14"/>
      <c r="B44" s="15"/>
      <c r="C44" s="15"/>
      <c r="D44" s="15"/>
      <c r="E44" s="16" t="str">
        <f aca="false">IF(C44="","",IFERROR(INDEX(Drivers!$B:$B,MATCH(C44,Drivers!$A:$A,0)),"ID not found"))</f>
        <v/>
      </c>
      <c r="F44" s="16" t="str">
        <f aca="false">IF(B44="","",IFERROR(INDEX(Routes!$B:$B,MATCH(B44,Routes!$A:$A,0)),"ID not found"))</f>
        <v/>
      </c>
      <c r="G44" s="16" t="str">
        <f aca="false">IF(OR(B44="",C44="",D44=""),"",IF(OR(ISNA(MATCH(B44,Routes!$A:$A,0)),ISNA(MATCH(C44,Drivers!$A:$A,0)),ISNA(MATCH(D44,Vehicles!$A:$A,0))),"CHECK: ID not found",IF(INDEX(Routes!$C:$C,MATCH(B44,Routes!$A:$A,0))&lt;&gt;INDEX(Vehicles!$B:$B,MATCH(D44,Vehicles!$A:$A,0)),"CHECK: vehicle type does not fit route",IF(INDEX(Routes!$C:$C,MATCH(B44,Routes!$A:$A,0))&lt;&gt;INDEX(Drivers!$D:$D,MATCH(C44,Drivers!$A:$A,0)),"CHECK: driver type does not fit route",IF(OR(INDEX(Vehicles!$E:$E,MATCH(D44,Vehicles!$A:$A,0))="Workshop",INDEX(Vehicles!$E:$E,MATCH(D44,Vehicles!$A:$A,0))="Out of service"),"CHECK: vehicle not available",IF(INDEX(Drivers!$G:$G,MATCH(C44,Drivers!$A:$A,0))&lt;&gt;"Active","CHECK: driver not active",IF(COUNTIFS($A:$A,A44,$C:$C,C44)&gt;1,"CHECK: driver assigned twice",IF(COUNTIFS($A:$A,A44,$D:$D,D44)&gt;1,"CHECK: vehicle assigned twice","OK"))))))))</f>
        <v/>
      </c>
      <c r="H44" s="15"/>
      <c r="I44" s="15"/>
      <c r="J44" s="17" t="str">
        <f aca="false">IF(OR(H44="",H44=0),"",I44/H44)</f>
        <v/>
      </c>
      <c r="K44" s="15"/>
      <c r="L44" s="15"/>
      <c r="M44" s="18"/>
      <c r="N44" s="15"/>
      <c r="O44" s="16" t="str">
        <f aca="false">IF(AND(OR(K44="At risk",K44="Late"),L44=""),"Add a reason code",IF(AND(L44="OTH",N44=""),"Explain OTH in notes",IF(AND(K44="Finished",I44&lt;H44,L44=""),"Add a reason code","")))</f>
        <v/>
      </c>
    </row>
    <row r="45" customFormat="false" ht="15" hidden="false" customHeight="false" outlineLevel="0" collapsed="false">
      <c r="A45" s="14"/>
      <c r="B45" s="15"/>
      <c r="C45" s="15"/>
      <c r="D45" s="15"/>
      <c r="E45" s="16" t="str">
        <f aca="false">IF(C45="","",IFERROR(INDEX(Drivers!$B:$B,MATCH(C45,Drivers!$A:$A,0)),"ID not found"))</f>
        <v/>
      </c>
      <c r="F45" s="16" t="str">
        <f aca="false">IF(B45="","",IFERROR(INDEX(Routes!$B:$B,MATCH(B45,Routes!$A:$A,0)),"ID not found"))</f>
        <v/>
      </c>
      <c r="G45" s="16" t="str">
        <f aca="false">IF(OR(B45="",C45="",D45=""),"",IF(OR(ISNA(MATCH(B45,Routes!$A:$A,0)),ISNA(MATCH(C45,Drivers!$A:$A,0)),ISNA(MATCH(D45,Vehicles!$A:$A,0))),"CHECK: ID not found",IF(INDEX(Routes!$C:$C,MATCH(B45,Routes!$A:$A,0))&lt;&gt;INDEX(Vehicles!$B:$B,MATCH(D45,Vehicles!$A:$A,0)),"CHECK: vehicle type does not fit route",IF(INDEX(Routes!$C:$C,MATCH(B45,Routes!$A:$A,0))&lt;&gt;INDEX(Drivers!$D:$D,MATCH(C45,Drivers!$A:$A,0)),"CHECK: driver type does not fit route",IF(OR(INDEX(Vehicles!$E:$E,MATCH(D45,Vehicles!$A:$A,0))="Workshop",INDEX(Vehicles!$E:$E,MATCH(D45,Vehicles!$A:$A,0))="Out of service"),"CHECK: vehicle not available",IF(INDEX(Drivers!$G:$G,MATCH(C45,Drivers!$A:$A,0))&lt;&gt;"Active","CHECK: driver not active",IF(COUNTIFS($A:$A,A45,$C:$C,C45)&gt;1,"CHECK: driver assigned twice",IF(COUNTIFS($A:$A,A45,$D:$D,D45)&gt;1,"CHECK: vehicle assigned twice","OK"))))))))</f>
        <v/>
      </c>
      <c r="H45" s="15"/>
      <c r="I45" s="15"/>
      <c r="J45" s="17" t="str">
        <f aca="false">IF(OR(H45="",H45=0),"",I45/H45)</f>
        <v/>
      </c>
      <c r="K45" s="15"/>
      <c r="L45" s="15"/>
      <c r="M45" s="18"/>
      <c r="N45" s="15"/>
      <c r="O45" s="16" t="str">
        <f aca="false">IF(AND(OR(K45="At risk",K45="Late"),L45=""),"Add a reason code",IF(AND(L45="OTH",N45=""),"Explain OTH in notes",IF(AND(K45="Finished",I45&lt;H45,L45=""),"Add a reason code","")))</f>
        <v/>
      </c>
    </row>
    <row r="46" customFormat="false" ht="15" hidden="false" customHeight="false" outlineLevel="0" collapsed="false">
      <c r="A46" s="14"/>
      <c r="B46" s="15"/>
      <c r="C46" s="15"/>
      <c r="D46" s="15"/>
      <c r="E46" s="16" t="str">
        <f aca="false">IF(C46="","",IFERROR(INDEX(Drivers!$B:$B,MATCH(C46,Drivers!$A:$A,0)),"ID not found"))</f>
        <v/>
      </c>
      <c r="F46" s="16" t="str">
        <f aca="false">IF(B46="","",IFERROR(INDEX(Routes!$B:$B,MATCH(B46,Routes!$A:$A,0)),"ID not found"))</f>
        <v/>
      </c>
      <c r="G46" s="16" t="str">
        <f aca="false">IF(OR(B46="",C46="",D46=""),"",IF(OR(ISNA(MATCH(B46,Routes!$A:$A,0)),ISNA(MATCH(C46,Drivers!$A:$A,0)),ISNA(MATCH(D46,Vehicles!$A:$A,0))),"CHECK: ID not found",IF(INDEX(Routes!$C:$C,MATCH(B46,Routes!$A:$A,0))&lt;&gt;INDEX(Vehicles!$B:$B,MATCH(D46,Vehicles!$A:$A,0)),"CHECK: vehicle type does not fit route",IF(INDEX(Routes!$C:$C,MATCH(B46,Routes!$A:$A,0))&lt;&gt;INDEX(Drivers!$D:$D,MATCH(C46,Drivers!$A:$A,0)),"CHECK: driver type does not fit route",IF(OR(INDEX(Vehicles!$E:$E,MATCH(D46,Vehicles!$A:$A,0))="Workshop",INDEX(Vehicles!$E:$E,MATCH(D46,Vehicles!$A:$A,0))="Out of service"),"CHECK: vehicle not available",IF(INDEX(Drivers!$G:$G,MATCH(C46,Drivers!$A:$A,0))&lt;&gt;"Active","CHECK: driver not active",IF(COUNTIFS($A:$A,A46,$C:$C,C46)&gt;1,"CHECK: driver assigned twice",IF(COUNTIFS($A:$A,A46,$D:$D,D46)&gt;1,"CHECK: vehicle assigned twice","OK"))))))))</f>
        <v/>
      </c>
      <c r="H46" s="15"/>
      <c r="I46" s="15"/>
      <c r="J46" s="17" t="str">
        <f aca="false">IF(OR(H46="",H46=0),"",I46/H46)</f>
        <v/>
      </c>
      <c r="K46" s="15"/>
      <c r="L46" s="15"/>
      <c r="M46" s="18"/>
      <c r="N46" s="15"/>
      <c r="O46" s="16" t="str">
        <f aca="false">IF(AND(OR(K46="At risk",K46="Late"),L46=""),"Add a reason code",IF(AND(L46="OTH",N46=""),"Explain OTH in notes",IF(AND(K46="Finished",I46&lt;H46,L46=""),"Add a reason code","")))</f>
        <v/>
      </c>
    </row>
    <row r="47" customFormat="false" ht="15" hidden="false" customHeight="false" outlineLevel="0" collapsed="false">
      <c r="A47" s="14"/>
      <c r="B47" s="15"/>
      <c r="C47" s="15"/>
      <c r="D47" s="15"/>
      <c r="E47" s="16" t="str">
        <f aca="false">IF(C47="","",IFERROR(INDEX(Drivers!$B:$B,MATCH(C47,Drivers!$A:$A,0)),"ID not found"))</f>
        <v/>
      </c>
      <c r="F47" s="16" t="str">
        <f aca="false">IF(B47="","",IFERROR(INDEX(Routes!$B:$B,MATCH(B47,Routes!$A:$A,0)),"ID not found"))</f>
        <v/>
      </c>
      <c r="G47" s="16" t="str">
        <f aca="false">IF(OR(B47="",C47="",D47=""),"",IF(OR(ISNA(MATCH(B47,Routes!$A:$A,0)),ISNA(MATCH(C47,Drivers!$A:$A,0)),ISNA(MATCH(D47,Vehicles!$A:$A,0))),"CHECK: ID not found",IF(INDEX(Routes!$C:$C,MATCH(B47,Routes!$A:$A,0))&lt;&gt;INDEX(Vehicles!$B:$B,MATCH(D47,Vehicles!$A:$A,0)),"CHECK: vehicle type does not fit route",IF(INDEX(Routes!$C:$C,MATCH(B47,Routes!$A:$A,0))&lt;&gt;INDEX(Drivers!$D:$D,MATCH(C47,Drivers!$A:$A,0)),"CHECK: driver type does not fit route",IF(OR(INDEX(Vehicles!$E:$E,MATCH(D47,Vehicles!$A:$A,0))="Workshop",INDEX(Vehicles!$E:$E,MATCH(D47,Vehicles!$A:$A,0))="Out of service"),"CHECK: vehicle not available",IF(INDEX(Drivers!$G:$G,MATCH(C47,Drivers!$A:$A,0))&lt;&gt;"Active","CHECK: driver not active",IF(COUNTIFS($A:$A,A47,$C:$C,C47)&gt;1,"CHECK: driver assigned twice",IF(COUNTIFS($A:$A,A47,$D:$D,D47)&gt;1,"CHECK: vehicle assigned twice","OK"))))))))</f>
        <v/>
      </c>
      <c r="H47" s="15"/>
      <c r="I47" s="15"/>
      <c r="J47" s="17" t="str">
        <f aca="false">IF(OR(H47="",H47=0),"",I47/H47)</f>
        <v/>
      </c>
      <c r="K47" s="15"/>
      <c r="L47" s="15"/>
      <c r="M47" s="18"/>
      <c r="N47" s="15"/>
      <c r="O47" s="16" t="str">
        <f aca="false">IF(AND(OR(K47="At risk",K47="Late"),L47=""),"Add a reason code",IF(AND(L47="OTH",N47=""),"Explain OTH in notes",IF(AND(K47="Finished",I47&lt;H47,L47=""),"Add a reason code","")))</f>
        <v/>
      </c>
    </row>
    <row r="48" customFormat="false" ht="15" hidden="false" customHeight="false" outlineLevel="0" collapsed="false">
      <c r="A48" s="14"/>
      <c r="B48" s="15"/>
      <c r="C48" s="15"/>
      <c r="D48" s="15"/>
      <c r="E48" s="16" t="str">
        <f aca="false">IF(C48="","",IFERROR(INDEX(Drivers!$B:$B,MATCH(C48,Drivers!$A:$A,0)),"ID not found"))</f>
        <v/>
      </c>
      <c r="F48" s="16" t="str">
        <f aca="false">IF(B48="","",IFERROR(INDEX(Routes!$B:$B,MATCH(B48,Routes!$A:$A,0)),"ID not found"))</f>
        <v/>
      </c>
      <c r="G48" s="16" t="str">
        <f aca="false">IF(OR(B48="",C48="",D48=""),"",IF(OR(ISNA(MATCH(B48,Routes!$A:$A,0)),ISNA(MATCH(C48,Drivers!$A:$A,0)),ISNA(MATCH(D48,Vehicles!$A:$A,0))),"CHECK: ID not found",IF(INDEX(Routes!$C:$C,MATCH(B48,Routes!$A:$A,0))&lt;&gt;INDEX(Vehicles!$B:$B,MATCH(D48,Vehicles!$A:$A,0)),"CHECK: vehicle type does not fit route",IF(INDEX(Routes!$C:$C,MATCH(B48,Routes!$A:$A,0))&lt;&gt;INDEX(Drivers!$D:$D,MATCH(C48,Drivers!$A:$A,0)),"CHECK: driver type does not fit route",IF(OR(INDEX(Vehicles!$E:$E,MATCH(D48,Vehicles!$A:$A,0))="Workshop",INDEX(Vehicles!$E:$E,MATCH(D48,Vehicles!$A:$A,0))="Out of service"),"CHECK: vehicle not available",IF(INDEX(Drivers!$G:$G,MATCH(C48,Drivers!$A:$A,0))&lt;&gt;"Active","CHECK: driver not active",IF(COUNTIFS($A:$A,A48,$C:$C,C48)&gt;1,"CHECK: driver assigned twice",IF(COUNTIFS($A:$A,A48,$D:$D,D48)&gt;1,"CHECK: vehicle assigned twice","OK"))))))))</f>
        <v/>
      </c>
      <c r="H48" s="15"/>
      <c r="I48" s="15"/>
      <c r="J48" s="17" t="str">
        <f aca="false">IF(OR(H48="",H48=0),"",I48/H48)</f>
        <v/>
      </c>
      <c r="K48" s="15"/>
      <c r="L48" s="15"/>
      <c r="M48" s="18"/>
      <c r="N48" s="15"/>
      <c r="O48" s="16" t="str">
        <f aca="false">IF(AND(OR(K48="At risk",K48="Late"),L48=""),"Add a reason code",IF(AND(L48="OTH",N48=""),"Explain OTH in notes",IF(AND(K48="Finished",I48&lt;H48,L48=""),"Add a reason code","")))</f>
        <v/>
      </c>
    </row>
    <row r="49" customFormat="false" ht="15" hidden="false" customHeight="false" outlineLevel="0" collapsed="false">
      <c r="A49" s="14"/>
      <c r="B49" s="15"/>
      <c r="C49" s="15"/>
      <c r="D49" s="15"/>
      <c r="E49" s="16" t="str">
        <f aca="false">IF(C49="","",IFERROR(INDEX(Drivers!$B:$B,MATCH(C49,Drivers!$A:$A,0)),"ID not found"))</f>
        <v/>
      </c>
      <c r="F49" s="16" t="str">
        <f aca="false">IF(B49="","",IFERROR(INDEX(Routes!$B:$B,MATCH(B49,Routes!$A:$A,0)),"ID not found"))</f>
        <v/>
      </c>
      <c r="G49" s="16" t="str">
        <f aca="false">IF(OR(B49="",C49="",D49=""),"",IF(OR(ISNA(MATCH(B49,Routes!$A:$A,0)),ISNA(MATCH(C49,Drivers!$A:$A,0)),ISNA(MATCH(D49,Vehicles!$A:$A,0))),"CHECK: ID not found",IF(INDEX(Routes!$C:$C,MATCH(B49,Routes!$A:$A,0))&lt;&gt;INDEX(Vehicles!$B:$B,MATCH(D49,Vehicles!$A:$A,0)),"CHECK: vehicle type does not fit route",IF(INDEX(Routes!$C:$C,MATCH(B49,Routes!$A:$A,0))&lt;&gt;INDEX(Drivers!$D:$D,MATCH(C49,Drivers!$A:$A,0)),"CHECK: driver type does not fit route",IF(OR(INDEX(Vehicles!$E:$E,MATCH(D49,Vehicles!$A:$A,0))="Workshop",INDEX(Vehicles!$E:$E,MATCH(D49,Vehicles!$A:$A,0))="Out of service"),"CHECK: vehicle not available",IF(INDEX(Drivers!$G:$G,MATCH(C49,Drivers!$A:$A,0))&lt;&gt;"Active","CHECK: driver not active",IF(COUNTIFS($A:$A,A49,$C:$C,C49)&gt;1,"CHECK: driver assigned twice",IF(COUNTIFS($A:$A,A49,$D:$D,D49)&gt;1,"CHECK: vehicle assigned twice","OK"))))))))</f>
        <v/>
      </c>
      <c r="H49" s="15"/>
      <c r="I49" s="15"/>
      <c r="J49" s="17" t="str">
        <f aca="false">IF(OR(H49="",H49=0),"",I49/H49)</f>
        <v/>
      </c>
      <c r="K49" s="15"/>
      <c r="L49" s="15"/>
      <c r="M49" s="18"/>
      <c r="N49" s="15"/>
      <c r="O49" s="16" t="str">
        <f aca="false">IF(AND(OR(K49="At risk",K49="Late"),L49=""),"Add a reason code",IF(AND(L49="OTH",N49=""),"Explain OTH in notes",IF(AND(K49="Finished",I49&lt;H49,L49=""),"Add a reason code","")))</f>
        <v/>
      </c>
    </row>
    <row r="50" customFormat="false" ht="15" hidden="false" customHeight="false" outlineLevel="0" collapsed="false">
      <c r="A50" s="14"/>
      <c r="B50" s="15"/>
      <c r="C50" s="15"/>
      <c r="D50" s="15"/>
      <c r="E50" s="16" t="str">
        <f aca="false">IF(C50="","",IFERROR(INDEX(Drivers!$B:$B,MATCH(C50,Drivers!$A:$A,0)),"ID not found"))</f>
        <v/>
      </c>
      <c r="F50" s="16" t="str">
        <f aca="false">IF(B50="","",IFERROR(INDEX(Routes!$B:$B,MATCH(B50,Routes!$A:$A,0)),"ID not found"))</f>
        <v/>
      </c>
      <c r="G50" s="16" t="str">
        <f aca="false">IF(OR(B50="",C50="",D50=""),"",IF(OR(ISNA(MATCH(B50,Routes!$A:$A,0)),ISNA(MATCH(C50,Drivers!$A:$A,0)),ISNA(MATCH(D50,Vehicles!$A:$A,0))),"CHECK: ID not found",IF(INDEX(Routes!$C:$C,MATCH(B50,Routes!$A:$A,0))&lt;&gt;INDEX(Vehicles!$B:$B,MATCH(D50,Vehicles!$A:$A,0)),"CHECK: vehicle type does not fit route",IF(INDEX(Routes!$C:$C,MATCH(B50,Routes!$A:$A,0))&lt;&gt;INDEX(Drivers!$D:$D,MATCH(C50,Drivers!$A:$A,0)),"CHECK: driver type does not fit route",IF(OR(INDEX(Vehicles!$E:$E,MATCH(D50,Vehicles!$A:$A,0))="Workshop",INDEX(Vehicles!$E:$E,MATCH(D50,Vehicles!$A:$A,0))="Out of service"),"CHECK: vehicle not available",IF(INDEX(Drivers!$G:$G,MATCH(C50,Drivers!$A:$A,0))&lt;&gt;"Active","CHECK: driver not active",IF(COUNTIFS($A:$A,A50,$C:$C,C50)&gt;1,"CHECK: driver assigned twice",IF(COUNTIFS($A:$A,A50,$D:$D,D50)&gt;1,"CHECK: vehicle assigned twice","OK"))))))))</f>
        <v/>
      </c>
      <c r="H50" s="15"/>
      <c r="I50" s="15"/>
      <c r="J50" s="17" t="str">
        <f aca="false">IF(OR(H50="",H50=0),"",I50/H50)</f>
        <v/>
      </c>
      <c r="K50" s="15"/>
      <c r="L50" s="15"/>
      <c r="M50" s="18"/>
      <c r="N50" s="15"/>
      <c r="O50" s="16" t="str">
        <f aca="false">IF(AND(OR(K50="At risk",K50="Late"),L50=""),"Add a reason code",IF(AND(L50="OTH",N50=""),"Explain OTH in notes",IF(AND(K50="Finished",I50&lt;H50,L50=""),"Add a reason code","")))</f>
        <v/>
      </c>
    </row>
    <row r="51" customFormat="false" ht="15" hidden="false" customHeight="false" outlineLevel="0" collapsed="false">
      <c r="A51" s="14"/>
      <c r="B51" s="15"/>
      <c r="C51" s="15"/>
      <c r="D51" s="15"/>
      <c r="E51" s="16" t="str">
        <f aca="false">IF(C51="","",IFERROR(INDEX(Drivers!$B:$B,MATCH(C51,Drivers!$A:$A,0)),"ID not found"))</f>
        <v/>
      </c>
      <c r="F51" s="16" t="str">
        <f aca="false">IF(B51="","",IFERROR(INDEX(Routes!$B:$B,MATCH(B51,Routes!$A:$A,0)),"ID not found"))</f>
        <v/>
      </c>
      <c r="G51" s="16" t="str">
        <f aca="false">IF(OR(B51="",C51="",D51=""),"",IF(OR(ISNA(MATCH(B51,Routes!$A:$A,0)),ISNA(MATCH(C51,Drivers!$A:$A,0)),ISNA(MATCH(D51,Vehicles!$A:$A,0))),"CHECK: ID not found",IF(INDEX(Routes!$C:$C,MATCH(B51,Routes!$A:$A,0))&lt;&gt;INDEX(Vehicles!$B:$B,MATCH(D51,Vehicles!$A:$A,0)),"CHECK: vehicle type does not fit route",IF(INDEX(Routes!$C:$C,MATCH(B51,Routes!$A:$A,0))&lt;&gt;INDEX(Drivers!$D:$D,MATCH(C51,Drivers!$A:$A,0)),"CHECK: driver type does not fit route",IF(OR(INDEX(Vehicles!$E:$E,MATCH(D51,Vehicles!$A:$A,0))="Workshop",INDEX(Vehicles!$E:$E,MATCH(D51,Vehicles!$A:$A,0))="Out of service"),"CHECK: vehicle not available",IF(INDEX(Drivers!$G:$G,MATCH(C51,Drivers!$A:$A,0))&lt;&gt;"Active","CHECK: driver not active",IF(COUNTIFS($A:$A,A51,$C:$C,C51)&gt;1,"CHECK: driver assigned twice",IF(COUNTIFS($A:$A,A51,$D:$D,D51)&gt;1,"CHECK: vehicle assigned twice","OK"))))))))</f>
        <v/>
      </c>
      <c r="H51" s="15"/>
      <c r="I51" s="15"/>
      <c r="J51" s="17" t="str">
        <f aca="false">IF(OR(H51="",H51=0),"",I51/H51)</f>
        <v/>
      </c>
      <c r="K51" s="15"/>
      <c r="L51" s="15"/>
      <c r="M51" s="18"/>
      <c r="N51" s="15"/>
      <c r="O51" s="16" t="str">
        <f aca="false">IF(AND(OR(K51="At risk",K51="Late"),L51=""),"Add a reason code",IF(AND(L51="OTH",N51=""),"Explain OTH in notes",IF(AND(K51="Finished",I51&lt;H51,L51=""),"Add a reason code","")))</f>
        <v/>
      </c>
    </row>
    <row r="52" customFormat="false" ht="15" hidden="false" customHeight="false" outlineLevel="0" collapsed="false">
      <c r="A52" s="14"/>
      <c r="B52" s="15"/>
      <c r="C52" s="15"/>
      <c r="D52" s="15"/>
      <c r="E52" s="16" t="str">
        <f aca="false">IF(C52="","",IFERROR(INDEX(Drivers!$B:$B,MATCH(C52,Drivers!$A:$A,0)),"ID not found"))</f>
        <v/>
      </c>
      <c r="F52" s="16" t="str">
        <f aca="false">IF(B52="","",IFERROR(INDEX(Routes!$B:$B,MATCH(B52,Routes!$A:$A,0)),"ID not found"))</f>
        <v/>
      </c>
      <c r="G52" s="16" t="str">
        <f aca="false">IF(OR(B52="",C52="",D52=""),"",IF(OR(ISNA(MATCH(B52,Routes!$A:$A,0)),ISNA(MATCH(C52,Drivers!$A:$A,0)),ISNA(MATCH(D52,Vehicles!$A:$A,0))),"CHECK: ID not found",IF(INDEX(Routes!$C:$C,MATCH(B52,Routes!$A:$A,0))&lt;&gt;INDEX(Vehicles!$B:$B,MATCH(D52,Vehicles!$A:$A,0)),"CHECK: vehicle type does not fit route",IF(INDEX(Routes!$C:$C,MATCH(B52,Routes!$A:$A,0))&lt;&gt;INDEX(Drivers!$D:$D,MATCH(C52,Drivers!$A:$A,0)),"CHECK: driver type does not fit route",IF(OR(INDEX(Vehicles!$E:$E,MATCH(D52,Vehicles!$A:$A,0))="Workshop",INDEX(Vehicles!$E:$E,MATCH(D52,Vehicles!$A:$A,0))="Out of service"),"CHECK: vehicle not available",IF(INDEX(Drivers!$G:$G,MATCH(C52,Drivers!$A:$A,0))&lt;&gt;"Active","CHECK: driver not active",IF(COUNTIFS($A:$A,A52,$C:$C,C52)&gt;1,"CHECK: driver assigned twice",IF(COUNTIFS($A:$A,A52,$D:$D,D52)&gt;1,"CHECK: vehicle assigned twice","OK"))))))))</f>
        <v/>
      </c>
      <c r="H52" s="15"/>
      <c r="I52" s="15"/>
      <c r="J52" s="17" t="str">
        <f aca="false">IF(OR(H52="",H52=0),"",I52/H52)</f>
        <v/>
      </c>
      <c r="K52" s="15"/>
      <c r="L52" s="15"/>
      <c r="M52" s="18"/>
      <c r="N52" s="15"/>
      <c r="O52" s="16" t="str">
        <f aca="false">IF(AND(OR(K52="At risk",K52="Late"),L52=""),"Add a reason code",IF(AND(L52="OTH",N52=""),"Explain OTH in notes",IF(AND(K52="Finished",I52&lt;H52,L52=""),"Add a reason code","")))</f>
        <v/>
      </c>
    </row>
    <row r="53" customFormat="false" ht="15" hidden="false" customHeight="false" outlineLevel="0" collapsed="false">
      <c r="A53" s="14"/>
      <c r="B53" s="15"/>
      <c r="C53" s="15"/>
      <c r="D53" s="15"/>
      <c r="E53" s="16" t="str">
        <f aca="false">IF(C53="","",IFERROR(INDEX(Drivers!$B:$B,MATCH(C53,Drivers!$A:$A,0)),"ID not found"))</f>
        <v/>
      </c>
      <c r="F53" s="16" t="str">
        <f aca="false">IF(B53="","",IFERROR(INDEX(Routes!$B:$B,MATCH(B53,Routes!$A:$A,0)),"ID not found"))</f>
        <v/>
      </c>
      <c r="G53" s="16" t="str">
        <f aca="false">IF(OR(B53="",C53="",D53=""),"",IF(OR(ISNA(MATCH(B53,Routes!$A:$A,0)),ISNA(MATCH(C53,Drivers!$A:$A,0)),ISNA(MATCH(D53,Vehicles!$A:$A,0))),"CHECK: ID not found",IF(INDEX(Routes!$C:$C,MATCH(B53,Routes!$A:$A,0))&lt;&gt;INDEX(Vehicles!$B:$B,MATCH(D53,Vehicles!$A:$A,0)),"CHECK: vehicle type does not fit route",IF(INDEX(Routes!$C:$C,MATCH(B53,Routes!$A:$A,0))&lt;&gt;INDEX(Drivers!$D:$D,MATCH(C53,Drivers!$A:$A,0)),"CHECK: driver type does not fit route",IF(OR(INDEX(Vehicles!$E:$E,MATCH(D53,Vehicles!$A:$A,0))="Workshop",INDEX(Vehicles!$E:$E,MATCH(D53,Vehicles!$A:$A,0))="Out of service"),"CHECK: vehicle not available",IF(INDEX(Drivers!$G:$G,MATCH(C53,Drivers!$A:$A,0))&lt;&gt;"Active","CHECK: driver not active",IF(COUNTIFS($A:$A,A53,$C:$C,C53)&gt;1,"CHECK: driver assigned twice",IF(COUNTIFS($A:$A,A53,$D:$D,D53)&gt;1,"CHECK: vehicle assigned twice","OK"))))))))</f>
        <v/>
      </c>
      <c r="H53" s="15"/>
      <c r="I53" s="15"/>
      <c r="J53" s="17" t="str">
        <f aca="false">IF(OR(H53="",H53=0),"",I53/H53)</f>
        <v/>
      </c>
      <c r="K53" s="15"/>
      <c r="L53" s="15"/>
      <c r="M53" s="18"/>
      <c r="N53" s="15"/>
      <c r="O53" s="16" t="str">
        <f aca="false">IF(AND(OR(K53="At risk",K53="Late"),L53=""),"Add a reason code",IF(AND(L53="OTH",N53=""),"Explain OTH in notes",IF(AND(K53="Finished",I53&lt;H53,L53=""),"Add a reason code","")))</f>
        <v/>
      </c>
    </row>
    <row r="54" customFormat="false" ht="15" hidden="false" customHeight="false" outlineLevel="0" collapsed="false">
      <c r="A54" s="14"/>
      <c r="B54" s="15"/>
      <c r="C54" s="15"/>
      <c r="D54" s="15"/>
      <c r="E54" s="16" t="str">
        <f aca="false">IF(C54="","",IFERROR(INDEX(Drivers!$B:$B,MATCH(C54,Drivers!$A:$A,0)),"ID not found"))</f>
        <v/>
      </c>
      <c r="F54" s="16" t="str">
        <f aca="false">IF(B54="","",IFERROR(INDEX(Routes!$B:$B,MATCH(B54,Routes!$A:$A,0)),"ID not found"))</f>
        <v/>
      </c>
      <c r="G54" s="16" t="str">
        <f aca="false">IF(OR(B54="",C54="",D54=""),"",IF(OR(ISNA(MATCH(B54,Routes!$A:$A,0)),ISNA(MATCH(C54,Drivers!$A:$A,0)),ISNA(MATCH(D54,Vehicles!$A:$A,0))),"CHECK: ID not found",IF(INDEX(Routes!$C:$C,MATCH(B54,Routes!$A:$A,0))&lt;&gt;INDEX(Vehicles!$B:$B,MATCH(D54,Vehicles!$A:$A,0)),"CHECK: vehicle type does not fit route",IF(INDEX(Routes!$C:$C,MATCH(B54,Routes!$A:$A,0))&lt;&gt;INDEX(Drivers!$D:$D,MATCH(C54,Drivers!$A:$A,0)),"CHECK: driver type does not fit route",IF(OR(INDEX(Vehicles!$E:$E,MATCH(D54,Vehicles!$A:$A,0))="Workshop",INDEX(Vehicles!$E:$E,MATCH(D54,Vehicles!$A:$A,0))="Out of service"),"CHECK: vehicle not available",IF(INDEX(Drivers!$G:$G,MATCH(C54,Drivers!$A:$A,0))&lt;&gt;"Active","CHECK: driver not active",IF(COUNTIFS($A:$A,A54,$C:$C,C54)&gt;1,"CHECK: driver assigned twice",IF(COUNTIFS($A:$A,A54,$D:$D,D54)&gt;1,"CHECK: vehicle assigned twice","OK"))))))))</f>
        <v/>
      </c>
      <c r="H54" s="15"/>
      <c r="I54" s="15"/>
      <c r="J54" s="17" t="str">
        <f aca="false">IF(OR(H54="",H54=0),"",I54/H54)</f>
        <v/>
      </c>
      <c r="K54" s="15"/>
      <c r="L54" s="15"/>
      <c r="M54" s="18"/>
      <c r="N54" s="15"/>
      <c r="O54" s="16" t="str">
        <f aca="false">IF(AND(OR(K54="At risk",K54="Late"),L54=""),"Add a reason code",IF(AND(L54="OTH",N54=""),"Explain OTH in notes",IF(AND(K54="Finished",I54&lt;H54,L54=""),"Add a reason code","")))</f>
        <v/>
      </c>
    </row>
    <row r="55" customFormat="false" ht="15" hidden="false" customHeight="false" outlineLevel="0" collapsed="false">
      <c r="A55" s="14"/>
      <c r="B55" s="15"/>
      <c r="C55" s="15"/>
      <c r="D55" s="15"/>
      <c r="E55" s="16" t="str">
        <f aca="false">IF(C55="","",IFERROR(INDEX(Drivers!$B:$B,MATCH(C55,Drivers!$A:$A,0)),"ID not found"))</f>
        <v/>
      </c>
      <c r="F55" s="16" t="str">
        <f aca="false">IF(B55="","",IFERROR(INDEX(Routes!$B:$B,MATCH(B55,Routes!$A:$A,0)),"ID not found"))</f>
        <v/>
      </c>
      <c r="G55" s="16" t="str">
        <f aca="false">IF(OR(B55="",C55="",D55=""),"",IF(OR(ISNA(MATCH(B55,Routes!$A:$A,0)),ISNA(MATCH(C55,Drivers!$A:$A,0)),ISNA(MATCH(D55,Vehicles!$A:$A,0))),"CHECK: ID not found",IF(INDEX(Routes!$C:$C,MATCH(B55,Routes!$A:$A,0))&lt;&gt;INDEX(Vehicles!$B:$B,MATCH(D55,Vehicles!$A:$A,0)),"CHECK: vehicle type does not fit route",IF(INDEX(Routes!$C:$C,MATCH(B55,Routes!$A:$A,0))&lt;&gt;INDEX(Drivers!$D:$D,MATCH(C55,Drivers!$A:$A,0)),"CHECK: driver type does not fit route",IF(OR(INDEX(Vehicles!$E:$E,MATCH(D55,Vehicles!$A:$A,0))="Workshop",INDEX(Vehicles!$E:$E,MATCH(D55,Vehicles!$A:$A,0))="Out of service"),"CHECK: vehicle not available",IF(INDEX(Drivers!$G:$G,MATCH(C55,Drivers!$A:$A,0))&lt;&gt;"Active","CHECK: driver not active",IF(COUNTIFS($A:$A,A55,$C:$C,C55)&gt;1,"CHECK: driver assigned twice",IF(COUNTIFS($A:$A,A55,$D:$D,D55)&gt;1,"CHECK: vehicle assigned twice","OK"))))))))</f>
        <v/>
      </c>
      <c r="H55" s="15"/>
      <c r="I55" s="15"/>
      <c r="J55" s="17" t="str">
        <f aca="false">IF(OR(H55="",H55=0),"",I55/H55)</f>
        <v/>
      </c>
      <c r="K55" s="15"/>
      <c r="L55" s="15"/>
      <c r="M55" s="18"/>
      <c r="N55" s="15"/>
      <c r="O55" s="16" t="str">
        <f aca="false">IF(AND(OR(K55="At risk",K55="Late"),L55=""),"Add a reason code",IF(AND(L55="OTH",N55=""),"Explain OTH in notes",IF(AND(K55="Finished",I55&lt;H55,L55=""),"Add a reason code","")))</f>
        <v/>
      </c>
    </row>
    <row r="56" customFormat="false" ht="15" hidden="false" customHeight="false" outlineLevel="0" collapsed="false">
      <c r="A56" s="14"/>
      <c r="B56" s="15"/>
      <c r="C56" s="15"/>
      <c r="D56" s="15"/>
      <c r="E56" s="16" t="str">
        <f aca="false">IF(C56="","",IFERROR(INDEX(Drivers!$B:$B,MATCH(C56,Drivers!$A:$A,0)),"ID not found"))</f>
        <v/>
      </c>
      <c r="F56" s="16" t="str">
        <f aca="false">IF(B56="","",IFERROR(INDEX(Routes!$B:$B,MATCH(B56,Routes!$A:$A,0)),"ID not found"))</f>
        <v/>
      </c>
      <c r="G56" s="16" t="str">
        <f aca="false">IF(OR(B56="",C56="",D56=""),"",IF(OR(ISNA(MATCH(B56,Routes!$A:$A,0)),ISNA(MATCH(C56,Drivers!$A:$A,0)),ISNA(MATCH(D56,Vehicles!$A:$A,0))),"CHECK: ID not found",IF(INDEX(Routes!$C:$C,MATCH(B56,Routes!$A:$A,0))&lt;&gt;INDEX(Vehicles!$B:$B,MATCH(D56,Vehicles!$A:$A,0)),"CHECK: vehicle type does not fit route",IF(INDEX(Routes!$C:$C,MATCH(B56,Routes!$A:$A,0))&lt;&gt;INDEX(Drivers!$D:$D,MATCH(C56,Drivers!$A:$A,0)),"CHECK: driver type does not fit route",IF(OR(INDEX(Vehicles!$E:$E,MATCH(D56,Vehicles!$A:$A,0))="Workshop",INDEX(Vehicles!$E:$E,MATCH(D56,Vehicles!$A:$A,0))="Out of service"),"CHECK: vehicle not available",IF(INDEX(Drivers!$G:$G,MATCH(C56,Drivers!$A:$A,0))&lt;&gt;"Active","CHECK: driver not active",IF(COUNTIFS($A:$A,A56,$C:$C,C56)&gt;1,"CHECK: driver assigned twice",IF(COUNTIFS($A:$A,A56,$D:$D,D56)&gt;1,"CHECK: vehicle assigned twice","OK"))))))))</f>
        <v/>
      </c>
      <c r="H56" s="15"/>
      <c r="I56" s="15"/>
      <c r="J56" s="17" t="str">
        <f aca="false">IF(OR(H56="",H56=0),"",I56/H56)</f>
        <v/>
      </c>
      <c r="K56" s="15"/>
      <c r="L56" s="15"/>
      <c r="M56" s="18"/>
      <c r="N56" s="15"/>
      <c r="O56" s="16" t="str">
        <f aca="false">IF(AND(OR(K56="At risk",K56="Late"),L56=""),"Add a reason code",IF(AND(L56="OTH",N56=""),"Explain OTH in notes",IF(AND(K56="Finished",I56&lt;H56,L56=""),"Add a reason code","")))</f>
        <v/>
      </c>
    </row>
    <row r="57" customFormat="false" ht="15" hidden="false" customHeight="false" outlineLevel="0" collapsed="false">
      <c r="A57" s="14"/>
      <c r="B57" s="15"/>
      <c r="C57" s="15"/>
      <c r="D57" s="15"/>
      <c r="E57" s="16" t="str">
        <f aca="false">IF(C57="","",IFERROR(INDEX(Drivers!$B:$B,MATCH(C57,Drivers!$A:$A,0)),"ID not found"))</f>
        <v/>
      </c>
      <c r="F57" s="16" t="str">
        <f aca="false">IF(B57="","",IFERROR(INDEX(Routes!$B:$B,MATCH(B57,Routes!$A:$A,0)),"ID not found"))</f>
        <v/>
      </c>
      <c r="G57" s="16" t="str">
        <f aca="false">IF(OR(B57="",C57="",D57=""),"",IF(OR(ISNA(MATCH(B57,Routes!$A:$A,0)),ISNA(MATCH(C57,Drivers!$A:$A,0)),ISNA(MATCH(D57,Vehicles!$A:$A,0))),"CHECK: ID not found",IF(INDEX(Routes!$C:$C,MATCH(B57,Routes!$A:$A,0))&lt;&gt;INDEX(Vehicles!$B:$B,MATCH(D57,Vehicles!$A:$A,0)),"CHECK: vehicle type does not fit route",IF(INDEX(Routes!$C:$C,MATCH(B57,Routes!$A:$A,0))&lt;&gt;INDEX(Drivers!$D:$D,MATCH(C57,Drivers!$A:$A,0)),"CHECK: driver type does not fit route",IF(OR(INDEX(Vehicles!$E:$E,MATCH(D57,Vehicles!$A:$A,0))="Workshop",INDEX(Vehicles!$E:$E,MATCH(D57,Vehicles!$A:$A,0))="Out of service"),"CHECK: vehicle not available",IF(INDEX(Drivers!$G:$G,MATCH(C57,Drivers!$A:$A,0))&lt;&gt;"Active","CHECK: driver not active",IF(COUNTIFS($A:$A,A57,$C:$C,C57)&gt;1,"CHECK: driver assigned twice",IF(COUNTIFS($A:$A,A57,$D:$D,D57)&gt;1,"CHECK: vehicle assigned twice","OK"))))))))</f>
        <v/>
      </c>
      <c r="H57" s="15"/>
      <c r="I57" s="15"/>
      <c r="J57" s="17" t="str">
        <f aca="false">IF(OR(H57="",H57=0),"",I57/H57)</f>
        <v/>
      </c>
      <c r="K57" s="15"/>
      <c r="L57" s="15"/>
      <c r="M57" s="18"/>
      <c r="N57" s="15"/>
      <c r="O57" s="16" t="str">
        <f aca="false">IF(AND(OR(K57="At risk",K57="Late"),L57=""),"Add a reason code",IF(AND(L57="OTH",N57=""),"Explain OTH in notes",IF(AND(K57="Finished",I57&lt;H57,L57=""),"Add a reason code","")))</f>
        <v/>
      </c>
    </row>
    <row r="58" customFormat="false" ht="15" hidden="false" customHeight="false" outlineLevel="0" collapsed="false">
      <c r="A58" s="14"/>
      <c r="B58" s="15"/>
      <c r="C58" s="15"/>
      <c r="D58" s="15"/>
      <c r="E58" s="16" t="str">
        <f aca="false">IF(C58="","",IFERROR(INDEX(Drivers!$B:$B,MATCH(C58,Drivers!$A:$A,0)),"ID not found"))</f>
        <v/>
      </c>
      <c r="F58" s="16" t="str">
        <f aca="false">IF(B58="","",IFERROR(INDEX(Routes!$B:$B,MATCH(B58,Routes!$A:$A,0)),"ID not found"))</f>
        <v/>
      </c>
      <c r="G58" s="16" t="str">
        <f aca="false">IF(OR(B58="",C58="",D58=""),"",IF(OR(ISNA(MATCH(B58,Routes!$A:$A,0)),ISNA(MATCH(C58,Drivers!$A:$A,0)),ISNA(MATCH(D58,Vehicles!$A:$A,0))),"CHECK: ID not found",IF(INDEX(Routes!$C:$C,MATCH(B58,Routes!$A:$A,0))&lt;&gt;INDEX(Vehicles!$B:$B,MATCH(D58,Vehicles!$A:$A,0)),"CHECK: vehicle type does not fit route",IF(INDEX(Routes!$C:$C,MATCH(B58,Routes!$A:$A,0))&lt;&gt;INDEX(Drivers!$D:$D,MATCH(C58,Drivers!$A:$A,0)),"CHECK: driver type does not fit route",IF(OR(INDEX(Vehicles!$E:$E,MATCH(D58,Vehicles!$A:$A,0))="Workshop",INDEX(Vehicles!$E:$E,MATCH(D58,Vehicles!$A:$A,0))="Out of service"),"CHECK: vehicle not available",IF(INDEX(Drivers!$G:$G,MATCH(C58,Drivers!$A:$A,0))&lt;&gt;"Active","CHECK: driver not active",IF(COUNTIFS($A:$A,A58,$C:$C,C58)&gt;1,"CHECK: driver assigned twice",IF(COUNTIFS($A:$A,A58,$D:$D,D58)&gt;1,"CHECK: vehicle assigned twice","OK"))))))))</f>
        <v/>
      </c>
      <c r="H58" s="15"/>
      <c r="I58" s="15"/>
      <c r="J58" s="17" t="str">
        <f aca="false">IF(OR(H58="",H58=0),"",I58/H58)</f>
        <v/>
      </c>
      <c r="K58" s="15"/>
      <c r="L58" s="15"/>
      <c r="M58" s="18"/>
      <c r="N58" s="15"/>
      <c r="O58" s="16" t="str">
        <f aca="false">IF(AND(OR(K58="At risk",K58="Late"),L58=""),"Add a reason code",IF(AND(L58="OTH",N58=""),"Explain OTH in notes",IF(AND(K58="Finished",I58&lt;H58,L58=""),"Add a reason code","")))</f>
        <v/>
      </c>
    </row>
    <row r="59" customFormat="false" ht="15" hidden="false" customHeight="false" outlineLevel="0" collapsed="false">
      <c r="A59" s="14"/>
      <c r="B59" s="15"/>
      <c r="C59" s="15"/>
      <c r="D59" s="15"/>
      <c r="E59" s="16" t="str">
        <f aca="false">IF(C59="","",IFERROR(INDEX(Drivers!$B:$B,MATCH(C59,Drivers!$A:$A,0)),"ID not found"))</f>
        <v/>
      </c>
      <c r="F59" s="16" t="str">
        <f aca="false">IF(B59="","",IFERROR(INDEX(Routes!$B:$B,MATCH(B59,Routes!$A:$A,0)),"ID not found"))</f>
        <v/>
      </c>
      <c r="G59" s="16" t="str">
        <f aca="false">IF(OR(B59="",C59="",D59=""),"",IF(OR(ISNA(MATCH(B59,Routes!$A:$A,0)),ISNA(MATCH(C59,Drivers!$A:$A,0)),ISNA(MATCH(D59,Vehicles!$A:$A,0))),"CHECK: ID not found",IF(INDEX(Routes!$C:$C,MATCH(B59,Routes!$A:$A,0))&lt;&gt;INDEX(Vehicles!$B:$B,MATCH(D59,Vehicles!$A:$A,0)),"CHECK: vehicle type does not fit route",IF(INDEX(Routes!$C:$C,MATCH(B59,Routes!$A:$A,0))&lt;&gt;INDEX(Drivers!$D:$D,MATCH(C59,Drivers!$A:$A,0)),"CHECK: driver type does not fit route",IF(OR(INDEX(Vehicles!$E:$E,MATCH(D59,Vehicles!$A:$A,0))="Workshop",INDEX(Vehicles!$E:$E,MATCH(D59,Vehicles!$A:$A,0))="Out of service"),"CHECK: vehicle not available",IF(INDEX(Drivers!$G:$G,MATCH(C59,Drivers!$A:$A,0))&lt;&gt;"Active","CHECK: driver not active",IF(COUNTIFS($A:$A,A59,$C:$C,C59)&gt;1,"CHECK: driver assigned twice",IF(COUNTIFS($A:$A,A59,$D:$D,D59)&gt;1,"CHECK: vehicle assigned twice","OK"))))))))</f>
        <v/>
      </c>
      <c r="H59" s="15"/>
      <c r="I59" s="15"/>
      <c r="J59" s="17" t="str">
        <f aca="false">IF(OR(H59="",H59=0),"",I59/H59)</f>
        <v/>
      </c>
      <c r="K59" s="15"/>
      <c r="L59" s="15"/>
      <c r="M59" s="18"/>
      <c r="N59" s="15"/>
      <c r="O59" s="16" t="str">
        <f aca="false">IF(AND(OR(K59="At risk",K59="Late"),L59=""),"Add a reason code",IF(AND(L59="OTH",N59=""),"Explain OTH in notes",IF(AND(K59="Finished",I59&lt;H59,L59=""),"Add a reason code","")))</f>
        <v/>
      </c>
    </row>
    <row r="60" customFormat="false" ht="15" hidden="false" customHeight="false" outlineLevel="0" collapsed="false">
      <c r="A60" s="14"/>
      <c r="B60" s="15"/>
      <c r="C60" s="15"/>
      <c r="D60" s="15"/>
      <c r="E60" s="16" t="str">
        <f aca="false">IF(C60="","",IFERROR(INDEX(Drivers!$B:$B,MATCH(C60,Drivers!$A:$A,0)),"ID not found"))</f>
        <v/>
      </c>
      <c r="F60" s="16" t="str">
        <f aca="false">IF(B60="","",IFERROR(INDEX(Routes!$B:$B,MATCH(B60,Routes!$A:$A,0)),"ID not found"))</f>
        <v/>
      </c>
      <c r="G60" s="16" t="str">
        <f aca="false">IF(OR(B60="",C60="",D60=""),"",IF(OR(ISNA(MATCH(B60,Routes!$A:$A,0)),ISNA(MATCH(C60,Drivers!$A:$A,0)),ISNA(MATCH(D60,Vehicles!$A:$A,0))),"CHECK: ID not found",IF(INDEX(Routes!$C:$C,MATCH(B60,Routes!$A:$A,0))&lt;&gt;INDEX(Vehicles!$B:$B,MATCH(D60,Vehicles!$A:$A,0)),"CHECK: vehicle type does not fit route",IF(INDEX(Routes!$C:$C,MATCH(B60,Routes!$A:$A,0))&lt;&gt;INDEX(Drivers!$D:$D,MATCH(C60,Drivers!$A:$A,0)),"CHECK: driver type does not fit route",IF(OR(INDEX(Vehicles!$E:$E,MATCH(D60,Vehicles!$A:$A,0))="Workshop",INDEX(Vehicles!$E:$E,MATCH(D60,Vehicles!$A:$A,0))="Out of service"),"CHECK: vehicle not available",IF(INDEX(Drivers!$G:$G,MATCH(C60,Drivers!$A:$A,0))&lt;&gt;"Active","CHECK: driver not active",IF(COUNTIFS($A:$A,A60,$C:$C,C60)&gt;1,"CHECK: driver assigned twice",IF(COUNTIFS($A:$A,A60,$D:$D,D60)&gt;1,"CHECK: vehicle assigned twice","OK"))))))))</f>
        <v/>
      </c>
      <c r="H60" s="15"/>
      <c r="I60" s="15"/>
      <c r="J60" s="17" t="str">
        <f aca="false">IF(OR(H60="",H60=0),"",I60/H60)</f>
        <v/>
      </c>
      <c r="K60" s="15"/>
      <c r="L60" s="15"/>
      <c r="M60" s="18"/>
      <c r="N60" s="15"/>
      <c r="O60" s="16" t="str">
        <f aca="false">IF(AND(OR(K60="At risk",K60="Late"),L60=""),"Add a reason code",IF(AND(L60="OTH",N60=""),"Explain OTH in notes",IF(AND(K60="Finished",I60&lt;H60,L60=""),"Add a reason code","")))</f>
        <v/>
      </c>
    </row>
    <row r="61" customFormat="false" ht="15" hidden="false" customHeight="false" outlineLevel="0" collapsed="false">
      <c r="A61" s="14"/>
      <c r="B61" s="15"/>
      <c r="C61" s="15"/>
      <c r="D61" s="15"/>
      <c r="E61" s="16" t="str">
        <f aca="false">IF(C61="","",IFERROR(INDEX(Drivers!$B:$B,MATCH(C61,Drivers!$A:$A,0)),"ID not found"))</f>
        <v/>
      </c>
      <c r="F61" s="16" t="str">
        <f aca="false">IF(B61="","",IFERROR(INDEX(Routes!$B:$B,MATCH(B61,Routes!$A:$A,0)),"ID not found"))</f>
        <v/>
      </c>
      <c r="G61" s="16" t="str">
        <f aca="false">IF(OR(B61="",C61="",D61=""),"",IF(OR(ISNA(MATCH(B61,Routes!$A:$A,0)),ISNA(MATCH(C61,Drivers!$A:$A,0)),ISNA(MATCH(D61,Vehicles!$A:$A,0))),"CHECK: ID not found",IF(INDEX(Routes!$C:$C,MATCH(B61,Routes!$A:$A,0))&lt;&gt;INDEX(Vehicles!$B:$B,MATCH(D61,Vehicles!$A:$A,0)),"CHECK: vehicle type does not fit route",IF(INDEX(Routes!$C:$C,MATCH(B61,Routes!$A:$A,0))&lt;&gt;INDEX(Drivers!$D:$D,MATCH(C61,Drivers!$A:$A,0)),"CHECK: driver type does not fit route",IF(OR(INDEX(Vehicles!$E:$E,MATCH(D61,Vehicles!$A:$A,0))="Workshop",INDEX(Vehicles!$E:$E,MATCH(D61,Vehicles!$A:$A,0))="Out of service"),"CHECK: vehicle not available",IF(INDEX(Drivers!$G:$G,MATCH(C61,Drivers!$A:$A,0))&lt;&gt;"Active","CHECK: driver not active",IF(COUNTIFS($A:$A,A61,$C:$C,C61)&gt;1,"CHECK: driver assigned twice",IF(COUNTIFS($A:$A,A61,$D:$D,D61)&gt;1,"CHECK: vehicle assigned twice","OK"))))))))</f>
        <v/>
      </c>
      <c r="H61" s="15"/>
      <c r="I61" s="15"/>
      <c r="J61" s="17" t="str">
        <f aca="false">IF(OR(H61="",H61=0),"",I61/H61)</f>
        <v/>
      </c>
      <c r="K61" s="15"/>
      <c r="L61" s="15"/>
      <c r="M61" s="18"/>
      <c r="N61" s="15"/>
      <c r="O61" s="16" t="str">
        <f aca="false">IF(AND(OR(K61="At risk",K61="Late"),L61=""),"Add a reason code",IF(AND(L61="OTH",N61=""),"Explain OTH in notes",IF(AND(K61="Finished",I61&lt;H61,L61=""),"Add a reason code","")))</f>
        <v/>
      </c>
    </row>
    <row r="62" customFormat="false" ht="15" hidden="false" customHeight="false" outlineLevel="0" collapsed="false">
      <c r="A62" s="14"/>
      <c r="B62" s="15"/>
      <c r="C62" s="15"/>
      <c r="D62" s="15"/>
      <c r="E62" s="16" t="str">
        <f aca="false">IF(C62="","",IFERROR(INDEX(Drivers!$B:$B,MATCH(C62,Drivers!$A:$A,0)),"ID not found"))</f>
        <v/>
      </c>
      <c r="F62" s="16" t="str">
        <f aca="false">IF(B62="","",IFERROR(INDEX(Routes!$B:$B,MATCH(B62,Routes!$A:$A,0)),"ID not found"))</f>
        <v/>
      </c>
      <c r="G62" s="16" t="str">
        <f aca="false">IF(OR(B62="",C62="",D62=""),"",IF(OR(ISNA(MATCH(B62,Routes!$A:$A,0)),ISNA(MATCH(C62,Drivers!$A:$A,0)),ISNA(MATCH(D62,Vehicles!$A:$A,0))),"CHECK: ID not found",IF(INDEX(Routes!$C:$C,MATCH(B62,Routes!$A:$A,0))&lt;&gt;INDEX(Vehicles!$B:$B,MATCH(D62,Vehicles!$A:$A,0)),"CHECK: vehicle type does not fit route",IF(INDEX(Routes!$C:$C,MATCH(B62,Routes!$A:$A,0))&lt;&gt;INDEX(Drivers!$D:$D,MATCH(C62,Drivers!$A:$A,0)),"CHECK: driver type does not fit route",IF(OR(INDEX(Vehicles!$E:$E,MATCH(D62,Vehicles!$A:$A,0))="Workshop",INDEX(Vehicles!$E:$E,MATCH(D62,Vehicles!$A:$A,0))="Out of service"),"CHECK: vehicle not available",IF(INDEX(Drivers!$G:$G,MATCH(C62,Drivers!$A:$A,0))&lt;&gt;"Active","CHECK: driver not active",IF(COUNTIFS($A:$A,A62,$C:$C,C62)&gt;1,"CHECK: driver assigned twice",IF(COUNTIFS($A:$A,A62,$D:$D,D62)&gt;1,"CHECK: vehicle assigned twice","OK"))))))))</f>
        <v/>
      </c>
      <c r="H62" s="15"/>
      <c r="I62" s="15"/>
      <c r="J62" s="17" t="str">
        <f aca="false">IF(OR(H62="",H62=0),"",I62/H62)</f>
        <v/>
      </c>
      <c r="K62" s="15"/>
      <c r="L62" s="15"/>
      <c r="M62" s="18"/>
      <c r="N62" s="15"/>
      <c r="O62" s="16" t="str">
        <f aca="false">IF(AND(OR(K62="At risk",K62="Late"),L62=""),"Add a reason code",IF(AND(L62="OTH",N62=""),"Explain OTH in notes",IF(AND(K62="Finished",I62&lt;H62,L62=""),"Add a reason code","")))</f>
        <v/>
      </c>
    </row>
    <row r="63" customFormat="false" ht="15" hidden="false" customHeight="false" outlineLevel="0" collapsed="false">
      <c r="A63" s="14"/>
      <c r="B63" s="15"/>
      <c r="C63" s="15"/>
      <c r="D63" s="15"/>
      <c r="E63" s="16" t="str">
        <f aca="false">IF(C63="","",IFERROR(INDEX(Drivers!$B:$B,MATCH(C63,Drivers!$A:$A,0)),"ID not found"))</f>
        <v/>
      </c>
      <c r="F63" s="16" t="str">
        <f aca="false">IF(B63="","",IFERROR(INDEX(Routes!$B:$B,MATCH(B63,Routes!$A:$A,0)),"ID not found"))</f>
        <v/>
      </c>
      <c r="G63" s="16" t="str">
        <f aca="false">IF(OR(B63="",C63="",D63=""),"",IF(OR(ISNA(MATCH(B63,Routes!$A:$A,0)),ISNA(MATCH(C63,Drivers!$A:$A,0)),ISNA(MATCH(D63,Vehicles!$A:$A,0))),"CHECK: ID not found",IF(INDEX(Routes!$C:$C,MATCH(B63,Routes!$A:$A,0))&lt;&gt;INDEX(Vehicles!$B:$B,MATCH(D63,Vehicles!$A:$A,0)),"CHECK: vehicle type does not fit route",IF(INDEX(Routes!$C:$C,MATCH(B63,Routes!$A:$A,0))&lt;&gt;INDEX(Drivers!$D:$D,MATCH(C63,Drivers!$A:$A,0)),"CHECK: driver type does not fit route",IF(OR(INDEX(Vehicles!$E:$E,MATCH(D63,Vehicles!$A:$A,0))="Workshop",INDEX(Vehicles!$E:$E,MATCH(D63,Vehicles!$A:$A,0))="Out of service"),"CHECK: vehicle not available",IF(INDEX(Drivers!$G:$G,MATCH(C63,Drivers!$A:$A,0))&lt;&gt;"Active","CHECK: driver not active",IF(COUNTIFS($A:$A,A63,$C:$C,C63)&gt;1,"CHECK: driver assigned twice",IF(COUNTIFS($A:$A,A63,$D:$D,D63)&gt;1,"CHECK: vehicle assigned twice","OK"))))))))</f>
        <v/>
      </c>
      <c r="H63" s="15"/>
      <c r="I63" s="15"/>
      <c r="J63" s="17" t="str">
        <f aca="false">IF(OR(H63="",H63=0),"",I63/H63)</f>
        <v/>
      </c>
      <c r="K63" s="15"/>
      <c r="L63" s="15"/>
      <c r="M63" s="18"/>
      <c r="N63" s="15"/>
      <c r="O63" s="16" t="str">
        <f aca="false">IF(AND(OR(K63="At risk",K63="Late"),L63=""),"Add a reason code",IF(AND(L63="OTH",N63=""),"Explain OTH in notes",IF(AND(K63="Finished",I63&lt;H63,L63=""),"Add a reason code","")))</f>
        <v/>
      </c>
    </row>
    <row r="64" customFormat="false" ht="15" hidden="false" customHeight="false" outlineLevel="0" collapsed="false">
      <c r="A64" s="14"/>
      <c r="B64" s="15"/>
      <c r="C64" s="15"/>
      <c r="D64" s="15"/>
      <c r="E64" s="16" t="str">
        <f aca="false">IF(C64="","",IFERROR(INDEX(Drivers!$B:$B,MATCH(C64,Drivers!$A:$A,0)),"ID not found"))</f>
        <v/>
      </c>
      <c r="F64" s="16" t="str">
        <f aca="false">IF(B64="","",IFERROR(INDEX(Routes!$B:$B,MATCH(B64,Routes!$A:$A,0)),"ID not found"))</f>
        <v/>
      </c>
      <c r="G64" s="16" t="str">
        <f aca="false">IF(OR(B64="",C64="",D64=""),"",IF(OR(ISNA(MATCH(B64,Routes!$A:$A,0)),ISNA(MATCH(C64,Drivers!$A:$A,0)),ISNA(MATCH(D64,Vehicles!$A:$A,0))),"CHECK: ID not found",IF(INDEX(Routes!$C:$C,MATCH(B64,Routes!$A:$A,0))&lt;&gt;INDEX(Vehicles!$B:$B,MATCH(D64,Vehicles!$A:$A,0)),"CHECK: vehicle type does not fit route",IF(INDEX(Routes!$C:$C,MATCH(B64,Routes!$A:$A,0))&lt;&gt;INDEX(Drivers!$D:$D,MATCH(C64,Drivers!$A:$A,0)),"CHECK: driver type does not fit route",IF(OR(INDEX(Vehicles!$E:$E,MATCH(D64,Vehicles!$A:$A,0))="Workshop",INDEX(Vehicles!$E:$E,MATCH(D64,Vehicles!$A:$A,0))="Out of service"),"CHECK: vehicle not available",IF(INDEX(Drivers!$G:$G,MATCH(C64,Drivers!$A:$A,0))&lt;&gt;"Active","CHECK: driver not active",IF(COUNTIFS($A:$A,A64,$C:$C,C64)&gt;1,"CHECK: driver assigned twice",IF(COUNTIFS($A:$A,A64,$D:$D,D64)&gt;1,"CHECK: vehicle assigned twice","OK"))))))))</f>
        <v/>
      </c>
      <c r="H64" s="15"/>
      <c r="I64" s="15"/>
      <c r="J64" s="17" t="str">
        <f aca="false">IF(OR(H64="",H64=0),"",I64/H64)</f>
        <v/>
      </c>
      <c r="K64" s="15"/>
      <c r="L64" s="15"/>
      <c r="M64" s="18"/>
      <c r="N64" s="15"/>
      <c r="O64" s="16" t="str">
        <f aca="false">IF(AND(OR(K64="At risk",K64="Late"),L64=""),"Add a reason code",IF(AND(L64="OTH",N64=""),"Explain OTH in notes",IF(AND(K64="Finished",I64&lt;H64,L64=""),"Add a reason code","")))</f>
        <v/>
      </c>
    </row>
    <row r="65" customFormat="false" ht="15" hidden="false" customHeight="false" outlineLevel="0" collapsed="false">
      <c r="A65" s="14"/>
      <c r="B65" s="15"/>
      <c r="C65" s="15"/>
      <c r="D65" s="15"/>
      <c r="E65" s="16" t="str">
        <f aca="false">IF(C65="","",IFERROR(INDEX(Drivers!$B:$B,MATCH(C65,Drivers!$A:$A,0)),"ID not found"))</f>
        <v/>
      </c>
      <c r="F65" s="16" t="str">
        <f aca="false">IF(B65="","",IFERROR(INDEX(Routes!$B:$B,MATCH(B65,Routes!$A:$A,0)),"ID not found"))</f>
        <v/>
      </c>
      <c r="G65" s="16" t="str">
        <f aca="false">IF(OR(B65="",C65="",D65=""),"",IF(OR(ISNA(MATCH(B65,Routes!$A:$A,0)),ISNA(MATCH(C65,Drivers!$A:$A,0)),ISNA(MATCH(D65,Vehicles!$A:$A,0))),"CHECK: ID not found",IF(INDEX(Routes!$C:$C,MATCH(B65,Routes!$A:$A,0))&lt;&gt;INDEX(Vehicles!$B:$B,MATCH(D65,Vehicles!$A:$A,0)),"CHECK: vehicle type does not fit route",IF(INDEX(Routes!$C:$C,MATCH(B65,Routes!$A:$A,0))&lt;&gt;INDEX(Drivers!$D:$D,MATCH(C65,Drivers!$A:$A,0)),"CHECK: driver type does not fit route",IF(OR(INDEX(Vehicles!$E:$E,MATCH(D65,Vehicles!$A:$A,0))="Workshop",INDEX(Vehicles!$E:$E,MATCH(D65,Vehicles!$A:$A,0))="Out of service"),"CHECK: vehicle not available",IF(INDEX(Drivers!$G:$G,MATCH(C65,Drivers!$A:$A,0))&lt;&gt;"Active","CHECK: driver not active",IF(COUNTIFS($A:$A,A65,$C:$C,C65)&gt;1,"CHECK: driver assigned twice",IF(COUNTIFS($A:$A,A65,$D:$D,D65)&gt;1,"CHECK: vehicle assigned twice","OK"))))))))</f>
        <v/>
      </c>
      <c r="H65" s="15"/>
      <c r="I65" s="15"/>
      <c r="J65" s="17" t="str">
        <f aca="false">IF(OR(H65="",H65=0),"",I65/H65)</f>
        <v/>
      </c>
      <c r="K65" s="15"/>
      <c r="L65" s="15"/>
      <c r="M65" s="18"/>
      <c r="N65" s="15"/>
      <c r="O65" s="16" t="str">
        <f aca="false">IF(AND(OR(K65="At risk",K65="Late"),L65=""),"Add a reason code",IF(AND(L65="OTH",N65=""),"Explain OTH in notes",IF(AND(K65="Finished",I65&lt;H65,L65=""),"Add a reason code","")))</f>
        <v/>
      </c>
    </row>
    <row r="66" customFormat="false" ht="15" hidden="false" customHeight="false" outlineLevel="0" collapsed="false">
      <c r="A66" s="14"/>
      <c r="B66" s="15"/>
      <c r="C66" s="15"/>
      <c r="D66" s="15"/>
      <c r="E66" s="16" t="str">
        <f aca="false">IF(C66="","",IFERROR(INDEX(Drivers!$B:$B,MATCH(C66,Drivers!$A:$A,0)),"ID not found"))</f>
        <v/>
      </c>
      <c r="F66" s="16" t="str">
        <f aca="false">IF(B66="","",IFERROR(INDEX(Routes!$B:$B,MATCH(B66,Routes!$A:$A,0)),"ID not found"))</f>
        <v/>
      </c>
      <c r="G66" s="16" t="str">
        <f aca="false">IF(OR(B66="",C66="",D66=""),"",IF(OR(ISNA(MATCH(B66,Routes!$A:$A,0)),ISNA(MATCH(C66,Drivers!$A:$A,0)),ISNA(MATCH(D66,Vehicles!$A:$A,0))),"CHECK: ID not found",IF(INDEX(Routes!$C:$C,MATCH(B66,Routes!$A:$A,0))&lt;&gt;INDEX(Vehicles!$B:$B,MATCH(D66,Vehicles!$A:$A,0)),"CHECK: vehicle type does not fit route",IF(INDEX(Routes!$C:$C,MATCH(B66,Routes!$A:$A,0))&lt;&gt;INDEX(Drivers!$D:$D,MATCH(C66,Drivers!$A:$A,0)),"CHECK: driver type does not fit route",IF(OR(INDEX(Vehicles!$E:$E,MATCH(D66,Vehicles!$A:$A,0))="Workshop",INDEX(Vehicles!$E:$E,MATCH(D66,Vehicles!$A:$A,0))="Out of service"),"CHECK: vehicle not available",IF(INDEX(Drivers!$G:$G,MATCH(C66,Drivers!$A:$A,0))&lt;&gt;"Active","CHECK: driver not active",IF(COUNTIFS($A:$A,A66,$C:$C,C66)&gt;1,"CHECK: driver assigned twice",IF(COUNTIFS($A:$A,A66,$D:$D,D66)&gt;1,"CHECK: vehicle assigned twice","OK"))))))))</f>
        <v/>
      </c>
      <c r="H66" s="15"/>
      <c r="I66" s="15"/>
      <c r="J66" s="17" t="str">
        <f aca="false">IF(OR(H66="",H66=0),"",I66/H66)</f>
        <v/>
      </c>
      <c r="K66" s="15"/>
      <c r="L66" s="15"/>
      <c r="M66" s="18"/>
      <c r="N66" s="15"/>
      <c r="O66" s="16" t="str">
        <f aca="false">IF(AND(OR(K66="At risk",K66="Late"),L66=""),"Add a reason code",IF(AND(L66="OTH",N66=""),"Explain OTH in notes",IF(AND(K66="Finished",I66&lt;H66,L66=""),"Add a reason code","")))</f>
        <v/>
      </c>
    </row>
    <row r="67" customFormat="false" ht="15" hidden="false" customHeight="false" outlineLevel="0" collapsed="false">
      <c r="A67" s="14"/>
      <c r="B67" s="15"/>
      <c r="C67" s="15"/>
      <c r="D67" s="15"/>
      <c r="E67" s="16" t="str">
        <f aca="false">IF(C67="","",IFERROR(INDEX(Drivers!$B:$B,MATCH(C67,Drivers!$A:$A,0)),"ID not found"))</f>
        <v/>
      </c>
      <c r="F67" s="16" t="str">
        <f aca="false">IF(B67="","",IFERROR(INDEX(Routes!$B:$B,MATCH(B67,Routes!$A:$A,0)),"ID not found"))</f>
        <v/>
      </c>
      <c r="G67" s="16" t="str">
        <f aca="false">IF(OR(B67="",C67="",D67=""),"",IF(OR(ISNA(MATCH(B67,Routes!$A:$A,0)),ISNA(MATCH(C67,Drivers!$A:$A,0)),ISNA(MATCH(D67,Vehicles!$A:$A,0))),"CHECK: ID not found",IF(INDEX(Routes!$C:$C,MATCH(B67,Routes!$A:$A,0))&lt;&gt;INDEX(Vehicles!$B:$B,MATCH(D67,Vehicles!$A:$A,0)),"CHECK: vehicle type does not fit route",IF(INDEX(Routes!$C:$C,MATCH(B67,Routes!$A:$A,0))&lt;&gt;INDEX(Drivers!$D:$D,MATCH(C67,Drivers!$A:$A,0)),"CHECK: driver type does not fit route",IF(OR(INDEX(Vehicles!$E:$E,MATCH(D67,Vehicles!$A:$A,0))="Workshop",INDEX(Vehicles!$E:$E,MATCH(D67,Vehicles!$A:$A,0))="Out of service"),"CHECK: vehicle not available",IF(INDEX(Drivers!$G:$G,MATCH(C67,Drivers!$A:$A,0))&lt;&gt;"Active","CHECK: driver not active",IF(COUNTIFS($A:$A,A67,$C:$C,C67)&gt;1,"CHECK: driver assigned twice",IF(COUNTIFS($A:$A,A67,$D:$D,D67)&gt;1,"CHECK: vehicle assigned twice","OK"))))))))</f>
        <v/>
      </c>
      <c r="H67" s="15"/>
      <c r="I67" s="15"/>
      <c r="J67" s="17" t="str">
        <f aca="false">IF(OR(H67="",H67=0),"",I67/H67)</f>
        <v/>
      </c>
      <c r="K67" s="15"/>
      <c r="L67" s="15"/>
      <c r="M67" s="18"/>
      <c r="N67" s="15"/>
      <c r="O67" s="16" t="str">
        <f aca="false">IF(AND(OR(K67="At risk",K67="Late"),L67=""),"Add a reason code",IF(AND(L67="OTH",N67=""),"Explain OTH in notes",IF(AND(K67="Finished",I67&lt;H67,L67=""),"Add a reason code","")))</f>
        <v/>
      </c>
    </row>
    <row r="68" customFormat="false" ht="15" hidden="false" customHeight="false" outlineLevel="0" collapsed="false">
      <c r="A68" s="14"/>
      <c r="B68" s="15"/>
      <c r="C68" s="15"/>
      <c r="D68" s="15"/>
      <c r="E68" s="16" t="str">
        <f aca="false">IF(C68="","",IFERROR(INDEX(Drivers!$B:$B,MATCH(C68,Drivers!$A:$A,0)),"ID not found"))</f>
        <v/>
      </c>
      <c r="F68" s="16" t="str">
        <f aca="false">IF(B68="","",IFERROR(INDEX(Routes!$B:$B,MATCH(B68,Routes!$A:$A,0)),"ID not found"))</f>
        <v/>
      </c>
      <c r="G68" s="16" t="str">
        <f aca="false">IF(OR(B68="",C68="",D68=""),"",IF(OR(ISNA(MATCH(B68,Routes!$A:$A,0)),ISNA(MATCH(C68,Drivers!$A:$A,0)),ISNA(MATCH(D68,Vehicles!$A:$A,0))),"CHECK: ID not found",IF(INDEX(Routes!$C:$C,MATCH(B68,Routes!$A:$A,0))&lt;&gt;INDEX(Vehicles!$B:$B,MATCH(D68,Vehicles!$A:$A,0)),"CHECK: vehicle type does not fit route",IF(INDEX(Routes!$C:$C,MATCH(B68,Routes!$A:$A,0))&lt;&gt;INDEX(Drivers!$D:$D,MATCH(C68,Drivers!$A:$A,0)),"CHECK: driver type does not fit route",IF(OR(INDEX(Vehicles!$E:$E,MATCH(D68,Vehicles!$A:$A,0))="Workshop",INDEX(Vehicles!$E:$E,MATCH(D68,Vehicles!$A:$A,0))="Out of service"),"CHECK: vehicle not available",IF(INDEX(Drivers!$G:$G,MATCH(C68,Drivers!$A:$A,0))&lt;&gt;"Active","CHECK: driver not active",IF(COUNTIFS($A:$A,A68,$C:$C,C68)&gt;1,"CHECK: driver assigned twice",IF(COUNTIFS($A:$A,A68,$D:$D,D68)&gt;1,"CHECK: vehicle assigned twice","OK"))))))))</f>
        <v/>
      </c>
      <c r="H68" s="15"/>
      <c r="I68" s="15"/>
      <c r="J68" s="17" t="str">
        <f aca="false">IF(OR(H68="",H68=0),"",I68/H68)</f>
        <v/>
      </c>
      <c r="K68" s="15"/>
      <c r="L68" s="15"/>
      <c r="M68" s="18"/>
      <c r="N68" s="15"/>
      <c r="O68" s="16" t="str">
        <f aca="false">IF(AND(OR(K68="At risk",K68="Late"),L68=""),"Add a reason code",IF(AND(L68="OTH",N68=""),"Explain OTH in notes",IF(AND(K68="Finished",I68&lt;H68,L68=""),"Add a reason code","")))</f>
        <v/>
      </c>
    </row>
    <row r="69" customFormat="false" ht="15" hidden="false" customHeight="false" outlineLevel="0" collapsed="false">
      <c r="A69" s="14"/>
      <c r="B69" s="15"/>
      <c r="C69" s="15"/>
      <c r="D69" s="15"/>
      <c r="E69" s="16" t="str">
        <f aca="false">IF(C69="","",IFERROR(INDEX(Drivers!$B:$B,MATCH(C69,Drivers!$A:$A,0)),"ID not found"))</f>
        <v/>
      </c>
      <c r="F69" s="16" t="str">
        <f aca="false">IF(B69="","",IFERROR(INDEX(Routes!$B:$B,MATCH(B69,Routes!$A:$A,0)),"ID not found"))</f>
        <v/>
      </c>
      <c r="G69" s="16" t="str">
        <f aca="false">IF(OR(B69="",C69="",D69=""),"",IF(OR(ISNA(MATCH(B69,Routes!$A:$A,0)),ISNA(MATCH(C69,Drivers!$A:$A,0)),ISNA(MATCH(D69,Vehicles!$A:$A,0))),"CHECK: ID not found",IF(INDEX(Routes!$C:$C,MATCH(B69,Routes!$A:$A,0))&lt;&gt;INDEX(Vehicles!$B:$B,MATCH(D69,Vehicles!$A:$A,0)),"CHECK: vehicle type does not fit route",IF(INDEX(Routes!$C:$C,MATCH(B69,Routes!$A:$A,0))&lt;&gt;INDEX(Drivers!$D:$D,MATCH(C69,Drivers!$A:$A,0)),"CHECK: driver type does not fit route",IF(OR(INDEX(Vehicles!$E:$E,MATCH(D69,Vehicles!$A:$A,0))="Workshop",INDEX(Vehicles!$E:$E,MATCH(D69,Vehicles!$A:$A,0))="Out of service"),"CHECK: vehicle not available",IF(INDEX(Drivers!$G:$G,MATCH(C69,Drivers!$A:$A,0))&lt;&gt;"Active","CHECK: driver not active",IF(COUNTIFS($A:$A,A69,$C:$C,C69)&gt;1,"CHECK: driver assigned twice",IF(COUNTIFS($A:$A,A69,$D:$D,D69)&gt;1,"CHECK: vehicle assigned twice","OK"))))))))</f>
        <v/>
      </c>
      <c r="H69" s="15"/>
      <c r="I69" s="15"/>
      <c r="J69" s="17" t="str">
        <f aca="false">IF(OR(H69="",H69=0),"",I69/H69)</f>
        <v/>
      </c>
      <c r="K69" s="15"/>
      <c r="L69" s="15"/>
      <c r="M69" s="18"/>
      <c r="N69" s="15"/>
      <c r="O69" s="16" t="str">
        <f aca="false">IF(AND(OR(K69="At risk",K69="Late"),L69=""),"Add a reason code",IF(AND(L69="OTH",N69=""),"Explain OTH in notes",IF(AND(K69="Finished",I69&lt;H69,L69=""),"Add a reason code","")))</f>
        <v/>
      </c>
    </row>
    <row r="70" customFormat="false" ht="15" hidden="false" customHeight="false" outlineLevel="0" collapsed="false">
      <c r="A70" s="14"/>
      <c r="B70" s="15"/>
      <c r="C70" s="15"/>
      <c r="D70" s="15"/>
      <c r="E70" s="16" t="str">
        <f aca="false">IF(C70="","",IFERROR(INDEX(Drivers!$B:$B,MATCH(C70,Drivers!$A:$A,0)),"ID not found"))</f>
        <v/>
      </c>
      <c r="F70" s="16" t="str">
        <f aca="false">IF(B70="","",IFERROR(INDEX(Routes!$B:$B,MATCH(B70,Routes!$A:$A,0)),"ID not found"))</f>
        <v/>
      </c>
      <c r="G70" s="16" t="str">
        <f aca="false">IF(OR(B70="",C70="",D70=""),"",IF(OR(ISNA(MATCH(B70,Routes!$A:$A,0)),ISNA(MATCH(C70,Drivers!$A:$A,0)),ISNA(MATCH(D70,Vehicles!$A:$A,0))),"CHECK: ID not found",IF(INDEX(Routes!$C:$C,MATCH(B70,Routes!$A:$A,0))&lt;&gt;INDEX(Vehicles!$B:$B,MATCH(D70,Vehicles!$A:$A,0)),"CHECK: vehicle type does not fit route",IF(INDEX(Routes!$C:$C,MATCH(B70,Routes!$A:$A,0))&lt;&gt;INDEX(Drivers!$D:$D,MATCH(C70,Drivers!$A:$A,0)),"CHECK: driver type does not fit route",IF(OR(INDEX(Vehicles!$E:$E,MATCH(D70,Vehicles!$A:$A,0))="Workshop",INDEX(Vehicles!$E:$E,MATCH(D70,Vehicles!$A:$A,0))="Out of service"),"CHECK: vehicle not available",IF(INDEX(Drivers!$G:$G,MATCH(C70,Drivers!$A:$A,0))&lt;&gt;"Active","CHECK: driver not active",IF(COUNTIFS($A:$A,A70,$C:$C,C70)&gt;1,"CHECK: driver assigned twice",IF(COUNTIFS($A:$A,A70,$D:$D,D70)&gt;1,"CHECK: vehicle assigned twice","OK"))))))))</f>
        <v/>
      </c>
      <c r="H70" s="15"/>
      <c r="I70" s="15"/>
      <c r="J70" s="17" t="str">
        <f aca="false">IF(OR(H70="",H70=0),"",I70/H70)</f>
        <v/>
      </c>
      <c r="K70" s="15"/>
      <c r="L70" s="15"/>
      <c r="M70" s="18"/>
      <c r="N70" s="15"/>
      <c r="O70" s="16" t="str">
        <f aca="false">IF(AND(OR(K70="At risk",K70="Late"),L70=""),"Add a reason code",IF(AND(L70="OTH",N70=""),"Explain OTH in notes",IF(AND(K70="Finished",I70&lt;H70,L70=""),"Add a reason code","")))</f>
        <v/>
      </c>
    </row>
    <row r="71" customFormat="false" ht="15" hidden="false" customHeight="false" outlineLevel="0" collapsed="false">
      <c r="A71" s="14"/>
      <c r="B71" s="15"/>
      <c r="C71" s="15"/>
      <c r="D71" s="15"/>
      <c r="E71" s="16" t="str">
        <f aca="false">IF(C71="","",IFERROR(INDEX(Drivers!$B:$B,MATCH(C71,Drivers!$A:$A,0)),"ID not found"))</f>
        <v/>
      </c>
      <c r="F71" s="16" t="str">
        <f aca="false">IF(B71="","",IFERROR(INDEX(Routes!$B:$B,MATCH(B71,Routes!$A:$A,0)),"ID not found"))</f>
        <v/>
      </c>
      <c r="G71" s="16" t="str">
        <f aca="false">IF(OR(B71="",C71="",D71=""),"",IF(OR(ISNA(MATCH(B71,Routes!$A:$A,0)),ISNA(MATCH(C71,Drivers!$A:$A,0)),ISNA(MATCH(D71,Vehicles!$A:$A,0))),"CHECK: ID not found",IF(INDEX(Routes!$C:$C,MATCH(B71,Routes!$A:$A,0))&lt;&gt;INDEX(Vehicles!$B:$B,MATCH(D71,Vehicles!$A:$A,0)),"CHECK: vehicle type does not fit route",IF(INDEX(Routes!$C:$C,MATCH(B71,Routes!$A:$A,0))&lt;&gt;INDEX(Drivers!$D:$D,MATCH(C71,Drivers!$A:$A,0)),"CHECK: driver type does not fit route",IF(OR(INDEX(Vehicles!$E:$E,MATCH(D71,Vehicles!$A:$A,0))="Workshop",INDEX(Vehicles!$E:$E,MATCH(D71,Vehicles!$A:$A,0))="Out of service"),"CHECK: vehicle not available",IF(INDEX(Drivers!$G:$G,MATCH(C71,Drivers!$A:$A,0))&lt;&gt;"Active","CHECK: driver not active",IF(COUNTIFS($A:$A,A71,$C:$C,C71)&gt;1,"CHECK: driver assigned twice",IF(COUNTIFS($A:$A,A71,$D:$D,D71)&gt;1,"CHECK: vehicle assigned twice","OK"))))))))</f>
        <v/>
      </c>
      <c r="H71" s="15"/>
      <c r="I71" s="15"/>
      <c r="J71" s="17" t="str">
        <f aca="false">IF(OR(H71="",H71=0),"",I71/H71)</f>
        <v/>
      </c>
      <c r="K71" s="15"/>
      <c r="L71" s="15"/>
      <c r="M71" s="18"/>
      <c r="N71" s="15"/>
      <c r="O71" s="16" t="str">
        <f aca="false">IF(AND(OR(K71="At risk",K71="Late"),L71=""),"Add a reason code",IF(AND(L71="OTH",N71=""),"Explain OTH in notes",IF(AND(K71="Finished",I71&lt;H71,L71=""),"Add a reason code","")))</f>
        <v/>
      </c>
    </row>
    <row r="72" customFormat="false" ht="15" hidden="false" customHeight="false" outlineLevel="0" collapsed="false">
      <c r="A72" s="14"/>
      <c r="B72" s="15"/>
      <c r="C72" s="15"/>
      <c r="D72" s="15"/>
      <c r="E72" s="16" t="str">
        <f aca="false">IF(C72="","",IFERROR(INDEX(Drivers!$B:$B,MATCH(C72,Drivers!$A:$A,0)),"ID not found"))</f>
        <v/>
      </c>
      <c r="F72" s="16" t="str">
        <f aca="false">IF(B72="","",IFERROR(INDEX(Routes!$B:$B,MATCH(B72,Routes!$A:$A,0)),"ID not found"))</f>
        <v/>
      </c>
      <c r="G72" s="16" t="str">
        <f aca="false">IF(OR(B72="",C72="",D72=""),"",IF(OR(ISNA(MATCH(B72,Routes!$A:$A,0)),ISNA(MATCH(C72,Drivers!$A:$A,0)),ISNA(MATCH(D72,Vehicles!$A:$A,0))),"CHECK: ID not found",IF(INDEX(Routes!$C:$C,MATCH(B72,Routes!$A:$A,0))&lt;&gt;INDEX(Vehicles!$B:$B,MATCH(D72,Vehicles!$A:$A,0)),"CHECK: vehicle type does not fit route",IF(INDEX(Routes!$C:$C,MATCH(B72,Routes!$A:$A,0))&lt;&gt;INDEX(Drivers!$D:$D,MATCH(C72,Drivers!$A:$A,0)),"CHECK: driver type does not fit route",IF(OR(INDEX(Vehicles!$E:$E,MATCH(D72,Vehicles!$A:$A,0))="Workshop",INDEX(Vehicles!$E:$E,MATCH(D72,Vehicles!$A:$A,0))="Out of service"),"CHECK: vehicle not available",IF(INDEX(Drivers!$G:$G,MATCH(C72,Drivers!$A:$A,0))&lt;&gt;"Active","CHECK: driver not active",IF(COUNTIFS($A:$A,A72,$C:$C,C72)&gt;1,"CHECK: driver assigned twice",IF(COUNTIFS($A:$A,A72,$D:$D,D72)&gt;1,"CHECK: vehicle assigned twice","OK"))))))))</f>
        <v/>
      </c>
      <c r="H72" s="15"/>
      <c r="I72" s="15"/>
      <c r="J72" s="17" t="str">
        <f aca="false">IF(OR(H72="",H72=0),"",I72/H72)</f>
        <v/>
      </c>
      <c r="K72" s="15"/>
      <c r="L72" s="15"/>
      <c r="M72" s="18"/>
      <c r="N72" s="15"/>
      <c r="O72" s="16" t="str">
        <f aca="false">IF(AND(OR(K72="At risk",K72="Late"),L72=""),"Add a reason code",IF(AND(L72="OTH",N72=""),"Explain OTH in notes",IF(AND(K72="Finished",I72&lt;H72,L72=""),"Add a reason code","")))</f>
        <v/>
      </c>
    </row>
    <row r="73" customFormat="false" ht="15" hidden="false" customHeight="false" outlineLevel="0" collapsed="false">
      <c r="A73" s="14"/>
      <c r="B73" s="15"/>
      <c r="C73" s="15"/>
      <c r="D73" s="15"/>
      <c r="E73" s="16" t="str">
        <f aca="false">IF(C73="","",IFERROR(INDEX(Drivers!$B:$B,MATCH(C73,Drivers!$A:$A,0)),"ID not found"))</f>
        <v/>
      </c>
      <c r="F73" s="16" t="str">
        <f aca="false">IF(B73="","",IFERROR(INDEX(Routes!$B:$B,MATCH(B73,Routes!$A:$A,0)),"ID not found"))</f>
        <v/>
      </c>
      <c r="G73" s="16" t="str">
        <f aca="false">IF(OR(B73="",C73="",D73=""),"",IF(OR(ISNA(MATCH(B73,Routes!$A:$A,0)),ISNA(MATCH(C73,Drivers!$A:$A,0)),ISNA(MATCH(D73,Vehicles!$A:$A,0))),"CHECK: ID not found",IF(INDEX(Routes!$C:$C,MATCH(B73,Routes!$A:$A,0))&lt;&gt;INDEX(Vehicles!$B:$B,MATCH(D73,Vehicles!$A:$A,0)),"CHECK: vehicle type does not fit route",IF(INDEX(Routes!$C:$C,MATCH(B73,Routes!$A:$A,0))&lt;&gt;INDEX(Drivers!$D:$D,MATCH(C73,Drivers!$A:$A,0)),"CHECK: driver type does not fit route",IF(OR(INDEX(Vehicles!$E:$E,MATCH(D73,Vehicles!$A:$A,0))="Workshop",INDEX(Vehicles!$E:$E,MATCH(D73,Vehicles!$A:$A,0))="Out of service"),"CHECK: vehicle not available",IF(INDEX(Drivers!$G:$G,MATCH(C73,Drivers!$A:$A,0))&lt;&gt;"Active","CHECK: driver not active",IF(COUNTIFS($A:$A,A73,$C:$C,C73)&gt;1,"CHECK: driver assigned twice",IF(COUNTIFS($A:$A,A73,$D:$D,D73)&gt;1,"CHECK: vehicle assigned twice","OK"))))))))</f>
        <v/>
      </c>
      <c r="H73" s="15"/>
      <c r="I73" s="15"/>
      <c r="J73" s="17" t="str">
        <f aca="false">IF(OR(H73="",H73=0),"",I73/H73)</f>
        <v/>
      </c>
      <c r="K73" s="15"/>
      <c r="L73" s="15"/>
      <c r="M73" s="18"/>
      <c r="N73" s="15"/>
      <c r="O73" s="16" t="str">
        <f aca="false">IF(AND(OR(K73="At risk",K73="Late"),L73=""),"Add a reason code",IF(AND(L73="OTH",N73=""),"Explain OTH in notes",IF(AND(K73="Finished",I73&lt;H73,L73=""),"Add a reason code","")))</f>
        <v/>
      </c>
    </row>
    <row r="74" customFormat="false" ht="15" hidden="false" customHeight="false" outlineLevel="0" collapsed="false">
      <c r="A74" s="14"/>
      <c r="B74" s="15"/>
      <c r="C74" s="15"/>
      <c r="D74" s="15"/>
      <c r="E74" s="16" t="str">
        <f aca="false">IF(C74="","",IFERROR(INDEX(Drivers!$B:$B,MATCH(C74,Drivers!$A:$A,0)),"ID not found"))</f>
        <v/>
      </c>
      <c r="F74" s="16" t="str">
        <f aca="false">IF(B74="","",IFERROR(INDEX(Routes!$B:$B,MATCH(B74,Routes!$A:$A,0)),"ID not found"))</f>
        <v/>
      </c>
      <c r="G74" s="16" t="str">
        <f aca="false">IF(OR(B74="",C74="",D74=""),"",IF(OR(ISNA(MATCH(B74,Routes!$A:$A,0)),ISNA(MATCH(C74,Drivers!$A:$A,0)),ISNA(MATCH(D74,Vehicles!$A:$A,0))),"CHECK: ID not found",IF(INDEX(Routes!$C:$C,MATCH(B74,Routes!$A:$A,0))&lt;&gt;INDEX(Vehicles!$B:$B,MATCH(D74,Vehicles!$A:$A,0)),"CHECK: vehicle type does not fit route",IF(INDEX(Routes!$C:$C,MATCH(B74,Routes!$A:$A,0))&lt;&gt;INDEX(Drivers!$D:$D,MATCH(C74,Drivers!$A:$A,0)),"CHECK: driver type does not fit route",IF(OR(INDEX(Vehicles!$E:$E,MATCH(D74,Vehicles!$A:$A,0))="Workshop",INDEX(Vehicles!$E:$E,MATCH(D74,Vehicles!$A:$A,0))="Out of service"),"CHECK: vehicle not available",IF(INDEX(Drivers!$G:$G,MATCH(C74,Drivers!$A:$A,0))&lt;&gt;"Active","CHECK: driver not active",IF(COUNTIFS($A:$A,A74,$C:$C,C74)&gt;1,"CHECK: driver assigned twice",IF(COUNTIFS($A:$A,A74,$D:$D,D74)&gt;1,"CHECK: vehicle assigned twice","OK"))))))))</f>
        <v/>
      </c>
      <c r="H74" s="15"/>
      <c r="I74" s="15"/>
      <c r="J74" s="17" t="str">
        <f aca="false">IF(OR(H74="",H74=0),"",I74/H74)</f>
        <v/>
      </c>
      <c r="K74" s="15"/>
      <c r="L74" s="15"/>
      <c r="M74" s="18"/>
      <c r="N74" s="15"/>
      <c r="O74" s="16" t="str">
        <f aca="false">IF(AND(OR(K74="At risk",K74="Late"),L74=""),"Add a reason code",IF(AND(L74="OTH",N74=""),"Explain OTH in notes",IF(AND(K74="Finished",I74&lt;H74,L74=""),"Add a reason code","")))</f>
        <v/>
      </c>
    </row>
    <row r="75" customFormat="false" ht="15" hidden="false" customHeight="false" outlineLevel="0" collapsed="false">
      <c r="A75" s="14"/>
      <c r="B75" s="15"/>
      <c r="C75" s="15"/>
      <c r="D75" s="15"/>
      <c r="E75" s="16" t="str">
        <f aca="false">IF(C75="","",IFERROR(INDEX(Drivers!$B:$B,MATCH(C75,Drivers!$A:$A,0)),"ID not found"))</f>
        <v/>
      </c>
      <c r="F75" s="16" t="str">
        <f aca="false">IF(B75="","",IFERROR(INDEX(Routes!$B:$B,MATCH(B75,Routes!$A:$A,0)),"ID not found"))</f>
        <v/>
      </c>
      <c r="G75" s="16" t="str">
        <f aca="false">IF(OR(B75="",C75="",D75=""),"",IF(OR(ISNA(MATCH(B75,Routes!$A:$A,0)),ISNA(MATCH(C75,Drivers!$A:$A,0)),ISNA(MATCH(D75,Vehicles!$A:$A,0))),"CHECK: ID not found",IF(INDEX(Routes!$C:$C,MATCH(B75,Routes!$A:$A,0))&lt;&gt;INDEX(Vehicles!$B:$B,MATCH(D75,Vehicles!$A:$A,0)),"CHECK: vehicle type does not fit route",IF(INDEX(Routes!$C:$C,MATCH(B75,Routes!$A:$A,0))&lt;&gt;INDEX(Drivers!$D:$D,MATCH(C75,Drivers!$A:$A,0)),"CHECK: driver type does not fit route",IF(OR(INDEX(Vehicles!$E:$E,MATCH(D75,Vehicles!$A:$A,0))="Workshop",INDEX(Vehicles!$E:$E,MATCH(D75,Vehicles!$A:$A,0))="Out of service"),"CHECK: vehicle not available",IF(INDEX(Drivers!$G:$G,MATCH(C75,Drivers!$A:$A,0))&lt;&gt;"Active","CHECK: driver not active",IF(COUNTIFS($A:$A,A75,$C:$C,C75)&gt;1,"CHECK: driver assigned twice",IF(COUNTIFS($A:$A,A75,$D:$D,D75)&gt;1,"CHECK: vehicle assigned twice","OK"))))))))</f>
        <v/>
      </c>
      <c r="H75" s="15"/>
      <c r="I75" s="15"/>
      <c r="J75" s="17" t="str">
        <f aca="false">IF(OR(H75="",H75=0),"",I75/H75)</f>
        <v/>
      </c>
      <c r="K75" s="15"/>
      <c r="L75" s="15"/>
      <c r="M75" s="18"/>
      <c r="N75" s="15"/>
      <c r="O75" s="16" t="str">
        <f aca="false">IF(AND(OR(K75="At risk",K75="Late"),L75=""),"Add a reason code",IF(AND(L75="OTH",N75=""),"Explain OTH in notes",IF(AND(K75="Finished",I75&lt;H75,L75=""),"Add a reason code","")))</f>
        <v/>
      </c>
    </row>
    <row r="76" customFormat="false" ht="15" hidden="false" customHeight="false" outlineLevel="0" collapsed="false">
      <c r="A76" s="14"/>
      <c r="B76" s="15"/>
      <c r="C76" s="15"/>
      <c r="D76" s="15"/>
      <c r="E76" s="16" t="str">
        <f aca="false">IF(C76="","",IFERROR(INDEX(Drivers!$B:$B,MATCH(C76,Drivers!$A:$A,0)),"ID not found"))</f>
        <v/>
      </c>
      <c r="F76" s="16" t="str">
        <f aca="false">IF(B76="","",IFERROR(INDEX(Routes!$B:$B,MATCH(B76,Routes!$A:$A,0)),"ID not found"))</f>
        <v/>
      </c>
      <c r="G76" s="16" t="str">
        <f aca="false">IF(OR(B76="",C76="",D76=""),"",IF(OR(ISNA(MATCH(B76,Routes!$A:$A,0)),ISNA(MATCH(C76,Drivers!$A:$A,0)),ISNA(MATCH(D76,Vehicles!$A:$A,0))),"CHECK: ID not found",IF(INDEX(Routes!$C:$C,MATCH(B76,Routes!$A:$A,0))&lt;&gt;INDEX(Vehicles!$B:$B,MATCH(D76,Vehicles!$A:$A,0)),"CHECK: vehicle type does not fit route",IF(INDEX(Routes!$C:$C,MATCH(B76,Routes!$A:$A,0))&lt;&gt;INDEX(Drivers!$D:$D,MATCH(C76,Drivers!$A:$A,0)),"CHECK: driver type does not fit route",IF(OR(INDEX(Vehicles!$E:$E,MATCH(D76,Vehicles!$A:$A,0))="Workshop",INDEX(Vehicles!$E:$E,MATCH(D76,Vehicles!$A:$A,0))="Out of service"),"CHECK: vehicle not available",IF(INDEX(Drivers!$G:$G,MATCH(C76,Drivers!$A:$A,0))&lt;&gt;"Active","CHECK: driver not active",IF(COUNTIFS($A:$A,A76,$C:$C,C76)&gt;1,"CHECK: driver assigned twice",IF(COUNTIFS($A:$A,A76,$D:$D,D76)&gt;1,"CHECK: vehicle assigned twice","OK"))))))))</f>
        <v/>
      </c>
      <c r="H76" s="15"/>
      <c r="I76" s="15"/>
      <c r="J76" s="17" t="str">
        <f aca="false">IF(OR(H76="",H76=0),"",I76/H76)</f>
        <v/>
      </c>
      <c r="K76" s="15"/>
      <c r="L76" s="15"/>
      <c r="M76" s="18"/>
      <c r="N76" s="15"/>
      <c r="O76" s="16" t="str">
        <f aca="false">IF(AND(OR(K76="At risk",K76="Late"),L76=""),"Add a reason code",IF(AND(L76="OTH",N76=""),"Explain OTH in notes",IF(AND(K76="Finished",I76&lt;H76,L76=""),"Add a reason code","")))</f>
        <v/>
      </c>
    </row>
    <row r="77" customFormat="false" ht="15" hidden="false" customHeight="false" outlineLevel="0" collapsed="false">
      <c r="A77" s="14"/>
      <c r="B77" s="15"/>
      <c r="C77" s="15"/>
      <c r="D77" s="15"/>
      <c r="E77" s="16" t="str">
        <f aca="false">IF(C77="","",IFERROR(INDEX(Drivers!$B:$B,MATCH(C77,Drivers!$A:$A,0)),"ID not found"))</f>
        <v/>
      </c>
      <c r="F77" s="16" t="str">
        <f aca="false">IF(B77="","",IFERROR(INDEX(Routes!$B:$B,MATCH(B77,Routes!$A:$A,0)),"ID not found"))</f>
        <v/>
      </c>
      <c r="G77" s="16" t="str">
        <f aca="false">IF(OR(B77="",C77="",D77=""),"",IF(OR(ISNA(MATCH(B77,Routes!$A:$A,0)),ISNA(MATCH(C77,Drivers!$A:$A,0)),ISNA(MATCH(D77,Vehicles!$A:$A,0))),"CHECK: ID not found",IF(INDEX(Routes!$C:$C,MATCH(B77,Routes!$A:$A,0))&lt;&gt;INDEX(Vehicles!$B:$B,MATCH(D77,Vehicles!$A:$A,0)),"CHECK: vehicle type does not fit route",IF(INDEX(Routes!$C:$C,MATCH(B77,Routes!$A:$A,0))&lt;&gt;INDEX(Drivers!$D:$D,MATCH(C77,Drivers!$A:$A,0)),"CHECK: driver type does not fit route",IF(OR(INDEX(Vehicles!$E:$E,MATCH(D77,Vehicles!$A:$A,0))="Workshop",INDEX(Vehicles!$E:$E,MATCH(D77,Vehicles!$A:$A,0))="Out of service"),"CHECK: vehicle not available",IF(INDEX(Drivers!$G:$G,MATCH(C77,Drivers!$A:$A,0))&lt;&gt;"Active","CHECK: driver not active",IF(COUNTIFS($A:$A,A77,$C:$C,C77)&gt;1,"CHECK: driver assigned twice",IF(COUNTIFS($A:$A,A77,$D:$D,D77)&gt;1,"CHECK: vehicle assigned twice","OK"))))))))</f>
        <v/>
      </c>
      <c r="H77" s="15"/>
      <c r="I77" s="15"/>
      <c r="J77" s="17" t="str">
        <f aca="false">IF(OR(H77="",H77=0),"",I77/H77)</f>
        <v/>
      </c>
      <c r="K77" s="15"/>
      <c r="L77" s="15"/>
      <c r="M77" s="18"/>
      <c r="N77" s="15"/>
      <c r="O77" s="16" t="str">
        <f aca="false">IF(AND(OR(K77="At risk",K77="Late"),L77=""),"Add a reason code",IF(AND(L77="OTH",N77=""),"Explain OTH in notes",IF(AND(K77="Finished",I77&lt;H77,L77=""),"Add a reason code","")))</f>
        <v/>
      </c>
    </row>
    <row r="78" customFormat="false" ht="15" hidden="false" customHeight="false" outlineLevel="0" collapsed="false">
      <c r="A78" s="14"/>
      <c r="B78" s="15"/>
      <c r="C78" s="15"/>
      <c r="D78" s="15"/>
      <c r="E78" s="16" t="str">
        <f aca="false">IF(C78="","",IFERROR(INDEX(Drivers!$B:$B,MATCH(C78,Drivers!$A:$A,0)),"ID not found"))</f>
        <v/>
      </c>
      <c r="F78" s="16" t="str">
        <f aca="false">IF(B78="","",IFERROR(INDEX(Routes!$B:$B,MATCH(B78,Routes!$A:$A,0)),"ID not found"))</f>
        <v/>
      </c>
      <c r="G78" s="16" t="str">
        <f aca="false">IF(OR(B78="",C78="",D78=""),"",IF(OR(ISNA(MATCH(B78,Routes!$A:$A,0)),ISNA(MATCH(C78,Drivers!$A:$A,0)),ISNA(MATCH(D78,Vehicles!$A:$A,0))),"CHECK: ID not found",IF(INDEX(Routes!$C:$C,MATCH(B78,Routes!$A:$A,0))&lt;&gt;INDEX(Vehicles!$B:$B,MATCH(D78,Vehicles!$A:$A,0)),"CHECK: vehicle type does not fit route",IF(INDEX(Routes!$C:$C,MATCH(B78,Routes!$A:$A,0))&lt;&gt;INDEX(Drivers!$D:$D,MATCH(C78,Drivers!$A:$A,0)),"CHECK: driver type does not fit route",IF(OR(INDEX(Vehicles!$E:$E,MATCH(D78,Vehicles!$A:$A,0))="Workshop",INDEX(Vehicles!$E:$E,MATCH(D78,Vehicles!$A:$A,0))="Out of service"),"CHECK: vehicle not available",IF(INDEX(Drivers!$G:$G,MATCH(C78,Drivers!$A:$A,0))&lt;&gt;"Active","CHECK: driver not active",IF(COUNTIFS($A:$A,A78,$C:$C,C78)&gt;1,"CHECK: driver assigned twice",IF(COUNTIFS($A:$A,A78,$D:$D,D78)&gt;1,"CHECK: vehicle assigned twice","OK"))))))))</f>
        <v/>
      </c>
      <c r="H78" s="15"/>
      <c r="I78" s="15"/>
      <c r="J78" s="17" t="str">
        <f aca="false">IF(OR(H78="",H78=0),"",I78/H78)</f>
        <v/>
      </c>
      <c r="K78" s="15"/>
      <c r="L78" s="15"/>
      <c r="M78" s="18"/>
      <c r="N78" s="15"/>
      <c r="O78" s="16" t="str">
        <f aca="false">IF(AND(OR(K78="At risk",K78="Late"),L78=""),"Add a reason code",IF(AND(L78="OTH",N78=""),"Explain OTH in notes",IF(AND(K78="Finished",I78&lt;H78,L78=""),"Add a reason code","")))</f>
        <v/>
      </c>
    </row>
    <row r="79" customFormat="false" ht="15" hidden="false" customHeight="false" outlineLevel="0" collapsed="false">
      <c r="A79" s="14"/>
      <c r="B79" s="15"/>
      <c r="C79" s="15"/>
      <c r="D79" s="15"/>
      <c r="E79" s="16" t="str">
        <f aca="false">IF(C79="","",IFERROR(INDEX(Drivers!$B:$B,MATCH(C79,Drivers!$A:$A,0)),"ID not found"))</f>
        <v/>
      </c>
      <c r="F79" s="16" t="str">
        <f aca="false">IF(B79="","",IFERROR(INDEX(Routes!$B:$B,MATCH(B79,Routes!$A:$A,0)),"ID not found"))</f>
        <v/>
      </c>
      <c r="G79" s="16" t="str">
        <f aca="false">IF(OR(B79="",C79="",D79=""),"",IF(OR(ISNA(MATCH(B79,Routes!$A:$A,0)),ISNA(MATCH(C79,Drivers!$A:$A,0)),ISNA(MATCH(D79,Vehicles!$A:$A,0))),"CHECK: ID not found",IF(INDEX(Routes!$C:$C,MATCH(B79,Routes!$A:$A,0))&lt;&gt;INDEX(Vehicles!$B:$B,MATCH(D79,Vehicles!$A:$A,0)),"CHECK: vehicle type does not fit route",IF(INDEX(Routes!$C:$C,MATCH(B79,Routes!$A:$A,0))&lt;&gt;INDEX(Drivers!$D:$D,MATCH(C79,Drivers!$A:$A,0)),"CHECK: driver type does not fit route",IF(OR(INDEX(Vehicles!$E:$E,MATCH(D79,Vehicles!$A:$A,0))="Workshop",INDEX(Vehicles!$E:$E,MATCH(D79,Vehicles!$A:$A,0))="Out of service"),"CHECK: vehicle not available",IF(INDEX(Drivers!$G:$G,MATCH(C79,Drivers!$A:$A,0))&lt;&gt;"Active","CHECK: driver not active",IF(COUNTIFS($A:$A,A79,$C:$C,C79)&gt;1,"CHECK: driver assigned twice",IF(COUNTIFS($A:$A,A79,$D:$D,D79)&gt;1,"CHECK: vehicle assigned twice","OK"))))))))</f>
        <v/>
      </c>
      <c r="H79" s="15"/>
      <c r="I79" s="15"/>
      <c r="J79" s="17" t="str">
        <f aca="false">IF(OR(H79="",H79=0),"",I79/H79)</f>
        <v/>
      </c>
      <c r="K79" s="15"/>
      <c r="L79" s="15"/>
      <c r="M79" s="18"/>
      <c r="N79" s="15"/>
      <c r="O79" s="16" t="str">
        <f aca="false">IF(AND(OR(K79="At risk",K79="Late"),L79=""),"Add a reason code",IF(AND(L79="OTH",N79=""),"Explain OTH in notes",IF(AND(K79="Finished",I79&lt;H79,L79=""),"Add a reason code","")))</f>
        <v/>
      </c>
    </row>
    <row r="80" customFormat="false" ht="15" hidden="false" customHeight="false" outlineLevel="0" collapsed="false">
      <c r="A80" s="14"/>
      <c r="B80" s="15"/>
      <c r="C80" s="15"/>
      <c r="D80" s="15"/>
      <c r="E80" s="16" t="str">
        <f aca="false">IF(C80="","",IFERROR(INDEX(Drivers!$B:$B,MATCH(C80,Drivers!$A:$A,0)),"ID not found"))</f>
        <v/>
      </c>
      <c r="F80" s="16" t="str">
        <f aca="false">IF(B80="","",IFERROR(INDEX(Routes!$B:$B,MATCH(B80,Routes!$A:$A,0)),"ID not found"))</f>
        <v/>
      </c>
      <c r="G80" s="16" t="str">
        <f aca="false">IF(OR(B80="",C80="",D80=""),"",IF(OR(ISNA(MATCH(B80,Routes!$A:$A,0)),ISNA(MATCH(C80,Drivers!$A:$A,0)),ISNA(MATCH(D80,Vehicles!$A:$A,0))),"CHECK: ID not found",IF(INDEX(Routes!$C:$C,MATCH(B80,Routes!$A:$A,0))&lt;&gt;INDEX(Vehicles!$B:$B,MATCH(D80,Vehicles!$A:$A,0)),"CHECK: vehicle type does not fit route",IF(INDEX(Routes!$C:$C,MATCH(B80,Routes!$A:$A,0))&lt;&gt;INDEX(Drivers!$D:$D,MATCH(C80,Drivers!$A:$A,0)),"CHECK: driver type does not fit route",IF(OR(INDEX(Vehicles!$E:$E,MATCH(D80,Vehicles!$A:$A,0))="Workshop",INDEX(Vehicles!$E:$E,MATCH(D80,Vehicles!$A:$A,0))="Out of service"),"CHECK: vehicle not available",IF(INDEX(Drivers!$G:$G,MATCH(C80,Drivers!$A:$A,0))&lt;&gt;"Active","CHECK: driver not active",IF(COUNTIFS($A:$A,A80,$C:$C,C80)&gt;1,"CHECK: driver assigned twice",IF(COUNTIFS($A:$A,A80,$D:$D,D80)&gt;1,"CHECK: vehicle assigned twice","OK"))))))))</f>
        <v/>
      </c>
      <c r="H80" s="15"/>
      <c r="I80" s="15"/>
      <c r="J80" s="17" t="str">
        <f aca="false">IF(OR(H80="",H80=0),"",I80/H80)</f>
        <v/>
      </c>
      <c r="K80" s="15"/>
      <c r="L80" s="15"/>
      <c r="M80" s="18"/>
      <c r="N80" s="15"/>
      <c r="O80" s="16" t="str">
        <f aca="false">IF(AND(OR(K80="At risk",K80="Late"),L80=""),"Add a reason code",IF(AND(L80="OTH",N80=""),"Explain OTH in notes",IF(AND(K80="Finished",I80&lt;H80,L80=""),"Add a reason code","")))</f>
        <v/>
      </c>
    </row>
    <row r="81" customFormat="false" ht="15" hidden="false" customHeight="false" outlineLevel="0" collapsed="false">
      <c r="A81" s="14"/>
      <c r="B81" s="15"/>
      <c r="C81" s="15"/>
      <c r="D81" s="15"/>
      <c r="E81" s="16" t="str">
        <f aca="false">IF(C81="","",IFERROR(INDEX(Drivers!$B:$B,MATCH(C81,Drivers!$A:$A,0)),"ID not found"))</f>
        <v/>
      </c>
      <c r="F81" s="16" t="str">
        <f aca="false">IF(B81="","",IFERROR(INDEX(Routes!$B:$B,MATCH(B81,Routes!$A:$A,0)),"ID not found"))</f>
        <v/>
      </c>
      <c r="G81" s="16" t="str">
        <f aca="false">IF(OR(B81="",C81="",D81=""),"",IF(OR(ISNA(MATCH(B81,Routes!$A:$A,0)),ISNA(MATCH(C81,Drivers!$A:$A,0)),ISNA(MATCH(D81,Vehicles!$A:$A,0))),"CHECK: ID not found",IF(INDEX(Routes!$C:$C,MATCH(B81,Routes!$A:$A,0))&lt;&gt;INDEX(Vehicles!$B:$B,MATCH(D81,Vehicles!$A:$A,0)),"CHECK: vehicle type does not fit route",IF(INDEX(Routes!$C:$C,MATCH(B81,Routes!$A:$A,0))&lt;&gt;INDEX(Drivers!$D:$D,MATCH(C81,Drivers!$A:$A,0)),"CHECK: driver type does not fit route",IF(OR(INDEX(Vehicles!$E:$E,MATCH(D81,Vehicles!$A:$A,0))="Workshop",INDEX(Vehicles!$E:$E,MATCH(D81,Vehicles!$A:$A,0))="Out of service"),"CHECK: vehicle not available",IF(INDEX(Drivers!$G:$G,MATCH(C81,Drivers!$A:$A,0))&lt;&gt;"Active","CHECK: driver not active",IF(COUNTIFS($A:$A,A81,$C:$C,C81)&gt;1,"CHECK: driver assigned twice",IF(COUNTIFS($A:$A,A81,$D:$D,D81)&gt;1,"CHECK: vehicle assigned twice","OK"))))))))</f>
        <v/>
      </c>
      <c r="H81" s="15"/>
      <c r="I81" s="15"/>
      <c r="J81" s="17" t="str">
        <f aca="false">IF(OR(H81="",H81=0),"",I81/H81)</f>
        <v/>
      </c>
      <c r="K81" s="15"/>
      <c r="L81" s="15"/>
      <c r="M81" s="18"/>
      <c r="N81" s="15"/>
      <c r="O81" s="16" t="str">
        <f aca="false">IF(AND(OR(K81="At risk",K81="Late"),L81=""),"Add a reason code",IF(AND(L81="OTH",N81=""),"Explain OTH in notes",IF(AND(K81="Finished",I81&lt;H81,L81=""),"Add a reason code","")))</f>
        <v/>
      </c>
    </row>
    <row r="82" customFormat="false" ht="15" hidden="false" customHeight="false" outlineLevel="0" collapsed="false">
      <c r="A82" s="14"/>
      <c r="B82" s="15"/>
      <c r="C82" s="15"/>
      <c r="D82" s="15"/>
      <c r="E82" s="16" t="str">
        <f aca="false">IF(C82="","",IFERROR(INDEX(Drivers!$B:$B,MATCH(C82,Drivers!$A:$A,0)),"ID not found"))</f>
        <v/>
      </c>
      <c r="F82" s="16" t="str">
        <f aca="false">IF(B82="","",IFERROR(INDEX(Routes!$B:$B,MATCH(B82,Routes!$A:$A,0)),"ID not found"))</f>
        <v/>
      </c>
      <c r="G82" s="16" t="str">
        <f aca="false">IF(OR(B82="",C82="",D82=""),"",IF(OR(ISNA(MATCH(B82,Routes!$A:$A,0)),ISNA(MATCH(C82,Drivers!$A:$A,0)),ISNA(MATCH(D82,Vehicles!$A:$A,0))),"CHECK: ID not found",IF(INDEX(Routes!$C:$C,MATCH(B82,Routes!$A:$A,0))&lt;&gt;INDEX(Vehicles!$B:$B,MATCH(D82,Vehicles!$A:$A,0)),"CHECK: vehicle type does not fit route",IF(INDEX(Routes!$C:$C,MATCH(B82,Routes!$A:$A,0))&lt;&gt;INDEX(Drivers!$D:$D,MATCH(C82,Drivers!$A:$A,0)),"CHECK: driver type does not fit route",IF(OR(INDEX(Vehicles!$E:$E,MATCH(D82,Vehicles!$A:$A,0))="Workshop",INDEX(Vehicles!$E:$E,MATCH(D82,Vehicles!$A:$A,0))="Out of service"),"CHECK: vehicle not available",IF(INDEX(Drivers!$G:$G,MATCH(C82,Drivers!$A:$A,0))&lt;&gt;"Active","CHECK: driver not active",IF(COUNTIFS($A:$A,A82,$C:$C,C82)&gt;1,"CHECK: driver assigned twice",IF(COUNTIFS($A:$A,A82,$D:$D,D82)&gt;1,"CHECK: vehicle assigned twice","OK"))))))))</f>
        <v/>
      </c>
      <c r="H82" s="15"/>
      <c r="I82" s="15"/>
      <c r="J82" s="17" t="str">
        <f aca="false">IF(OR(H82="",H82=0),"",I82/H82)</f>
        <v/>
      </c>
      <c r="K82" s="15"/>
      <c r="L82" s="15"/>
      <c r="M82" s="18"/>
      <c r="N82" s="15"/>
      <c r="O82" s="16" t="str">
        <f aca="false">IF(AND(OR(K82="At risk",K82="Late"),L82=""),"Add a reason code",IF(AND(L82="OTH",N82=""),"Explain OTH in notes",IF(AND(K82="Finished",I82&lt;H82,L82=""),"Add a reason code","")))</f>
        <v/>
      </c>
    </row>
    <row r="83" customFormat="false" ht="15" hidden="false" customHeight="false" outlineLevel="0" collapsed="false">
      <c r="A83" s="14"/>
      <c r="B83" s="15"/>
      <c r="C83" s="15"/>
      <c r="D83" s="15"/>
      <c r="E83" s="16" t="str">
        <f aca="false">IF(C83="","",IFERROR(INDEX(Drivers!$B:$B,MATCH(C83,Drivers!$A:$A,0)),"ID not found"))</f>
        <v/>
      </c>
      <c r="F83" s="16" t="str">
        <f aca="false">IF(B83="","",IFERROR(INDEX(Routes!$B:$B,MATCH(B83,Routes!$A:$A,0)),"ID not found"))</f>
        <v/>
      </c>
      <c r="G83" s="16" t="str">
        <f aca="false">IF(OR(B83="",C83="",D83=""),"",IF(OR(ISNA(MATCH(B83,Routes!$A:$A,0)),ISNA(MATCH(C83,Drivers!$A:$A,0)),ISNA(MATCH(D83,Vehicles!$A:$A,0))),"CHECK: ID not found",IF(INDEX(Routes!$C:$C,MATCH(B83,Routes!$A:$A,0))&lt;&gt;INDEX(Vehicles!$B:$B,MATCH(D83,Vehicles!$A:$A,0)),"CHECK: vehicle type does not fit route",IF(INDEX(Routes!$C:$C,MATCH(B83,Routes!$A:$A,0))&lt;&gt;INDEX(Drivers!$D:$D,MATCH(C83,Drivers!$A:$A,0)),"CHECK: driver type does not fit route",IF(OR(INDEX(Vehicles!$E:$E,MATCH(D83,Vehicles!$A:$A,0))="Workshop",INDEX(Vehicles!$E:$E,MATCH(D83,Vehicles!$A:$A,0))="Out of service"),"CHECK: vehicle not available",IF(INDEX(Drivers!$G:$G,MATCH(C83,Drivers!$A:$A,0))&lt;&gt;"Active","CHECK: driver not active",IF(COUNTIFS($A:$A,A83,$C:$C,C83)&gt;1,"CHECK: driver assigned twice",IF(COUNTIFS($A:$A,A83,$D:$D,D83)&gt;1,"CHECK: vehicle assigned twice","OK"))))))))</f>
        <v/>
      </c>
      <c r="H83" s="15"/>
      <c r="I83" s="15"/>
      <c r="J83" s="17" t="str">
        <f aca="false">IF(OR(H83="",H83=0),"",I83/H83)</f>
        <v/>
      </c>
      <c r="K83" s="15"/>
      <c r="L83" s="15"/>
      <c r="M83" s="18"/>
      <c r="N83" s="15"/>
      <c r="O83" s="16" t="str">
        <f aca="false">IF(AND(OR(K83="At risk",K83="Late"),L83=""),"Add a reason code",IF(AND(L83="OTH",N83=""),"Explain OTH in notes",IF(AND(K83="Finished",I83&lt;H83,L83=""),"Add a reason code","")))</f>
        <v/>
      </c>
    </row>
    <row r="84" customFormat="false" ht="15" hidden="false" customHeight="false" outlineLevel="0" collapsed="false">
      <c r="A84" s="14"/>
      <c r="B84" s="15"/>
      <c r="C84" s="15"/>
      <c r="D84" s="15"/>
      <c r="E84" s="16" t="str">
        <f aca="false">IF(C84="","",IFERROR(INDEX(Drivers!$B:$B,MATCH(C84,Drivers!$A:$A,0)),"ID not found"))</f>
        <v/>
      </c>
      <c r="F84" s="16" t="str">
        <f aca="false">IF(B84="","",IFERROR(INDEX(Routes!$B:$B,MATCH(B84,Routes!$A:$A,0)),"ID not found"))</f>
        <v/>
      </c>
      <c r="G84" s="16" t="str">
        <f aca="false">IF(OR(B84="",C84="",D84=""),"",IF(OR(ISNA(MATCH(B84,Routes!$A:$A,0)),ISNA(MATCH(C84,Drivers!$A:$A,0)),ISNA(MATCH(D84,Vehicles!$A:$A,0))),"CHECK: ID not found",IF(INDEX(Routes!$C:$C,MATCH(B84,Routes!$A:$A,0))&lt;&gt;INDEX(Vehicles!$B:$B,MATCH(D84,Vehicles!$A:$A,0)),"CHECK: vehicle type does not fit route",IF(INDEX(Routes!$C:$C,MATCH(B84,Routes!$A:$A,0))&lt;&gt;INDEX(Drivers!$D:$D,MATCH(C84,Drivers!$A:$A,0)),"CHECK: driver type does not fit route",IF(OR(INDEX(Vehicles!$E:$E,MATCH(D84,Vehicles!$A:$A,0))="Workshop",INDEX(Vehicles!$E:$E,MATCH(D84,Vehicles!$A:$A,0))="Out of service"),"CHECK: vehicle not available",IF(INDEX(Drivers!$G:$G,MATCH(C84,Drivers!$A:$A,0))&lt;&gt;"Active","CHECK: driver not active",IF(COUNTIFS($A:$A,A84,$C:$C,C84)&gt;1,"CHECK: driver assigned twice",IF(COUNTIFS($A:$A,A84,$D:$D,D84)&gt;1,"CHECK: vehicle assigned twice","OK"))))))))</f>
        <v/>
      </c>
      <c r="H84" s="15"/>
      <c r="I84" s="15"/>
      <c r="J84" s="17" t="str">
        <f aca="false">IF(OR(H84="",H84=0),"",I84/H84)</f>
        <v/>
      </c>
      <c r="K84" s="15"/>
      <c r="L84" s="15"/>
      <c r="M84" s="18"/>
      <c r="N84" s="15"/>
      <c r="O84" s="16" t="str">
        <f aca="false">IF(AND(OR(K84="At risk",K84="Late"),L84=""),"Add a reason code",IF(AND(L84="OTH",N84=""),"Explain OTH in notes",IF(AND(K84="Finished",I84&lt;H84,L84=""),"Add a reason code","")))</f>
        <v/>
      </c>
    </row>
    <row r="85" customFormat="false" ht="15" hidden="false" customHeight="false" outlineLevel="0" collapsed="false">
      <c r="A85" s="14"/>
      <c r="B85" s="15"/>
      <c r="C85" s="15"/>
      <c r="D85" s="15"/>
      <c r="E85" s="16" t="str">
        <f aca="false">IF(C85="","",IFERROR(INDEX(Drivers!$B:$B,MATCH(C85,Drivers!$A:$A,0)),"ID not found"))</f>
        <v/>
      </c>
      <c r="F85" s="16" t="str">
        <f aca="false">IF(B85="","",IFERROR(INDEX(Routes!$B:$B,MATCH(B85,Routes!$A:$A,0)),"ID not found"))</f>
        <v/>
      </c>
      <c r="G85" s="16" t="str">
        <f aca="false">IF(OR(B85="",C85="",D85=""),"",IF(OR(ISNA(MATCH(B85,Routes!$A:$A,0)),ISNA(MATCH(C85,Drivers!$A:$A,0)),ISNA(MATCH(D85,Vehicles!$A:$A,0))),"CHECK: ID not found",IF(INDEX(Routes!$C:$C,MATCH(B85,Routes!$A:$A,0))&lt;&gt;INDEX(Vehicles!$B:$B,MATCH(D85,Vehicles!$A:$A,0)),"CHECK: vehicle type does not fit route",IF(INDEX(Routes!$C:$C,MATCH(B85,Routes!$A:$A,0))&lt;&gt;INDEX(Drivers!$D:$D,MATCH(C85,Drivers!$A:$A,0)),"CHECK: driver type does not fit route",IF(OR(INDEX(Vehicles!$E:$E,MATCH(D85,Vehicles!$A:$A,0))="Workshop",INDEX(Vehicles!$E:$E,MATCH(D85,Vehicles!$A:$A,0))="Out of service"),"CHECK: vehicle not available",IF(INDEX(Drivers!$G:$G,MATCH(C85,Drivers!$A:$A,0))&lt;&gt;"Active","CHECK: driver not active",IF(COUNTIFS($A:$A,A85,$C:$C,C85)&gt;1,"CHECK: driver assigned twice",IF(COUNTIFS($A:$A,A85,$D:$D,D85)&gt;1,"CHECK: vehicle assigned twice","OK"))))))))</f>
        <v/>
      </c>
      <c r="H85" s="15"/>
      <c r="I85" s="15"/>
      <c r="J85" s="17" t="str">
        <f aca="false">IF(OR(H85="",H85=0),"",I85/H85)</f>
        <v/>
      </c>
      <c r="K85" s="15"/>
      <c r="L85" s="15"/>
      <c r="M85" s="18"/>
      <c r="N85" s="15"/>
      <c r="O85" s="16" t="str">
        <f aca="false">IF(AND(OR(K85="At risk",K85="Late"),L85=""),"Add a reason code",IF(AND(L85="OTH",N85=""),"Explain OTH in notes",IF(AND(K85="Finished",I85&lt;H85,L85=""),"Add a reason code","")))</f>
        <v/>
      </c>
    </row>
    <row r="86" customFormat="false" ht="15" hidden="false" customHeight="false" outlineLevel="0" collapsed="false">
      <c r="A86" s="14"/>
      <c r="B86" s="15"/>
      <c r="C86" s="15"/>
      <c r="D86" s="15"/>
      <c r="E86" s="16" t="str">
        <f aca="false">IF(C86="","",IFERROR(INDEX(Drivers!$B:$B,MATCH(C86,Drivers!$A:$A,0)),"ID not found"))</f>
        <v/>
      </c>
      <c r="F86" s="16" t="str">
        <f aca="false">IF(B86="","",IFERROR(INDEX(Routes!$B:$B,MATCH(B86,Routes!$A:$A,0)),"ID not found"))</f>
        <v/>
      </c>
      <c r="G86" s="16" t="str">
        <f aca="false">IF(OR(B86="",C86="",D86=""),"",IF(OR(ISNA(MATCH(B86,Routes!$A:$A,0)),ISNA(MATCH(C86,Drivers!$A:$A,0)),ISNA(MATCH(D86,Vehicles!$A:$A,0))),"CHECK: ID not found",IF(INDEX(Routes!$C:$C,MATCH(B86,Routes!$A:$A,0))&lt;&gt;INDEX(Vehicles!$B:$B,MATCH(D86,Vehicles!$A:$A,0)),"CHECK: vehicle type does not fit route",IF(INDEX(Routes!$C:$C,MATCH(B86,Routes!$A:$A,0))&lt;&gt;INDEX(Drivers!$D:$D,MATCH(C86,Drivers!$A:$A,0)),"CHECK: driver type does not fit route",IF(OR(INDEX(Vehicles!$E:$E,MATCH(D86,Vehicles!$A:$A,0))="Workshop",INDEX(Vehicles!$E:$E,MATCH(D86,Vehicles!$A:$A,0))="Out of service"),"CHECK: vehicle not available",IF(INDEX(Drivers!$G:$G,MATCH(C86,Drivers!$A:$A,0))&lt;&gt;"Active","CHECK: driver not active",IF(COUNTIFS($A:$A,A86,$C:$C,C86)&gt;1,"CHECK: driver assigned twice",IF(COUNTIFS($A:$A,A86,$D:$D,D86)&gt;1,"CHECK: vehicle assigned twice","OK"))))))))</f>
        <v/>
      </c>
      <c r="H86" s="15"/>
      <c r="I86" s="15"/>
      <c r="J86" s="17" t="str">
        <f aca="false">IF(OR(H86="",H86=0),"",I86/H86)</f>
        <v/>
      </c>
      <c r="K86" s="15"/>
      <c r="L86" s="15"/>
      <c r="M86" s="18"/>
      <c r="N86" s="15"/>
      <c r="O86" s="16" t="str">
        <f aca="false">IF(AND(OR(K86="At risk",K86="Late"),L86=""),"Add a reason code",IF(AND(L86="OTH",N86=""),"Explain OTH in notes",IF(AND(K86="Finished",I86&lt;H86,L86=""),"Add a reason code","")))</f>
        <v/>
      </c>
    </row>
    <row r="87" customFormat="false" ht="15" hidden="false" customHeight="false" outlineLevel="0" collapsed="false">
      <c r="A87" s="14"/>
      <c r="B87" s="15"/>
      <c r="C87" s="15"/>
      <c r="D87" s="15"/>
      <c r="E87" s="16" t="str">
        <f aca="false">IF(C87="","",IFERROR(INDEX(Drivers!$B:$B,MATCH(C87,Drivers!$A:$A,0)),"ID not found"))</f>
        <v/>
      </c>
      <c r="F87" s="16" t="str">
        <f aca="false">IF(B87="","",IFERROR(INDEX(Routes!$B:$B,MATCH(B87,Routes!$A:$A,0)),"ID not found"))</f>
        <v/>
      </c>
      <c r="G87" s="16" t="str">
        <f aca="false">IF(OR(B87="",C87="",D87=""),"",IF(OR(ISNA(MATCH(B87,Routes!$A:$A,0)),ISNA(MATCH(C87,Drivers!$A:$A,0)),ISNA(MATCH(D87,Vehicles!$A:$A,0))),"CHECK: ID not found",IF(INDEX(Routes!$C:$C,MATCH(B87,Routes!$A:$A,0))&lt;&gt;INDEX(Vehicles!$B:$B,MATCH(D87,Vehicles!$A:$A,0)),"CHECK: vehicle type does not fit route",IF(INDEX(Routes!$C:$C,MATCH(B87,Routes!$A:$A,0))&lt;&gt;INDEX(Drivers!$D:$D,MATCH(C87,Drivers!$A:$A,0)),"CHECK: driver type does not fit route",IF(OR(INDEX(Vehicles!$E:$E,MATCH(D87,Vehicles!$A:$A,0))="Workshop",INDEX(Vehicles!$E:$E,MATCH(D87,Vehicles!$A:$A,0))="Out of service"),"CHECK: vehicle not available",IF(INDEX(Drivers!$G:$G,MATCH(C87,Drivers!$A:$A,0))&lt;&gt;"Active","CHECK: driver not active",IF(COUNTIFS($A:$A,A87,$C:$C,C87)&gt;1,"CHECK: driver assigned twice",IF(COUNTIFS($A:$A,A87,$D:$D,D87)&gt;1,"CHECK: vehicle assigned twice","OK"))))))))</f>
        <v/>
      </c>
      <c r="H87" s="15"/>
      <c r="I87" s="15"/>
      <c r="J87" s="17" t="str">
        <f aca="false">IF(OR(H87="",H87=0),"",I87/H87)</f>
        <v/>
      </c>
      <c r="K87" s="15"/>
      <c r="L87" s="15"/>
      <c r="M87" s="18"/>
      <c r="N87" s="15"/>
      <c r="O87" s="16" t="str">
        <f aca="false">IF(AND(OR(K87="At risk",K87="Late"),L87=""),"Add a reason code",IF(AND(L87="OTH",N87=""),"Explain OTH in notes",IF(AND(K87="Finished",I87&lt;H87,L87=""),"Add a reason code","")))</f>
        <v/>
      </c>
    </row>
    <row r="88" customFormat="false" ht="15" hidden="false" customHeight="false" outlineLevel="0" collapsed="false">
      <c r="A88" s="14"/>
      <c r="B88" s="15"/>
      <c r="C88" s="15"/>
      <c r="D88" s="15"/>
      <c r="E88" s="16" t="str">
        <f aca="false">IF(C88="","",IFERROR(INDEX(Drivers!$B:$B,MATCH(C88,Drivers!$A:$A,0)),"ID not found"))</f>
        <v/>
      </c>
      <c r="F88" s="16" t="str">
        <f aca="false">IF(B88="","",IFERROR(INDEX(Routes!$B:$B,MATCH(B88,Routes!$A:$A,0)),"ID not found"))</f>
        <v/>
      </c>
      <c r="G88" s="16" t="str">
        <f aca="false">IF(OR(B88="",C88="",D88=""),"",IF(OR(ISNA(MATCH(B88,Routes!$A:$A,0)),ISNA(MATCH(C88,Drivers!$A:$A,0)),ISNA(MATCH(D88,Vehicles!$A:$A,0))),"CHECK: ID not found",IF(INDEX(Routes!$C:$C,MATCH(B88,Routes!$A:$A,0))&lt;&gt;INDEX(Vehicles!$B:$B,MATCH(D88,Vehicles!$A:$A,0)),"CHECK: vehicle type does not fit route",IF(INDEX(Routes!$C:$C,MATCH(B88,Routes!$A:$A,0))&lt;&gt;INDEX(Drivers!$D:$D,MATCH(C88,Drivers!$A:$A,0)),"CHECK: driver type does not fit route",IF(OR(INDEX(Vehicles!$E:$E,MATCH(D88,Vehicles!$A:$A,0))="Workshop",INDEX(Vehicles!$E:$E,MATCH(D88,Vehicles!$A:$A,0))="Out of service"),"CHECK: vehicle not available",IF(INDEX(Drivers!$G:$G,MATCH(C88,Drivers!$A:$A,0))&lt;&gt;"Active","CHECK: driver not active",IF(COUNTIFS($A:$A,A88,$C:$C,C88)&gt;1,"CHECK: driver assigned twice",IF(COUNTIFS($A:$A,A88,$D:$D,D88)&gt;1,"CHECK: vehicle assigned twice","OK"))))))))</f>
        <v/>
      </c>
      <c r="H88" s="15"/>
      <c r="I88" s="15"/>
      <c r="J88" s="17" t="str">
        <f aca="false">IF(OR(H88="",H88=0),"",I88/H88)</f>
        <v/>
      </c>
      <c r="K88" s="15"/>
      <c r="L88" s="15"/>
      <c r="M88" s="18"/>
      <c r="N88" s="15"/>
      <c r="O88" s="16" t="str">
        <f aca="false">IF(AND(OR(K88="At risk",K88="Late"),L88=""),"Add a reason code",IF(AND(L88="OTH",N88=""),"Explain OTH in notes",IF(AND(K88="Finished",I88&lt;H88,L88=""),"Add a reason code","")))</f>
        <v/>
      </c>
    </row>
    <row r="89" customFormat="false" ht="15" hidden="false" customHeight="false" outlineLevel="0" collapsed="false">
      <c r="A89" s="14"/>
      <c r="B89" s="15"/>
      <c r="C89" s="15"/>
      <c r="D89" s="15"/>
      <c r="E89" s="16" t="str">
        <f aca="false">IF(C89="","",IFERROR(INDEX(Drivers!$B:$B,MATCH(C89,Drivers!$A:$A,0)),"ID not found"))</f>
        <v/>
      </c>
      <c r="F89" s="16" t="str">
        <f aca="false">IF(B89="","",IFERROR(INDEX(Routes!$B:$B,MATCH(B89,Routes!$A:$A,0)),"ID not found"))</f>
        <v/>
      </c>
      <c r="G89" s="16" t="str">
        <f aca="false">IF(OR(B89="",C89="",D89=""),"",IF(OR(ISNA(MATCH(B89,Routes!$A:$A,0)),ISNA(MATCH(C89,Drivers!$A:$A,0)),ISNA(MATCH(D89,Vehicles!$A:$A,0))),"CHECK: ID not found",IF(INDEX(Routes!$C:$C,MATCH(B89,Routes!$A:$A,0))&lt;&gt;INDEX(Vehicles!$B:$B,MATCH(D89,Vehicles!$A:$A,0)),"CHECK: vehicle type does not fit route",IF(INDEX(Routes!$C:$C,MATCH(B89,Routes!$A:$A,0))&lt;&gt;INDEX(Drivers!$D:$D,MATCH(C89,Drivers!$A:$A,0)),"CHECK: driver type does not fit route",IF(OR(INDEX(Vehicles!$E:$E,MATCH(D89,Vehicles!$A:$A,0))="Workshop",INDEX(Vehicles!$E:$E,MATCH(D89,Vehicles!$A:$A,0))="Out of service"),"CHECK: vehicle not available",IF(INDEX(Drivers!$G:$G,MATCH(C89,Drivers!$A:$A,0))&lt;&gt;"Active","CHECK: driver not active",IF(COUNTIFS($A:$A,A89,$C:$C,C89)&gt;1,"CHECK: driver assigned twice",IF(COUNTIFS($A:$A,A89,$D:$D,D89)&gt;1,"CHECK: vehicle assigned twice","OK"))))))))</f>
        <v/>
      </c>
      <c r="H89" s="15"/>
      <c r="I89" s="15"/>
      <c r="J89" s="17" t="str">
        <f aca="false">IF(OR(H89="",H89=0),"",I89/H89)</f>
        <v/>
      </c>
      <c r="K89" s="15"/>
      <c r="L89" s="15"/>
      <c r="M89" s="18"/>
      <c r="N89" s="15"/>
      <c r="O89" s="16" t="str">
        <f aca="false">IF(AND(OR(K89="At risk",K89="Late"),L89=""),"Add a reason code",IF(AND(L89="OTH",N89=""),"Explain OTH in notes",IF(AND(K89="Finished",I89&lt;H89,L89=""),"Add a reason code","")))</f>
        <v/>
      </c>
    </row>
    <row r="90" customFormat="false" ht="15" hidden="false" customHeight="false" outlineLevel="0" collapsed="false">
      <c r="A90" s="14"/>
      <c r="B90" s="15"/>
      <c r="C90" s="15"/>
      <c r="D90" s="15"/>
      <c r="E90" s="16" t="str">
        <f aca="false">IF(C90="","",IFERROR(INDEX(Drivers!$B:$B,MATCH(C90,Drivers!$A:$A,0)),"ID not found"))</f>
        <v/>
      </c>
      <c r="F90" s="16" t="str">
        <f aca="false">IF(B90="","",IFERROR(INDEX(Routes!$B:$B,MATCH(B90,Routes!$A:$A,0)),"ID not found"))</f>
        <v/>
      </c>
      <c r="G90" s="16" t="str">
        <f aca="false">IF(OR(B90="",C90="",D90=""),"",IF(OR(ISNA(MATCH(B90,Routes!$A:$A,0)),ISNA(MATCH(C90,Drivers!$A:$A,0)),ISNA(MATCH(D90,Vehicles!$A:$A,0))),"CHECK: ID not found",IF(INDEX(Routes!$C:$C,MATCH(B90,Routes!$A:$A,0))&lt;&gt;INDEX(Vehicles!$B:$B,MATCH(D90,Vehicles!$A:$A,0)),"CHECK: vehicle type does not fit route",IF(INDEX(Routes!$C:$C,MATCH(B90,Routes!$A:$A,0))&lt;&gt;INDEX(Drivers!$D:$D,MATCH(C90,Drivers!$A:$A,0)),"CHECK: driver type does not fit route",IF(OR(INDEX(Vehicles!$E:$E,MATCH(D90,Vehicles!$A:$A,0))="Workshop",INDEX(Vehicles!$E:$E,MATCH(D90,Vehicles!$A:$A,0))="Out of service"),"CHECK: vehicle not available",IF(INDEX(Drivers!$G:$G,MATCH(C90,Drivers!$A:$A,0))&lt;&gt;"Active","CHECK: driver not active",IF(COUNTIFS($A:$A,A90,$C:$C,C90)&gt;1,"CHECK: driver assigned twice",IF(COUNTIFS($A:$A,A90,$D:$D,D90)&gt;1,"CHECK: vehicle assigned twice","OK"))))))))</f>
        <v/>
      </c>
      <c r="H90" s="15"/>
      <c r="I90" s="15"/>
      <c r="J90" s="17" t="str">
        <f aca="false">IF(OR(H90="",H90=0),"",I90/H90)</f>
        <v/>
      </c>
      <c r="K90" s="15"/>
      <c r="L90" s="15"/>
      <c r="M90" s="18"/>
      <c r="N90" s="15"/>
      <c r="O90" s="16" t="str">
        <f aca="false">IF(AND(OR(K90="At risk",K90="Late"),L90=""),"Add a reason code",IF(AND(L90="OTH",N90=""),"Explain OTH in notes",IF(AND(K90="Finished",I90&lt;H90,L90=""),"Add a reason code","")))</f>
        <v/>
      </c>
    </row>
    <row r="91" customFormat="false" ht="15" hidden="false" customHeight="false" outlineLevel="0" collapsed="false">
      <c r="A91" s="14"/>
      <c r="B91" s="15"/>
      <c r="C91" s="15"/>
      <c r="D91" s="15"/>
      <c r="E91" s="16" t="str">
        <f aca="false">IF(C91="","",IFERROR(INDEX(Drivers!$B:$B,MATCH(C91,Drivers!$A:$A,0)),"ID not found"))</f>
        <v/>
      </c>
      <c r="F91" s="16" t="str">
        <f aca="false">IF(B91="","",IFERROR(INDEX(Routes!$B:$B,MATCH(B91,Routes!$A:$A,0)),"ID not found"))</f>
        <v/>
      </c>
      <c r="G91" s="16" t="str">
        <f aca="false">IF(OR(B91="",C91="",D91=""),"",IF(OR(ISNA(MATCH(B91,Routes!$A:$A,0)),ISNA(MATCH(C91,Drivers!$A:$A,0)),ISNA(MATCH(D91,Vehicles!$A:$A,0))),"CHECK: ID not found",IF(INDEX(Routes!$C:$C,MATCH(B91,Routes!$A:$A,0))&lt;&gt;INDEX(Vehicles!$B:$B,MATCH(D91,Vehicles!$A:$A,0)),"CHECK: vehicle type does not fit route",IF(INDEX(Routes!$C:$C,MATCH(B91,Routes!$A:$A,0))&lt;&gt;INDEX(Drivers!$D:$D,MATCH(C91,Drivers!$A:$A,0)),"CHECK: driver type does not fit route",IF(OR(INDEX(Vehicles!$E:$E,MATCH(D91,Vehicles!$A:$A,0))="Workshop",INDEX(Vehicles!$E:$E,MATCH(D91,Vehicles!$A:$A,0))="Out of service"),"CHECK: vehicle not available",IF(INDEX(Drivers!$G:$G,MATCH(C91,Drivers!$A:$A,0))&lt;&gt;"Active","CHECK: driver not active",IF(COUNTIFS($A:$A,A91,$C:$C,C91)&gt;1,"CHECK: driver assigned twice",IF(COUNTIFS($A:$A,A91,$D:$D,D91)&gt;1,"CHECK: vehicle assigned twice","OK"))))))))</f>
        <v/>
      </c>
      <c r="H91" s="15"/>
      <c r="I91" s="15"/>
      <c r="J91" s="17" t="str">
        <f aca="false">IF(OR(H91="",H91=0),"",I91/H91)</f>
        <v/>
      </c>
      <c r="K91" s="15"/>
      <c r="L91" s="15"/>
      <c r="M91" s="18"/>
      <c r="N91" s="15"/>
      <c r="O91" s="16" t="str">
        <f aca="false">IF(AND(OR(K91="At risk",K91="Late"),L91=""),"Add a reason code",IF(AND(L91="OTH",N91=""),"Explain OTH in notes",IF(AND(K91="Finished",I91&lt;H91,L91=""),"Add a reason code","")))</f>
        <v/>
      </c>
    </row>
    <row r="92" customFormat="false" ht="15" hidden="false" customHeight="false" outlineLevel="0" collapsed="false">
      <c r="A92" s="14"/>
      <c r="B92" s="15"/>
      <c r="C92" s="15"/>
      <c r="D92" s="15"/>
      <c r="E92" s="16" t="str">
        <f aca="false">IF(C92="","",IFERROR(INDEX(Drivers!$B:$B,MATCH(C92,Drivers!$A:$A,0)),"ID not found"))</f>
        <v/>
      </c>
      <c r="F92" s="16" t="str">
        <f aca="false">IF(B92="","",IFERROR(INDEX(Routes!$B:$B,MATCH(B92,Routes!$A:$A,0)),"ID not found"))</f>
        <v/>
      </c>
      <c r="G92" s="16" t="str">
        <f aca="false">IF(OR(B92="",C92="",D92=""),"",IF(OR(ISNA(MATCH(B92,Routes!$A:$A,0)),ISNA(MATCH(C92,Drivers!$A:$A,0)),ISNA(MATCH(D92,Vehicles!$A:$A,0))),"CHECK: ID not found",IF(INDEX(Routes!$C:$C,MATCH(B92,Routes!$A:$A,0))&lt;&gt;INDEX(Vehicles!$B:$B,MATCH(D92,Vehicles!$A:$A,0)),"CHECK: vehicle type does not fit route",IF(INDEX(Routes!$C:$C,MATCH(B92,Routes!$A:$A,0))&lt;&gt;INDEX(Drivers!$D:$D,MATCH(C92,Drivers!$A:$A,0)),"CHECK: driver type does not fit route",IF(OR(INDEX(Vehicles!$E:$E,MATCH(D92,Vehicles!$A:$A,0))="Workshop",INDEX(Vehicles!$E:$E,MATCH(D92,Vehicles!$A:$A,0))="Out of service"),"CHECK: vehicle not available",IF(INDEX(Drivers!$G:$G,MATCH(C92,Drivers!$A:$A,0))&lt;&gt;"Active","CHECK: driver not active",IF(COUNTIFS($A:$A,A92,$C:$C,C92)&gt;1,"CHECK: driver assigned twice",IF(COUNTIFS($A:$A,A92,$D:$D,D92)&gt;1,"CHECK: vehicle assigned twice","OK"))))))))</f>
        <v/>
      </c>
      <c r="H92" s="15"/>
      <c r="I92" s="15"/>
      <c r="J92" s="17" t="str">
        <f aca="false">IF(OR(H92="",H92=0),"",I92/H92)</f>
        <v/>
      </c>
      <c r="K92" s="15"/>
      <c r="L92" s="15"/>
      <c r="M92" s="18"/>
      <c r="N92" s="15"/>
      <c r="O92" s="16" t="str">
        <f aca="false">IF(AND(OR(K92="At risk",K92="Late"),L92=""),"Add a reason code",IF(AND(L92="OTH",N92=""),"Explain OTH in notes",IF(AND(K92="Finished",I92&lt;H92,L92=""),"Add a reason code","")))</f>
        <v/>
      </c>
    </row>
    <row r="93" customFormat="false" ht="15" hidden="false" customHeight="false" outlineLevel="0" collapsed="false">
      <c r="A93" s="14"/>
      <c r="B93" s="15"/>
      <c r="C93" s="15"/>
      <c r="D93" s="15"/>
      <c r="E93" s="16" t="str">
        <f aca="false">IF(C93="","",IFERROR(INDEX(Drivers!$B:$B,MATCH(C93,Drivers!$A:$A,0)),"ID not found"))</f>
        <v/>
      </c>
      <c r="F93" s="16" t="str">
        <f aca="false">IF(B93="","",IFERROR(INDEX(Routes!$B:$B,MATCH(B93,Routes!$A:$A,0)),"ID not found"))</f>
        <v/>
      </c>
      <c r="G93" s="16" t="str">
        <f aca="false">IF(OR(B93="",C93="",D93=""),"",IF(OR(ISNA(MATCH(B93,Routes!$A:$A,0)),ISNA(MATCH(C93,Drivers!$A:$A,0)),ISNA(MATCH(D93,Vehicles!$A:$A,0))),"CHECK: ID not found",IF(INDEX(Routes!$C:$C,MATCH(B93,Routes!$A:$A,0))&lt;&gt;INDEX(Vehicles!$B:$B,MATCH(D93,Vehicles!$A:$A,0)),"CHECK: vehicle type does not fit route",IF(INDEX(Routes!$C:$C,MATCH(B93,Routes!$A:$A,0))&lt;&gt;INDEX(Drivers!$D:$D,MATCH(C93,Drivers!$A:$A,0)),"CHECK: driver type does not fit route",IF(OR(INDEX(Vehicles!$E:$E,MATCH(D93,Vehicles!$A:$A,0))="Workshop",INDEX(Vehicles!$E:$E,MATCH(D93,Vehicles!$A:$A,0))="Out of service"),"CHECK: vehicle not available",IF(INDEX(Drivers!$G:$G,MATCH(C93,Drivers!$A:$A,0))&lt;&gt;"Active","CHECK: driver not active",IF(COUNTIFS($A:$A,A93,$C:$C,C93)&gt;1,"CHECK: driver assigned twice",IF(COUNTIFS($A:$A,A93,$D:$D,D93)&gt;1,"CHECK: vehicle assigned twice","OK"))))))))</f>
        <v/>
      </c>
      <c r="H93" s="15"/>
      <c r="I93" s="15"/>
      <c r="J93" s="17" t="str">
        <f aca="false">IF(OR(H93="",H93=0),"",I93/H93)</f>
        <v/>
      </c>
      <c r="K93" s="15"/>
      <c r="L93" s="15"/>
      <c r="M93" s="18"/>
      <c r="N93" s="15"/>
      <c r="O93" s="16" t="str">
        <f aca="false">IF(AND(OR(K93="At risk",K93="Late"),L93=""),"Add a reason code",IF(AND(L93="OTH",N93=""),"Explain OTH in notes",IF(AND(K93="Finished",I93&lt;H93,L93=""),"Add a reason code","")))</f>
        <v/>
      </c>
    </row>
    <row r="94" customFormat="false" ht="15" hidden="false" customHeight="false" outlineLevel="0" collapsed="false">
      <c r="A94" s="14"/>
      <c r="B94" s="15"/>
      <c r="C94" s="15"/>
      <c r="D94" s="15"/>
      <c r="E94" s="16" t="str">
        <f aca="false">IF(C94="","",IFERROR(INDEX(Drivers!$B:$B,MATCH(C94,Drivers!$A:$A,0)),"ID not found"))</f>
        <v/>
      </c>
      <c r="F94" s="16" t="str">
        <f aca="false">IF(B94="","",IFERROR(INDEX(Routes!$B:$B,MATCH(B94,Routes!$A:$A,0)),"ID not found"))</f>
        <v/>
      </c>
      <c r="G94" s="16" t="str">
        <f aca="false">IF(OR(B94="",C94="",D94=""),"",IF(OR(ISNA(MATCH(B94,Routes!$A:$A,0)),ISNA(MATCH(C94,Drivers!$A:$A,0)),ISNA(MATCH(D94,Vehicles!$A:$A,0))),"CHECK: ID not found",IF(INDEX(Routes!$C:$C,MATCH(B94,Routes!$A:$A,0))&lt;&gt;INDEX(Vehicles!$B:$B,MATCH(D94,Vehicles!$A:$A,0)),"CHECK: vehicle type does not fit route",IF(INDEX(Routes!$C:$C,MATCH(B94,Routes!$A:$A,0))&lt;&gt;INDEX(Drivers!$D:$D,MATCH(C94,Drivers!$A:$A,0)),"CHECK: driver type does not fit route",IF(OR(INDEX(Vehicles!$E:$E,MATCH(D94,Vehicles!$A:$A,0))="Workshop",INDEX(Vehicles!$E:$E,MATCH(D94,Vehicles!$A:$A,0))="Out of service"),"CHECK: vehicle not available",IF(INDEX(Drivers!$G:$G,MATCH(C94,Drivers!$A:$A,0))&lt;&gt;"Active","CHECK: driver not active",IF(COUNTIFS($A:$A,A94,$C:$C,C94)&gt;1,"CHECK: driver assigned twice",IF(COUNTIFS($A:$A,A94,$D:$D,D94)&gt;1,"CHECK: vehicle assigned twice","OK"))))))))</f>
        <v/>
      </c>
      <c r="H94" s="15"/>
      <c r="I94" s="15"/>
      <c r="J94" s="17" t="str">
        <f aca="false">IF(OR(H94="",H94=0),"",I94/H94)</f>
        <v/>
      </c>
      <c r="K94" s="15"/>
      <c r="L94" s="15"/>
      <c r="M94" s="18"/>
      <c r="N94" s="15"/>
      <c r="O94" s="16" t="str">
        <f aca="false">IF(AND(OR(K94="At risk",K94="Late"),L94=""),"Add a reason code",IF(AND(L94="OTH",N94=""),"Explain OTH in notes",IF(AND(K94="Finished",I94&lt;H94,L94=""),"Add a reason code","")))</f>
        <v/>
      </c>
    </row>
    <row r="95" customFormat="false" ht="15" hidden="false" customHeight="false" outlineLevel="0" collapsed="false">
      <c r="A95" s="14"/>
      <c r="B95" s="15"/>
      <c r="C95" s="15"/>
      <c r="D95" s="15"/>
      <c r="E95" s="16" t="str">
        <f aca="false">IF(C95="","",IFERROR(INDEX(Drivers!$B:$B,MATCH(C95,Drivers!$A:$A,0)),"ID not found"))</f>
        <v/>
      </c>
      <c r="F95" s="16" t="str">
        <f aca="false">IF(B95="","",IFERROR(INDEX(Routes!$B:$B,MATCH(B95,Routes!$A:$A,0)),"ID not found"))</f>
        <v/>
      </c>
      <c r="G95" s="16" t="str">
        <f aca="false">IF(OR(B95="",C95="",D95=""),"",IF(OR(ISNA(MATCH(B95,Routes!$A:$A,0)),ISNA(MATCH(C95,Drivers!$A:$A,0)),ISNA(MATCH(D95,Vehicles!$A:$A,0))),"CHECK: ID not found",IF(INDEX(Routes!$C:$C,MATCH(B95,Routes!$A:$A,0))&lt;&gt;INDEX(Vehicles!$B:$B,MATCH(D95,Vehicles!$A:$A,0)),"CHECK: vehicle type does not fit route",IF(INDEX(Routes!$C:$C,MATCH(B95,Routes!$A:$A,0))&lt;&gt;INDEX(Drivers!$D:$D,MATCH(C95,Drivers!$A:$A,0)),"CHECK: driver type does not fit route",IF(OR(INDEX(Vehicles!$E:$E,MATCH(D95,Vehicles!$A:$A,0))="Workshop",INDEX(Vehicles!$E:$E,MATCH(D95,Vehicles!$A:$A,0))="Out of service"),"CHECK: vehicle not available",IF(INDEX(Drivers!$G:$G,MATCH(C95,Drivers!$A:$A,0))&lt;&gt;"Active","CHECK: driver not active",IF(COUNTIFS($A:$A,A95,$C:$C,C95)&gt;1,"CHECK: driver assigned twice",IF(COUNTIFS($A:$A,A95,$D:$D,D95)&gt;1,"CHECK: vehicle assigned twice","OK"))))))))</f>
        <v/>
      </c>
      <c r="H95" s="15"/>
      <c r="I95" s="15"/>
      <c r="J95" s="17" t="str">
        <f aca="false">IF(OR(H95="",H95=0),"",I95/H95)</f>
        <v/>
      </c>
      <c r="K95" s="15"/>
      <c r="L95" s="15"/>
      <c r="M95" s="18"/>
      <c r="N95" s="15"/>
      <c r="O95" s="16" t="str">
        <f aca="false">IF(AND(OR(K95="At risk",K95="Late"),L95=""),"Add a reason code",IF(AND(L95="OTH",N95=""),"Explain OTH in notes",IF(AND(K95="Finished",I95&lt;H95,L95=""),"Add a reason code","")))</f>
        <v/>
      </c>
    </row>
    <row r="96" customFormat="false" ht="15" hidden="false" customHeight="false" outlineLevel="0" collapsed="false">
      <c r="A96" s="14"/>
      <c r="B96" s="15"/>
      <c r="C96" s="15"/>
      <c r="D96" s="15"/>
      <c r="E96" s="16" t="str">
        <f aca="false">IF(C96="","",IFERROR(INDEX(Drivers!$B:$B,MATCH(C96,Drivers!$A:$A,0)),"ID not found"))</f>
        <v/>
      </c>
      <c r="F96" s="16" t="str">
        <f aca="false">IF(B96="","",IFERROR(INDEX(Routes!$B:$B,MATCH(B96,Routes!$A:$A,0)),"ID not found"))</f>
        <v/>
      </c>
      <c r="G96" s="16" t="str">
        <f aca="false">IF(OR(B96="",C96="",D96=""),"",IF(OR(ISNA(MATCH(B96,Routes!$A:$A,0)),ISNA(MATCH(C96,Drivers!$A:$A,0)),ISNA(MATCH(D96,Vehicles!$A:$A,0))),"CHECK: ID not found",IF(INDEX(Routes!$C:$C,MATCH(B96,Routes!$A:$A,0))&lt;&gt;INDEX(Vehicles!$B:$B,MATCH(D96,Vehicles!$A:$A,0)),"CHECK: vehicle type does not fit route",IF(INDEX(Routes!$C:$C,MATCH(B96,Routes!$A:$A,0))&lt;&gt;INDEX(Drivers!$D:$D,MATCH(C96,Drivers!$A:$A,0)),"CHECK: driver type does not fit route",IF(OR(INDEX(Vehicles!$E:$E,MATCH(D96,Vehicles!$A:$A,0))="Workshop",INDEX(Vehicles!$E:$E,MATCH(D96,Vehicles!$A:$A,0))="Out of service"),"CHECK: vehicle not available",IF(INDEX(Drivers!$G:$G,MATCH(C96,Drivers!$A:$A,0))&lt;&gt;"Active","CHECK: driver not active",IF(COUNTIFS($A:$A,A96,$C:$C,C96)&gt;1,"CHECK: driver assigned twice",IF(COUNTIFS($A:$A,A96,$D:$D,D96)&gt;1,"CHECK: vehicle assigned twice","OK"))))))))</f>
        <v/>
      </c>
      <c r="H96" s="15"/>
      <c r="I96" s="15"/>
      <c r="J96" s="17" t="str">
        <f aca="false">IF(OR(H96="",H96=0),"",I96/H96)</f>
        <v/>
      </c>
      <c r="K96" s="15"/>
      <c r="L96" s="15"/>
      <c r="M96" s="18"/>
      <c r="N96" s="15"/>
      <c r="O96" s="16" t="str">
        <f aca="false">IF(AND(OR(K96="At risk",K96="Late"),L96=""),"Add a reason code",IF(AND(L96="OTH",N96=""),"Explain OTH in notes",IF(AND(K96="Finished",I96&lt;H96,L96=""),"Add a reason code","")))</f>
        <v/>
      </c>
    </row>
    <row r="97" customFormat="false" ht="15" hidden="false" customHeight="false" outlineLevel="0" collapsed="false">
      <c r="A97" s="14"/>
      <c r="B97" s="15"/>
      <c r="C97" s="15"/>
      <c r="D97" s="15"/>
      <c r="E97" s="16" t="str">
        <f aca="false">IF(C97="","",IFERROR(INDEX(Drivers!$B:$B,MATCH(C97,Drivers!$A:$A,0)),"ID not found"))</f>
        <v/>
      </c>
      <c r="F97" s="16" t="str">
        <f aca="false">IF(B97="","",IFERROR(INDEX(Routes!$B:$B,MATCH(B97,Routes!$A:$A,0)),"ID not found"))</f>
        <v/>
      </c>
      <c r="G97" s="16" t="str">
        <f aca="false">IF(OR(B97="",C97="",D97=""),"",IF(OR(ISNA(MATCH(B97,Routes!$A:$A,0)),ISNA(MATCH(C97,Drivers!$A:$A,0)),ISNA(MATCH(D97,Vehicles!$A:$A,0))),"CHECK: ID not found",IF(INDEX(Routes!$C:$C,MATCH(B97,Routes!$A:$A,0))&lt;&gt;INDEX(Vehicles!$B:$B,MATCH(D97,Vehicles!$A:$A,0)),"CHECK: vehicle type does not fit route",IF(INDEX(Routes!$C:$C,MATCH(B97,Routes!$A:$A,0))&lt;&gt;INDEX(Drivers!$D:$D,MATCH(C97,Drivers!$A:$A,0)),"CHECK: driver type does not fit route",IF(OR(INDEX(Vehicles!$E:$E,MATCH(D97,Vehicles!$A:$A,0))="Workshop",INDEX(Vehicles!$E:$E,MATCH(D97,Vehicles!$A:$A,0))="Out of service"),"CHECK: vehicle not available",IF(INDEX(Drivers!$G:$G,MATCH(C97,Drivers!$A:$A,0))&lt;&gt;"Active","CHECK: driver not active",IF(COUNTIFS($A:$A,A97,$C:$C,C97)&gt;1,"CHECK: driver assigned twice",IF(COUNTIFS($A:$A,A97,$D:$D,D97)&gt;1,"CHECK: vehicle assigned twice","OK"))))))))</f>
        <v/>
      </c>
      <c r="H97" s="15"/>
      <c r="I97" s="15"/>
      <c r="J97" s="17" t="str">
        <f aca="false">IF(OR(H97="",H97=0),"",I97/H97)</f>
        <v/>
      </c>
      <c r="K97" s="15"/>
      <c r="L97" s="15"/>
      <c r="M97" s="18"/>
      <c r="N97" s="15"/>
      <c r="O97" s="16" t="str">
        <f aca="false">IF(AND(OR(K97="At risk",K97="Late"),L97=""),"Add a reason code",IF(AND(L97="OTH",N97=""),"Explain OTH in notes",IF(AND(K97="Finished",I97&lt;H97,L97=""),"Add a reason code","")))</f>
        <v/>
      </c>
    </row>
    <row r="98" customFormat="false" ht="15" hidden="false" customHeight="false" outlineLevel="0" collapsed="false">
      <c r="A98" s="14"/>
      <c r="B98" s="15"/>
      <c r="C98" s="15"/>
      <c r="D98" s="15"/>
      <c r="E98" s="16" t="str">
        <f aca="false">IF(C98="","",IFERROR(INDEX(Drivers!$B:$B,MATCH(C98,Drivers!$A:$A,0)),"ID not found"))</f>
        <v/>
      </c>
      <c r="F98" s="16" t="str">
        <f aca="false">IF(B98="","",IFERROR(INDEX(Routes!$B:$B,MATCH(B98,Routes!$A:$A,0)),"ID not found"))</f>
        <v/>
      </c>
      <c r="G98" s="16" t="str">
        <f aca="false">IF(OR(B98="",C98="",D98=""),"",IF(OR(ISNA(MATCH(B98,Routes!$A:$A,0)),ISNA(MATCH(C98,Drivers!$A:$A,0)),ISNA(MATCH(D98,Vehicles!$A:$A,0))),"CHECK: ID not found",IF(INDEX(Routes!$C:$C,MATCH(B98,Routes!$A:$A,0))&lt;&gt;INDEX(Vehicles!$B:$B,MATCH(D98,Vehicles!$A:$A,0)),"CHECK: vehicle type does not fit route",IF(INDEX(Routes!$C:$C,MATCH(B98,Routes!$A:$A,0))&lt;&gt;INDEX(Drivers!$D:$D,MATCH(C98,Drivers!$A:$A,0)),"CHECK: driver type does not fit route",IF(OR(INDEX(Vehicles!$E:$E,MATCH(D98,Vehicles!$A:$A,0))="Workshop",INDEX(Vehicles!$E:$E,MATCH(D98,Vehicles!$A:$A,0))="Out of service"),"CHECK: vehicle not available",IF(INDEX(Drivers!$G:$G,MATCH(C98,Drivers!$A:$A,0))&lt;&gt;"Active","CHECK: driver not active",IF(COUNTIFS($A:$A,A98,$C:$C,C98)&gt;1,"CHECK: driver assigned twice",IF(COUNTIFS($A:$A,A98,$D:$D,D98)&gt;1,"CHECK: vehicle assigned twice","OK"))))))))</f>
        <v/>
      </c>
      <c r="H98" s="15"/>
      <c r="I98" s="15"/>
      <c r="J98" s="17" t="str">
        <f aca="false">IF(OR(H98="",H98=0),"",I98/H98)</f>
        <v/>
      </c>
      <c r="K98" s="15"/>
      <c r="L98" s="15"/>
      <c r="M98" s="18"/>
      <c r="N98" s="15"/>
      <c r="O98" s="16" t="str">
        <f aca="false">IF(AND(OR(K98="At risk",K98="Late"),L98=""),"Add a reason code",IF(AND(L98="OTH",N98=""),"Explain OTH in notes",IF(AND(K98="Finished",I98&lt;H98,L98=""),"Add a reason code","")))</f>
        <v/>
      </c>
    </row>
    <row r="99" customFormat="false" ht="15" hidden="false" customHeight="false" outlineLevel="0" collapsed="false">
      <c r="A99" s="14"/>
      <c r="B99" s="15"/>
      <c r="C99" s="15"/>
      <c r="D99" s="15"/>
      <c r="E99" s="16" t="str">
        <f aca="false">IF(C99="","",IFERROR(INDEX(Drivers!$B:$B,MATCH(C99,Drivers!$A:$A,0)),"ID not found"))</f>
        <v/>
      </c>
      <c r="F99" s="16" t="str">
        <f aca="false">IF(B99="","",IFERROR(INDEX(Routes!$B:$B,MATCH(B99,Routes!$A:$A,0)),"ID not found"))</f>
        <v/>
      </c>
      <c r="G99" s="16" t="str">
        <f aca="false">IF(OR(B99="",C99="",D99=""),"",IF(OR(ISNA(MATCH(B99,Routes!$A:$A,0)),ISNA(MATCH(C99,Drivers!$A:$A,0)),ISNA(MATCH(D99,Vehicles!$A:$A,0))),"CHECK: ID not found",IF(INDEX(Routes!$C:$C,MATCH(B99,Routes!$A:$A,0))&lt;&gt;INDEX(Vehicles!$B:$B,MATCH(D99,Vehicles!$A:$A,0)),"CHECK: vehicle type does not fit route",IF(INDEX(Routes!$C:$C,MATCH(B99,Routes!$A:$A,0))&lt;&gt;INDEX(Drivers!$D:$D,MATCH(C99,Drivers!$A:$A,0)),"CHECK: driver type does not fit route",IF(OR(INDEX(Vehicles!$E:$E,MATCH(D99,Vehicles!$A:$A,0))="Workshop",INDEX(Vehicles!$E:$E,MATCH(D99,Vehicles!$A:$A,0))="Out of service"),"CHECK: vehicle not available",IF(INDEX(Drivers!$G:$G,MATCH(C99,Drivers!$A:$A,0))&lt;&gt;"Active","CHECK: driver not active",IF(COUNTIFS($A:$A,A99,$C:$C,C99)&gt;1,"CHECK: driver assigned twice",IF(COUNTIFS($A:$A,A99,$D:$D,D99)&gt;1,"CHECK: vehicle assigned twice","OK"))))))))</f>
        <v/>
      </c>
      <c r="H99" s="15"/>
      <c r="I99" s="15"/>
      <c r="J99" s="17" t="str">
        <f aca="false">IF(OR(H99="",H99=0),"",I99/H99)</f>
        <v/>
      </c>
      <c r="K99" s="15"/>
      <c r="L99" s="15"/>
      <c r="M99" s="18"/>
      <c r="N99" s="15"/>
      <c r="O99" s="16" t="str">
        <f aca="false">IF(AND(OR(K99="At risk",K99="Late"),L99=""),"Add a reason code",IF(AND(L99="OTH",N99=""),"Explain OTH in notes",IF(AND(K99="Finished",I99&lt;H99,L99=""),"Add a reason code","")))</f>
        <v/>
      </c>
    </row>
    <row r="100" customFormat="false" ht="15" hidden="false" customHeight="false" outlineLevel="0" collapsed="false">
      <c r="A100" s="14"/>
      <c r="B100" s="15"/>
      <c r="C100" s="15"/>
      <c r="D100" s="15"/>
      <c r="E100" s="16" t="str">
        <f aca="false">IF(C100="","",IFERROR(INDEX(Drivers!$B:$B,MATCH(C100,Drivers!$A:$A,0)),"ID not found"))</f>
        <v/>
      </c>
      <c r="F100" s="16" t="str">
        <f aca="false">IF(B100="","",IFERROR(INDEX(Routes!$B:$B,MATCH(B100,Routes!$A:$A,0)),"ID not found"))</f>
        <v/>
      </c>
      <c r="G100" s="16" t="str">
        <f aca="false">IF(OR(B100="",C100="",D100=""),"",IF(OR(ISNA(MATCH(B100,Routes!$A:$A,0)),ISNA(MATCH(C100,Drivers!$A:$A,0)),ISNA(MATCH(D100,Vehicles!$A:$A,0))),"CHECK: ID not found",IF(INDEX(Routes!$C:$C,MATCH(B100,Routes!$A:$A,0))&lt;&gt;INDEX(Vehicles!$B:$B,MATCH(D100,Vehicles!$A:$A,0)),"CHECK: vehicle type does not fit route",IF(INDEX(Routes!$C:$C,MATCH(B100,Routes!$A:$A,0))&lt;&gt;INDEX(Drivers!$D:$D,MATCH(C100,Drivers!$A:$A,0)),"CHECK: driver type does not fit route",IF(OR(INDEX(Vehicles!$E:$E,MATCH(D100,Vehicles!$A:$A,0))="Workshop",INDEX(Vehicles!$E:$E,MATCH(D100,Vehicles!$A:$A,0))="Out of service"),"CHECK: vehicle not available",IF(INDEX(Drivers!$G:$G,MATCH(C100,Drivers!$A:$A,0))&lt;&gt;"Active","CHECK: driver not active",IF(COUNTIFS($A:$A,A100,$C:$C,C100)&gt;1,"CHECK: driver assigned twice",IF(COUNTIFS($A:$A,A100,$D:$D,D100)&gt;1,"CHECK: vehicle assigned twice","OK"))))))))</f>
        <v/>
      </c>
      <c r="H100" s="15"/>
      <c r="I100" s="15"/>
      <c r="J100" s="17" t="str">
        <f aca="false">IF(OR(H100="",H100=0),"",I100/H100)</f>
        <v/>
      </c>
      <c r="K100" s="15"/>
      <c r="L100" s="15"/>
      <c r="M100" s="18"/>
      <c r="N100" s="15"/>
      <c r="O100" s="16" t="str">
        <f aca="false">IF(AND(OR(K100="At risk",K100="Late"),L100=""),"Add a reason code",IF(AND(L100="OTH",N100=""),"Explain OTH in notes",IF(AND(K100="Finished",I100&lt;H100,L100=""),"Add a reason code","")))</f>
        <v/>
      </c>
    </row>
    <row r="101" customFormat="false" ht="15" hidden="false" customHeight="false" outlineLevel="0" collapsed="false">
      <c r="A101" s="14"/>
      <c r="B101" s="15"/>
      <c r="C101" s="15"/>
      <c r="D101" s="15"/>
      <c r="E101" s="16" t="str">
        <f aca="false">IF(C101="","",IFERROR(INDEX(Drivers!$B:$B,MATCH(C101,Drivers!$A:$A,0)),"ID not found"))</f>
        <v/>
      </c>
      <c r="F101" s="16" t="str">
        <f aca="false">IF(B101="","",IFERROR(INDEX(Routes!$B:$B,MATCH(B101,Routes!$A:$A,0)),"ID not found"))</f>
        <v/>
      </c>
      <c r="G101" s="16" t="str">
        <f aca="false">IF(OR(B101="",C101="",D101=""),"",IF(OR(ISNA(MATCH(B101,Routes!$A:$A,0)),ISNA(MATCH(C101,Drivers!$A:$A,0)),ISNA(MATCH(D101,Vehicles!$A:$A,0))),"CHECK: ID not found",IF(INDEX(Routes!$C:$C,MATCH(B101,Routes!$A:$A,0))&lt;&gt;INDEX(Vehicles!$B:$B,MATCH(D101,Vehicles!$A:$A,0)),"CHECK: vehicle type does not fit route",IF(INDEX(Routes!$C:$C,MATCH(B101,Routes!$A:$A,0))&lt;&gt;INDEX(Drivers!$D:$D,MATCH(C101,Drivers!$A:$A,0)),"CHECK: driver type does not fit route",IF(OR(INDEX(Vehicles!$E:$E,MATCH(D101,Vehicles!$A:$A,0))="Workshop",INDEX(Vehicles!$E:$E,MATCH(D101,Vehicles!$A:$A,0))="Out of service"),"CHECK: vehicle not available",IF(INDEX(Drivers!$G:$G,MATCH(C101,Drivers!$A:$A,0))&lt;&gt;"Active","CHECK: driver not active",IF(COUNTIFS($A:$A,A101,$C:$C,C101)&gt;1,"CHECK: driver assigned twice",IF(COUNTIFS($A:$A,A101,$D:$D,D101)&gt;1,"CHECK: vehicle assigned twice","OK"))))))))</f>
        <v/>
      </c>
      <c r="H101" s="15"/>
      <c r="I101" s="15"/>
      <c r="J101" s="17" t="str">
        <f aca="false">IF(OR(H101="",H101=0),"",I101/H101)</f>
        <v/>
      </c>
      <c r="K101" s="15"/>
      <c r="L101" s="15"/>
      <c r="M101" s="18"/>
      <c r="N101" s="15"/>
      <c r="O101" s="16" t="str">
        <f aca="false">IF(AND(OR(K101="At risk",K101="Late"),L101=""),"Add a reason code",IF(AND(L101="OTH",N101=""),"Explain OTH in notes",IF(AND(K101="Finished",I101&lt;H101,L101=""),"Add a reason code","")))</f>
        <v/>
      </c>
    </row>
    <row r="102" customFormat="false" ht="15" hidden="false" customHeight="false" outlineLevel="0" collapsed="false">
      <c r="A102" s="14"/>
      <c r="B102" s="15"/>
      <c r="C102" s="15"/>
      <c r="D102" s="15"/>
      <c r="E102" s="16" t="str">
        <f aca="false">IF(C102="","",IFERROR(INDEX(Drivers!$B:$B,MATCH(C102,Drivers!$A:$A,0)),"ID not found"))</f>
        <v/>
      </c>
      <c r="F102" s="16" t="str">
        <f aca="false">IF(B102="","",IFERROR(INDEX(Routes!$B:$B,MATCH(B102,Routes!$A:$A,0)),"ID not found"))</f>
        <v/>
      </c>
      <c r="G102" s="16" t="str">
        <f aca="false">IF(OR(B102="",C102="",D102=""),"",IF(OR(ISNA(MATCH(B102,Routes!$A:$A,0)),ISNA(MATCH(C102,Drivers!$A:$A,0)),ISNA(MATCH(D102,Vehicles!$A:$A,0))),"CHECK: ID not found",IF(INDEX(Routes!$C:$C,MATCH(B102,Routes!$A:$A,0))&lt;&gt;INDEX(Vehicles!$B:$B,MATCH(D102,Vehicles!$A:$A,0)),"CHECK: vehicle type does not fit route",IF(INDEX(Routes!$C:$C,MATCH(B102,Routes!$A:$A,0))&lt;&gt;INDEX(Drivers!$D:$D,MATCH(C102,Drivers!$A:$A,0)),"CHECK: driver type does not fit route",IF(OR(INDEX(Vehicles!$E:$E,MATCH(D102,Vehicles!$A:$A,0))="Workshop",INDEX(Vehicles!$E:$E,MATCH(D102,Vehicles!$A:$A,0))="Out of service"),"CHECK: vehicle not available",IF(INDEX(Drivers!$G:$G,MATCH(C102,Drivers!$A:$A,0))&lt;&gt;"Active","CHECK: driver not active",IF(COUNTIFS($A:$A,A102,$C:$C,C102)&gt;1,"CHECK: driver assigned twice",IF(COUNTIFS($A:$A,A102,$D:$D,D102)&gt;1,"CHECK: vehicle assigned twice","OK"))))))))</f>
        <v/>
      </c>
      <c r="H102" s="15"/>
      <c r="I102" s="15"/>
      <c r="J102" s="17" t="str">
        <f aca="false">IF(OR(H102="",H102=0),"",I102/H102)</f>
        <v/>
      </c>
      <c r="K102" s="15"/>
      <c r="L102" s="15"/>
      <c r="M102" s="18"/>
      <c r="N102" s="15"/>
      <c r="O102" s="16" t="str">
        <f aca="false">IF(AND(OR(K102="At risk",K102="Late"),L102=""),"Add a reason code",IF(AND(L102="OTH",N102=""),"Explain OTH in notes",IF(AND(K102="Finished",I102&lt;H102,L102=""),"Add a reason code","")))</f>
        <v/>
      </c>
    </row>
    <row r="103" customFormat="false" ht="15" hidden="false" customHeight="false" outlineLevel="0" collapsed="false">
      <c r="A103" s="14"/>
      <c r="B103" s="15"/>
      <c r="C103" s="15"/>
      <c r="D103" s="15"/>
      <c r="E103" s="16" t="str">
        <f aca="false">IF(C103="","",IFERROR(INDEX(Drivers!$B:$B,MATCH(C103,Drivers!$A:$A,0)),"ID not found"))</f>
        <v/>
      </c>
      <c r="F103" s="16" t="str">
        <f aca="false">IF(B103="","",IFERROR(INDEX(Routes!$B:$B,MATCH(B103,Routes!$A:$A,0)),"ID not found"))</f>
        <v/>
      </c>
      <c r="G103" s="16" t="str">
        <f aca="false">IF(OR(B103="",C103="",D103=""),"",IF(OR(ISNA(MATCH(B103,Routes!$A:$A,0)),ISNA(MATCH(C103,Drivers!$A:$A,0)),ISNA(MATCH(D103,Vehicles!$A:$A,0))),"CHECK: ID not found",IF(INDEX(Routes!$C:$C,MATCH(B103,Routes!$A:$A,0))&lt;&gt;INDEX(Vehicles!$B:$B,MATCH(D103,Vehicles!$A:$A,0)),"CHECK: vehicle type does not fit route",IF(INDEX(Routes!$C:$C,MATCH(B103,Routes!$A:$A,0))&lt;&gt;INDEX(Drivers!$D:$D,MATCH(C103,Drivers!$A:$A,0)),"CHECK: driver type does not fit route",IF(OR(INDEX(Vehicles!$E:$E,MATCH(D103,Vehicles!$A:$A,0))="Workshop",INDEX(Vehicles!$E:$E,MATCH(D103,Vehicles!$A:$A,0))="Out of service"),"CHECK: vehicle not available",IF(INDEX(Drivers!$G:$G,MATCH(C103,Drivers!$A:$A,0))&lt;&gt;"Active","CHECK: driver not active",IF(COUNTIFS($A:$A,A103,$C:$C,C103)&gt;1,"CHECK: driver assigned twice",IF(COUNTIFS($A:$A,A103,$D:$D,D103)&gt;1,"CHECK: vehicle assigned twice","OK"))))))))</f>
        <v/>
      </c>
      <c r="H103" s="15"/>
      <c r="I103" s="15"/>
      <c r="J103" s="17" t="str">
        <f aca="false">IF(OR(H103="",H103=0),"",I103/H103)</f>
        <v/>
      </c>
      <c r="K103" s="15"/>
      <c r="L103" s="15"/>
      <c r="M103" s="18"/>
      <c r="N103" s="15"/>
      <c r="O103" s="16" t="str">
        <f aca="false">IF(AND(OR(K103="At risk",K103="Late"),L103=""),"Add a reason code",IF(AND(L103="OTH",N103=""),"Explain OTH in notes",IF(AND(K103="Finished",I103&lt;H103,L103=""),"Add a reason code","")))</f>
        <v/>
      </c>
    </row>
    <row r="104" customFormat="false" ht="15" hidden="false" customHeight="false" outlineLevel="0" collapsed="false">
      <c r="A104" s="14"/>
      <c r="B104" s="15"/>
      <c r="C104" s="15"/>
      <c r="D104" s="15"/>
      <c r="E104" s="16" t="str">
        <f aca="false">IF(C104="","",IFERROR(INDEX(Drivers!$B:$B,MATCH(C104,Drivers!$A:$A,0)),"ID not found"))</f>
        <v/>
      </c>
      <c r="F104" s="16" t="str">
        <f aca="false">IF(B104="","",IFERROR(INDEX(Routes!$B:$B,MATCH(B104,Routes!$A:$A,0)),"ID not found"))</f>
        <v/>
      </c>
      <c r="G104" s="16" t="str">
        <f aca="false">IF(OR(B104="",C104="",D104=""),"",IF(OR(ISNA(MATCH(B104,Routes!$A:$A,0)),ISNA(MATCH(C104,Drivers!$A:$A,0)),ISNA(MATCH(D104,Vehicles!$A:$A,0))),"CHECK: ID not found",IF(INDEX(Routes!$C:$C,MATCH(B104,Routes!$A:$A,0))&lt;&gt;INDEX(Vehicles!$B:$B,MATCH(D104,Vehicles!$A:$A,0)),"CHECK: vehicle type does not fit route",IF(INDEX(Routes!$C:$C,MATCH(B104,Routes!$A:$A,0))&lt;&gt;INDEX(Drivers!$D:$D,MATCH(C104,Drivers!$A:$A,0)),"CHECK: driver type does not fit route",IF(OR(INDEX(Vehicles!$E:$E,MATCH(D104,Vehicles!$A:$A,0))="Workshop",INDEX(Vehicles!$E:$E,MATCH(D104,Vehicles!$A:$A,0))="Out of service"),"CHECK: vehicle not available",IF(INDEX(Drivers!$G:$G,MATCH(C104,Drivers!$A:$A,0))&lt;&gt;"Active","CHECK: driver not active",IF(COUNTIFS($A:$A,A104,$C:$C,C104)&gt;1,"CHECK: driver assigned twice",IF(COUNTIFS($A:$A,A104,$D:$D,D104)&gt;1,"CHECK: vehicle assigned twice","OK"))))))))</f>
        <v/>
      </c>
      <c r="H104" s="15"/>
      <c r="I104" s="15"/>
      <c r="J104" s="17" t="str">
        <f aca="false">IF(OR(H104="",H104=0),"",I104/H104)</f>
        <v/>
      </c>
      <c r="K104" s="15"/>
      <c r="L104" s="15"/>
      <c r="M104" s="18"/>
      <c r="N104" s="15"/>
      <c r="O104" s="16" t="str">
        <f aca="false">IF(AND(OR(K104="At risk",K104="Late"),L104=""),"Add a reason code",IF(AND(L104="OTH",N104=""),"Explain OTH in notes",IF(AND(K104="Finished",I104&lt;H104,L104=""),"Add a reason code","")))</f>
        <v/>
      </c>
    </row>
    <row r="105" customFormat="false" ht="15" hidden="false" customHeight="false" outlineLevel="0" collapsed="false">
      <c r="A105" s="14"/>
      <c r="B105" s="15"/>
      <c r="C105" s="15"/>
      <c r="D105" s="15"/>
      <c r="E105" s="16" t="str">
        <f aca="false">IF(C105="","",IFERROR(INDEX(Drivers!$B:$B,MATCH(C105,Drivers!$A:$A,0)),"ID not found"))</f>
        <v/>
      </c>
      <c r="F105" s="16" t="str">
        <f aca="false">IF(B105="","",IFERROR(INDEX(Routes!$B:$B,MATCH(B105,Routes!$A:$A,0)),"ID not found"))</f>
        <v/>
      </c>
      <c r="G105" s="16" t="str">
        <f aca="false">IF(OR(B105="",C105="",D105=""),"",IF(OR(ISNA(MATCH(B105,Routes!$A:$A,0)),ISNA(MATCH(C105,Drivers!$A:$A,0)),ISNA(MATCH(D105,Vehicles!$A:$A,0))),"CHECK: ID not found",IF(INDEX(Routes!$C:$C,MATCH(B105,Routes!$A:$A,0))&lt;&gt;INDEX(Vehicles!$B:$B,MATCH(D105,Vehicles!$A:$A,0)),"CHECK: vehicle type does not fit route",IF(INDEX(Routes!$C:$C,MATCH(B105,Routes!$A:$A,0))&lt;&gt;INDEX(Drivers!$D:$D,MATCH(C105,Drivers!$A:$A,0)),"CHECK: driver type does not fit route",IF(OR(INDEX(Vehicles!$E:$E,MATCH(D105,Vehicles!$A:$A,0))="Workshop",INDEX(Vehicles!$E:$E,MATCH(D105,Vehicles!$A:$A,0))="Out of service"),"CHECK: vehicle not available",IF(INDEX(Drivers!$G:$G,MATCH(C105,Drivers!$A:$A,0))&lt;&gt;"Active","CHECK: driver not active",IF(COUNTIFS($A:$A,A105,$C:$C,C105)&gt;1,"CHECK: driver assigned twice",IF(COUNTIFS($A:$A,A105,$D:$D,D105)&gt;1,"CHECK: vehicle assigned twice","OK"))))))))</f>
        <v/>
      </c>
      <c r="H105" s="15"/>
      <c r="I105" s="15"/>
      <c r="J105" s="17" t="str">
        <f aca="false">IF(OR(H105="",H105=0),"",I105/H105)</f>
        <v/>
      </c>
      <c r="K105" s="15"/>
      <c r="L105" s="15"/>
      <c r="M105" s="18"/>
      <c r="N105" s="15"/>
      <c r="O105" s="16" t="str">
        <f aca="false">IF(AND(OR(K105="At risk",K105="Late"),L105=""),"Add a reason code",IF(AND(L105="OTH",N105=""),"Explain OTH in notes",IF(AND(K105="Finished",I105&lt;H105,L105=""),"Add a reason code","")))</f>
        <v/>
      </c>
    </row>
    <row r="106" customFormat="false" ht="15" hidden="false" customHeight="false" outlineLevel="0" collapsed="false">
      <c r="A106" s="14"/>
      <c r="B106" s="15"/>
      <c r="C106" s="15"/>
      <c r="D106" s="15"/>
      <c r="E106" s="16" t="str">
        <f aca="false">IF(C106="","",IFERROR(INDEX(Drivers!$B:$B,MATCH(C106,Drivers!$A:$A,0)),"ID not found"))</f>
        <v/>
      </c>
      <c r="F106" s="16" t="str">
        <f aca="false">IF(B106="","",IFERROR(INDEX(Routes!$B:$B,MATCH(B106,Routes!$A:$A,0)),"ID not found"))</f>
        <v/>
      </c>
      <c r="G106" s="16" t="str">
        <f aca="false">IF(OR(B106="",C106="",D106=""),"",IF(OR(ISNA(MATCH(B106,Routes!$A:$A,0)),ISNA(MATCH(C106,Drivers!$A:$A,0)),ISNA(MATCH(D106,Vehicles!$A:$A,0))),"CHECK: ID not found",IF(INDEX(Routes!$C:$C,MATCH(B106,Routes!$A:$A,0))&lt;&gt;INDEX(Vehicles!$B:$B,MATCH(D106,Vehicles!$A:$A,0)),"CHECK: vehicle type does not fit route",IF(INDEX(Routes!$C:$C,MATCH(B106,Routes!$A:$A,0))&lt;&gt;INDEX(Drivers!$D:$D,MATCH(C106,Drivers!$A:$A,0)),"CHECK: driver type does not fit route",IF(OR(INDEX(Vehicles!$E:$E,MATCH(D106,Vehicles!$A:$A,0))="Workshop",INDEX(Vehicles!$E:$E,MATCH(D106,Vehicles!$A:$A,0))="Out of service"),"CHECK: vehicle not available",IF(INDEX(Drivers!$G:$G,MATCH(C106,Drivers!$A:$A,0))&lt;&gt;"Active","CHECK: driver not active",IF(COUNTIFS($A:$A,A106,$C:$C,C106)&gt;1,"CHECK: driver assigned twice",IF(COUNTIFS($A:$A,A106,$D:$D,D106)&gt;1,"CHECK: vehicle assigned twice","OK"))))))))</f>
        <v/>
      </c>
      <c r="H106" s="15"/>
      <c r="I106" s="15"/>
      <c r="J106" s="17" t="str">
        <f aca="false">IF(OR(H106="",H106=0),"",I106/H106)</f>
        <v/>
      </c>
      <c r="K106" s="15"/>
      <c r="L106" s="15"/>
      <c r="M106" s="18"/>
      <c r="N106" s="15"/>
      <c r="O106" s="16" t="str">
        <f aca="false">IF(AND(OR(K106="At risk",K106="Late"),L106=""),"Add a reason code",IF(AND(L106="OTH",N106=""),"Explain OTH in notes",IF(AND(K106="Finished",I106&lt;H106,L106=""),"Add a reason code","")))</f>
        <v/>
      </c>
    </row>
    <row r="107" customFormat="false" ht="15" hidden="false" customHeight="false" outlineLevel="0" collapsed="false">
      <c r="A107" s="14"/>
      <c r="B107" s="15"/>
      <c r="C107" s="15"/>
      <c r="D107" s="15"/>
      <c r="E107" s="16" t="str">
        <f aca="false">IF(C107="","",IFERROR(INDEX(Drivers!$B:$B,MATCH(C107,Drivers!$A:$A,0)),"ID not found"))</f>
        <v/>
      </c>
      <c r="F107" s="16" t="str">
        <f aca="false">IF(B107="","",IFERROR(INDEX(Routes!$B:$B,MATCH(B107,Routes!$A:$A,0)),"ID not found"))</f>
        <v/>
      </c>
      <c r="G107" s="16" t="str">
        <f aca="false">IF(OR(B107="",C107="",D107=""),"",IF(OR(ISNA(MATCH(B107,Routes!$A:$A,0)),ISNA(MATCH(C107,Drivers!$A:$A,0)),ISNA(MATCH(D107,Vehicles!$A:$A,0))),"CHECK: ID not found",IF(INDEX(Routes!$C:$C,MATCH(B107,Routes!$A:$A,0))&lt;&gt;INDEX(Vehicles!$B:$B,MATCH(D107,Vehicles!$A:$A,0)),"CHECK: vehicle type does not fit route",IF(INDEX(Routes!$C:$C,MATCH(B107,Routes!$A:$A,0))&lt;&gt;INDEX(Drivers!$D:$D,MATCH(C107,Drivers!$A:$A,0)),"CHECK: driver type does not fit route",IF(OR(INDEX(Vehicles!$E:$E,MATCH(D107,Vehicles!$A:$A,0))="Workshop",INDEX(Vehicles!$E:$E,MATCH(D107,Vehicles!$A:$A,0))="Out of service"),"CHECK: vehicle not available",IF(INDEX(Drivers!$G:$G,MATCH(C107,Drivers!$A:$A,0))&lt;&gt;"Active","CHECK: driver not active",IF(COUNTIFS($A:$A,A107,$C:$C,C107)&gt;1,"CHECK: driver assigned twice",IF(COUNTIFS($A:$A,A107,$D:$D,D107)&gt;1,"CHECK: vehicle assigned twice","OK"))))))))</f>
        <v/>
      </c>
      <c r="H107" s="15"/>
      <c r="I107" s="15"/>
      <c r="J107" s="17" t="str">
        <f aca="false">IF(OR(H107="",H107=0),"",I107/H107)</f>
        <v/>
      </c>
      <c r="K107" s="15"/>
      <c r="L107" s="15"/>
      <c r="M107" s="18"/>
      <c r="N107" s="15"/>
      <c r="O107" s="16" t="str">
        <f aca="false">IF(AND(OR(K107="At risk",K107="Late"),L107=""),"Add a reason code",IF(AND(L107="OTH",N107=""),"Explain OTH in notes",IF(AND(K107="Finished",I107&lt;H107,L107=""),"Add a reason code","")))</f>
        <v/>
      </c>
    </row>
    <row r="108" customFormat="false" ht="15" hidden="false" customHeight="false" outlineLevel="0" collapsed="false">
      <c r="A108" s="14"/>
      <c r="B108" s="15"/>
      <c r="C108" s="15"/>
      <c r="D108" s="15"/>
      <c r="E108" s="16" t="str">
        <f aca="false">IF(C108="","",IFERROR(INDEX(Drivers!$B:$B,MATCH(C108,Drivers!$A:$A,0)),"ID not found"))</f>
        <v/>
      </c>
      <c r="F108" s="16" t="str">
        <f aca="false">IF(B108="","",IFERROR(INDEX(Routes!$B:$B,MATCH(B108,Routes!$A:$A,0)),"ID not found"))</f>
        <v/>
      </c>
      <c r="G108" s="16" t="str">
        <f aca="false">IF(OR(B108="",C108="",D108=""),"",IF(OR(ISNA(MATCH(B108,Routes!$A:$A,0)),ISNA(MATCH(C108,Drivers!$A:$A,0)),ISNA(MATCH(D108,Vehicles!$A:$A,0))),"CHECK: ID not found",IF(INDEX(Routes!$C:$C,MATCH(B108,Routes!$A:$A,0))&lt;&gt;INDEX(Vehicles!$B:$B,MATCH(D108,Vehicles!$A:$A,0)),"CHECK: vehicle type does not fit route",IF(INDEX(Routes!$C:$C,MATCH(B108,Routes!$A:$A,0))&lt;&gt;INDEX(Drivers!$D:$D,MATCH(C108,Drivers!$A:$A,0)),"CHECK: driver type does not fit route",IF(OR(INDEX(Vehicles!$E:$E,MATCH(D108,Vehicles!$A:$A,0))="Workshop",INDEX(Vehicles!$E:$E,MATCH(D108,Vehicles!$A:$A,0))="Out of service"),"CHECK: vehicle not available",IF(INDEX(Drivers!$G:$G,MATCH(C108,Drivers!$A:$A,0))&lt;&gt;"Active","CHECK: driver not active",IF(COUNTIFS($A:$A,A108,$C:$C,C108)&gt;1,"CHECK: driver assigned twice",IF(COUNTIFS($A:$A,A108,$D:$D,D108)&gt;1,"CHECK: vehicle assigned twice","OK"))))))))</f>
        <v/>
      </c>
      <c r="H108" s="15"/>
      <c r="I108" s="15"/>
      <c r="J108" s="17" t="str">
        <f aca="false">IF(OR(H108="",H108=0),"",I108/H108)</f>
        <v/>
      </c>
      <c r="K108" s="15"/>
      <c r="L108" s="15"/>
      <c r="M108" s="18"/>
      <c r="N108" s="15"/>
      <c r="O108" s="16" t="str">
        <f aca="false">IF(AND(OR(K108="At risk",K108="Late"),L108=""),"Add a reason code",IF(AND(L108="OTH",N108=""),"Explain OTH in notes",IF(AND(K108="Finished",I108&lt;H108,L108=""),"Add a reason code","")))</f>
        <v/>
      </c>
    </row>
    <row r="109" customFormat="false" ht="15" hidden="false" customHeight="false" outlineLevel="0" collapsed="false">
      <c r="A109" s="14"/>
      <c r="B109" s="15"/>
      <c r="C109" s="15"/>
      <c r="D109" s="15"/>
      <c r="E109" s="16" t="str">
        <f aca="false">IF(C109="","",IFERROR(INDEX(Drivers!$B:$B,MATCH(C109,Drivers!$A:$A,0)),"ID not found"))</f>
        <v/>
      </c>
      <c r="F109" s="16" t="str">
        <f aca="false">IF(B109="","",IFERROR(INDEX(Routes!$B:$B,MATCH(B109,Routes!$A:$A,0)),"ID not found"))</f>
        <v/>
      </c>
      <c r="G109" s="16" t="str">
        <f aca="false">IF(OR(B109="",C109="",D109=""),"",IF(OR(ISNA(MATCH(B109,Routes!$A:$A,0)),ISNA(MATCH(C109,Drivers!$A:$A,0)),ISNA(MATCH(D109,Vehicles!$A:$A,0))),"CHECK: ID not found",IF(INDEX(Routes!$C:$C,MATCH(B109,Routes!$A:$A,0))&lt;&gt;INDEX(Vehicles!$B:$B,MATCH(D109,Vehicles!$A:$A,0)),"CHECK: vehicle type does not fit route",IF(INDEX(Routes!$C:$C,MATCH(B109,Routes!$A:$A,0))&lt;&gt;INDEX(Drivers!$D:$D,MATCH(C109,Drivers!$A:$A,0)),"CHECK: driver type does not fit route",IF(OR(INDEX(Vehicles!$E:$E,MATCH(D109,Vehicles!$A:$A,0))="Workshop",INDEX(Vehicles!$E:$E,MATCH(D109,Vehicles!$A:$A,0))="Out of service"),"CHECK: vehicle not available",IF(INDEX(Drivers!$G:$G,MATCH(C109,Drivers!$A:$A,0))&lt;&gt;"Active","CHECK: driver not active",IF(COUNTIFS($A:$A,A109,$C:$C,C109)&gt;1,"CHECK: driver assigned twice",IF(COUNTIFS($A:$A,A109,$D:$D,D109)&gt;1,"CHECK: vehicle assigned twice","OK"))))))))</f>
        <v/>
      </c>
      <c r="H109" s="15"/>
      <c r="I109" s="15"/>
      <c r="J109" s="17" t="str">
        <f aca="false">IF(OR(H109="",H109=0),"",I109/H109)</f>
        <v/>
      </c>
      <c r="K109" s="15"/>
      <c r="L109" s="15"/>
      <c r="M109" s="18"/>
      <c r="N109" s="15"/>
      <c r="O109" s="16" t="str">
        <f aca="false">IF(AND(OR(K109="At risk",K109="Late"),L109=""),"Add a reason code",IF(AND(L109="OTH",N109=""),"Explain OTH in notes",IF(AND(K109="Finished",I109&lt;H109,L109=""),"Add a reason code","")))</f>
        <v/>
      </c>
    </row>
    <row r="110" customFormat="false" ht="15" hidden="false" customHeight="false" outlineLevel="0" collapsed="false">
      <c r="A110" s="14"/>
      <c r="B110" s="15"/>
      <c r="C110" s="15"/>
      <c r="D110" s="15"/>
      <c r="E110" s="16" t="str">
        <f aca="false">IF(C110="","",IFERROR(INDEX(Drivers!$B:$B,MATCH(C110,Drivers!$A:$A,0)),"ID not found"))</f>
        <v/>
      </c>
      <c r="F110" s="16" t="str">
        <f aca="false">IF(B110="","",IFERROR(INDEX(Routes!$B:$B,MATCH(B110,Routes!$A:$A,0)),"ID not found"))</f>
        <v/>
      </c>
      <c r="G110" s="16" t="str">
        <f aca="false">IF(OR(B110="",C110="",D110=""),"",IF(OR(ISNA(MATCH(B110,Routes!$A:$A,0)),ISNA(MATCH(C110,Drivers!$A:$A,0)),ISNA(MATCH(D110,Vehicles!$A:$A,0))),"CHECK: ID not found",IF(INDEX(Routes!$C:$C,MATCH(B110,Routes!$A:$A,0))&lt;&gt;INDEX(Vehicles!$B:$B,MATCH(D110,Vehicles!$A:$A,0)),"CHECK: vehicle type does not fit route",IF(INDEX(Routes!$C:$C,MATCH(B110,Routes!$A:$A,0))&lt;&gt;INDEX(Drivers!$D:$D,MATCH(C110,Drivers!$A:$A,0)),"CHECK: driver type does not fit route",IF(OR(INDEX(Vehicles!$E:$E,MATCH(D110,Vehicles!$A:$A,0))="Workshop",INDEX(Vehicles!$E:$E,MATCH(D110,Vehicles!$A:$A,0))="Out of service"),"CHECK: vehicle not available",IF(INDEX(Drivers!$G:$G,MATCH(C110,Drivers!$A:$A,0))&lt;&gt;"Active","CHECK: driver not active",IF(COUNTIFS($A:$A,A110,$C:$C,C110)&gt;1,"CHECK: driver assigned twice",IF(COUNTIFS($A:$A,A110,$D:$D,D110)&gt;1,"CHECK: vehicle assigned twice","OK"))))))))</f>
        <v/>
      </c>
      <c r="H110" s="15"/>
      <c r="I110" s="15"/>
      <c r="J110" s="17" t="str">
        <f aca="false">IF(OR(H110="",H110=0),"",I110/H110)</f>
        <v/>
      </c>
      <c r="K110" s="15"/>
      <c r="L110" s="15"/>
      <c r="M110" s="18"/>
      <c r="N110" s="15"/>
      <c r="O110" s="16" t="str">
        <f aca="false">IF(AND(OR(K110="At risk",K110="Late"),L110=""),"Add a reason code",IF(AND(L110="OTH",N110=""),"Explain OTH in notes",IF(AND(K110="Finished",I110&lt;H110,L110=""),"Add a reason code","")))</f>
        <v/>
      </c>
    </row>
    <row r="111" customFormat="false" ht="15" hidden="false" customHeight="false" outlineLevel="0" collapsed="false">
      <c r="A111" s="14"/>
      <c r="B111" s="15"/>
      <c r="C111" s="15"/>
      <c r="D111" s="15"/>
      <c r="E111" s="16" t="str">
        <f aca="false">IF(C111="","",IFERROR(INDEX(Drivers!$B:$B,MATCH(C111,Drivers!$A:$A,0)),"ID not found"))</f>
        <v/>
      </c>
      <c r="F111" s="16" t="str">
        <f aca="false">IF(B111="","",IFERROR(INDEX(Routes!$B:$B,MATCH(B111,Routes!$A:$A,0)),"ID not found"))</f>
        <v/>
      </c>
      <c r="G111" s="16" t="str">
        <f aca="false">IF(OR(B111="",C111="",D111=""),"",IF(OR(ISNA(MATCH(B111,Routes!$A:$A,0)),ISNA(MATCH(C111,Drivers!$A:$A,0)),ISNA(MATCH(D111,Vehicles!$A:$A,0))),"CHECK: ID not found",IF(INDEX(Routes!$C:$C,MATCH(B111,Routes!$A:$A,0))&lt;&gt;INDEX(Vehicles!$B:$B,MATCH(D111,Vehicles!$A:$A,0)),"CHECK: vehicle type does not fit route",IF(INDEX(Routes!$C:$C,MATCH(B111,Routes!$A:$A,0))&lt;&gt;INDEX(Drivers!$D:$D,MATCH(C111,Drivers!$A:$A,0)),"CHECK: driver type does not fit route",IF(OR(INDEX(Vehicles!$E:$E,MATCH(D111,Vehicles!$A:$A,0))="Workshop",INDEX(Vehicles!$E:$E,MATCH(D111,Vehicles!$A:$A,0))="Out of service"),"CHECK: vehicle not available",IF(INDEX(Drivers!$G:$G,MATCH(C111,Drivers!$A:$A,0))&lt;&gt;"Active","CHECK: driver not active",IF(COUNTIFS($A:$A,A111,$C:$C,C111)&gt;1,"CHECK: driver assigned twice",IF(COUNTIFS($A:$A,A111,$D:$D,D111)&gt;1,"CHECK: vehicle assigned twice","OK"))))))))</f>
        <v/>
      </c>
      <c r="H111" s="15"/>
      <c r="I111" s="15"/>
      <c r="J111" s="17" t="str">
        <f aca="false">IF(OR(H111="",H111=0),"",I111/H111)</f>
        <v/>
      </c>
      <c r="K111" s="15"/>
      <c r="L111" s="15"/>
      <c r="M111" s="18"/>
      <c r="N111" s="15"/>
      <c r="O111" s="16" t="str">
        <f aca="false">IF(AND(OR(K111="At risk",K111="Late"),L111=""),"Add a reason code",IF(AND(L111="OTH",N111=""),"Explain OTH in notes",IF(AND(K111="Finished",I111&lt;H111,L111=""),"Add a reason code","")))</f>
        <v/>
      </c>
    </row>
    <row r="112" customFormat="false" ht="15" hidden="false" customHeight="false" outlineLevel="0" collapsed="false">
      <c r="A112" s="14"/>
      <c r="B112" s="15"/>
      <c r="C112" s="15"/>
      <c r="D112" s="15"/>
      <c r="E112" s="16" t="str">
        <f aca="false">IF(C112="","",IFERROR(INDEX(Drivers!$B:$B,MATCH(C112,Drivers!$A:$A,0)),"ID not found"))</f>
        <v/>
      </c>
      <c r="F112" s="16" t="str">
        <f aca="false">IF(B112="","",IFERROR(INDEX(Routes!$B:$B,MATCH(B112,Routes!$A:$A,0)),"ID not found"))</f>
        <v/>
      </c>
      <c r="G112" s="16" t="str">
        <f aca="false">IF(OR(B112="",C112="",D112=""),"",IF(OR(ISNA(MATCH(B112,Routes!$A:$A,0)),ISNA(MATCH(C112,Drivers!$A:$A,0)),ISNA(MATCH(D112,Vehicles!$A:$A,0))),"CHECK: ID not found",IF(INDEX(Routes!$C:$C,MATCH(B112,Routes!$A:$A,0))&lt;&gt;INDEX(Vehicles!$B:$B,MATCH(D112,Vehicles!$A:$A,0)),"CHECK: vehicle type does not fit route",IF(INDEX(Routes!$C:$C,MATCH(B112,Routes!$A:$A,0))&lt;&gt;INDEX(Drivers!$D:$D,MATCH(C112,Drivers!$A:$A,0)),"CHECK: driver type does not fit route",IF(OR(INDEX(Vehicles!$E:$E,MATCH(D112,Vehicles!$A:$A,0))="Workshop",INDEX(Vehicles!$E:$E,MATCH(D112,Vehicles!$A:$A,0))="Out of service"),"CHECK: vehicle not available",IF(INDEX(Drivers!$G:$G,MATCH(C112,Drivers!$A:$A,0))&lt;&gt;"Active","CHECK: driver not active",IF(COUNTIFS($A:$A,A112,$C:$C,C112)&gt;1,"CHECK: driver assigned twice",IF(COUNTIFS($A:$A,A112,$D:$D,D112)&gt;1,"CHECK: vehicle assigned twice","OK"))))))))</f>
        <v/>
      </c>
      <c r="H112" s="15"/>
      <c r="I112" s="15"/>
      <c r="J112" s="17" t="str">
        <f aca="false">IF(OR(H112="",H112=0),"",I112/H112)</f>
        <v/>
      </c>
      <c r="K112" s="15"/>
      <c r="L112" s="15"/>
      <c r="M112" s="18"/>
      <c r="N112" s="15"/>
      <c r="O112" s="16" t="str">
        <f aca="false">IF(AND(OR(K112="At risk",K112="Late"),L112=""),"Add a reason code",IF(AND(L112="OTH",N112=""),"Explain OTH in notes",IF(AND(K112="Finished",I112&lt;H112,L112=""),"Add a reason code","")))</f>
        <v/>
      </c>
    </row>
    <row r="113" customFormat="false" ht="15" hidden="false" customHeight="false" outlineLevel="0" collapsed="false">
      <c r="A113" s="14"/>
      <c r="B113" s="15"/>
      <c r="C113" s="15"/>
      <c r="D113" s="15"/>
      <c r="E113" s="16" t="str">
        <f aca="false">IF(C113="","",IFERROR(INDEX(Drivers!$B:$B,MATCH(C113,Drivers!$A:$A,0)),"ID not found"))</f>
        <v/>
      </c>
      <c r="F113" s="16" t="str">
        <f aca="false">IF(B113="","",IFERROR(INDEX(Routes!$B:$B,MATCH(B113,Routes!$A:$A,0)),"ID not found"))</f>
        <v/>
      </c>
      <c r="G113" s="16" t="str">
        <f aca="false">IF(OR(B113="",C113="",D113=""),"",IF(OR(ISNA(MATCH(B113,Routes!$A:$A,0)),ISNA(MATCH(C113,Drivers!$A:$A,0)),ISNA(MATCH(D113,Vehicles!$A:$A,0))),"CHECK: ID not found",IF(INDEX(Routes!$C:$C,MATCH(B113,Routes!$A:$A,0))&lt;&gt;INDEX(Vehicles!$B:$B,MATCH(D113,Vehicles!$A:$A,0)),"CHECK: vehicle type does not fit route",IF(INDEX(Routes!$C:$C,MATCH(B113,Routes!$A:$A,0))&lt;&gt;INDEX(Drivers!$D:$D,MATCH(C113,Drivers!$A:$A,0)),"CHECK: driver type does not fit route",IF(OR(INDEX(Vehicles!$E:$E,MATCH(D113,Vehicles!$A:$A,0))="Workshop",INDEX(Vehicles!$E:$E,MATCH(D113,Vehicles!$A:$A,0))="Out of service"),"CHECK: vehicle not available",IF(INDEX(Drivers!$G:$G,MATCH(C113,Drivers!$A:$A,0))&lt;&gt;"Active","CHECK: driver not active",IF(COUNTIFS($A:$A,A113,$C:$C,C113)&gt;1,"CHECK: driver assigned twice",IF(COUNTIFS($A:$A,A113,$D:$D,D113)&gt;1,"CHECK: vehicle assigned twice","OK"))))))))</f>
        <v/>
      </c>
      <c r="H113" s="15"/>
      <c r="I113" s="15"/>
      <c r="J113" s="17" t="str">
        <f aca="false">IF(OR(H113="",H113=0),"",I113/H113)</f>
        <v/>
      </c>
      <c r="K113" s="15"/>
      <c r="L113" s="15"/>
      <c r="M113" s="18"/>
      <c r="N113" s="15"/>
      <c r="O113" s="16" t="str">
        <f aca="false">IF(AND(OR(K113="At risk",K113="Late"),L113=""),"Add a reason code",IF(AND(L113="OTH",N113=""),"Explain OTH in notes",IF(AND(K113="Finished",I113&lt;H113,L113=""),"Add a reason code","")))</f>
        <v/>
      </c>
    </row>
    <row r="114" customFormat="false" ht="15" hidden="false" customHeight="false" outlineLevel="0" collapsed="false">
      <c r="A114" s="14"/>
      <c r="B114" s="15"/>
      <c r="C114" s="15"/>
      <c r="D114" s="15"/>
      <c r="E114" s="16" t="str">
        <f aca="false">IF(C114="","",IFERROR(INDEX(Drivers!$B:$B,MATCH(C114,Drivers!$A:$A,0)),"ID not found"))</f>
        <v/>
      </c>
      <c r="F114" s="16" t="str">
        <f aca="false">IF(B114="","",IFERROR(INDEX(Routes!$B:$B,MATCH(B114,Routes!$A:$A,0)),"ID not found"))</f>
        <v/>
      </c>
      <c r="G114" s="16" t="str">
        <f aca="false">IF(OR(B114="",C114="",D114=""),"",IF(OR(ISNA(MATCH(B114,Routes!$A:$A,0)),ISNA(MATCH(C114,Drivers!$A:$A,0)),ISNA(MATCH(D114,Vehicles!$A:$A,0))),"CHECK: ID not found",IF(INDEX(Routes!$C:$C,MATCH(B114,Routes!$A:$A,0))&lt;&gt;INDEX(Vehicles!$B:$B,MATCH(D114,Vehicles!$A:$A,0)),"CHECK: vehicle type does not fit route",IF(INDEX(Routes!$C:$C,MATCH(B114,Routes!$A:$A,0))&lt;&gt;INDEX(Drivers!$D:$D,MATCH(C114,Drivers!$A:$A,0)),"CHECK: driver type does not fit route",IF(OR(INDEX(Vehicles!$E:$E,MATCH(D114,Vehicles!$A:$A,0))="Workshop",INDEX(Vehicles!$E:$E,MATCH(D114,Vehicles!$A:$A,0))="Out of service"),"CHECK: vehicle not available",IF(INDEX(Drivers!$G:$G,MATCH(C114,Drivers!$A:$A,0))&lt;&gt;"Active","CHECK: driver not active",IF(COUNTIFS($A:$A,A114,$C:$C,C114)&gt;1,"CHECK: driver assigned twice",IF(COUNTIFS($A:$A,A114,$D:$D,D114)&gt;1,"CHECK: vehicle assigned twice","OK"))))))))</f>
        <v/>
      </c>
      <c r="H114" s="15"/>
      <c r="I114" s="15"/>
      <c r="J114" s="17" t="str">
        <f aca="false">IF(OR(H114="",H114=0),"",I114/H114)</f>
        <v/>
      </c>
      <c r="K114" s="15"/>
      <c r="L114" s="15"/>
      <c r="M114" s="18"/>
      <c r="N114" s="15"/>
      <c r="O114" s="16" t="str">
        <f aca="false">IF(AND(OR(K114="At risk",K114="Late"),L114=""),"Add a reason code",IF(AND(L114="OTH",N114=""),"Explain OTH in notes",IF(AND(K114="Finished",I114&lt;H114,L114=""),"Add a reason code","")))</f>
        <v/>
      </c>
    </row>
    <row r="115" customFormat="false" ht="15" hidden="false" customHeight="false" outlineLevel="0" collapsed="false">
      <c r="A115" s="14"/>
      <c r="B115" s="15"/>
      <c r="C115" s="15"/>
      <c r="D115" s="15"/>
      <c r="E115" s="16" t="str">
        <f aca="false">IF(C115="","",IFERROR(INDEX(Drivers!$B:$B,MATCH(C115,Drivers!$A:$A,0)),"ID not found"))</f>
        <v/>
      </c>
      <c r="F115" s="16" t="str">
        <f aca="false">IF(B115="","",IFERROR(INDEX(Routes!$B:$B,MATCH(B115,Routes!$A:$A,0)),"ID not found"))</f>
        <v/>
      </c>
      <c r="G115" s="16" t="str">
        <f aca="false">IF(OR(B115="",C115="",D115=""),"",IF(OR(ISNA(MATCH(B115,Routes!$A:$A,0)),ISNA(MATCH(C115,Drivers!$A:$A,0)),ISNA(MATCH(D115,Vehicles!$A:$A,0))),"CHECK: ID not found",IF(INDEX(Routes!$C:$C,MATCH(B115,Routes!$A:$A,0))&lt;&gt;INDEX(Vehicles!$B:$B,MATCH(D115,Vehicles!$A:$A,0)),"CHECK: vehicle type does not fit route",IF(INDEX(Routes!$C:$C,MATCH(B115,Routes!$A:$A,0))&lt;&gt;INDEX(Drivers!$D:$D,MATCH(C115,Drivers!$A:$A,0)),"CHECK: driver type does not fit route",IF(OR(INDEX(Vehicles!$E:$E,MATCH(D115,Vehicles!$A:$A,0))="Workshop",INDEX(Vehicles!$E:$E,MATCH(D115,Vehicles!$A:$A,0))="Out of service"),"CHECK: vehicle not available",IF(INDEX(Drivers!$G:$G,MATCH(C115,Drivers!$A:$A,0))&lt;&gt;"Active","CHECK: driver not active",IF(COUNTIFS($A:$A,A115,$C:$C,C115)&gt;1,"CHECK: driver assigned twice",IF(COUNTIFS($A:$A,A115,$D:$D,D115)&gt;1,"CHECK: vehicle assigned twice","OK"))))))))</f>
        <v/>
      </c>
      <c r="H115" s="15"/>
      <c r="I115" s="15"/>
      <c r="J115" s="17" t="str">
        <f aca="false">IF(OR(H115="",H115=0),"",I115/H115)</f>
        <v/>
      </c>
      <c r="K115" s="15"/>
      <c r="L115" s="15"/>
      <c r="M115" s="18"/>
      <c r="N115" s="15"/>
      <c r="O115" s="16" t="str">
        <f aca="false">IF(AND(OR(K115="At risk",K115="Late"),L115=""),"Add a reason code",IF(AND(L115="OTH",N115=""),"Explain OTH in notes",IF(AND(K115="Finished",I115&lt;H115,L115=""),"Add a reason code","")))</f>
        <v/>
      </c>
    </row>
    <row r="116" customFormat="false" ht="15" hidden="false" customHeight="false" outlineLevel="0" collapsed="false">
      <c r="A116" s="14"/>
      <c r="B116" s="15"/>
      <c r="C116" s="15"/>
      <c r="D116" s="15"/>
      <c r="E116" s="16" t="str">
        <f aca="false">IF(C116="","",IFERROR(INDEX(Drivers!$B:$B,MATCH(C116,Drivers!$A:$A,0)),"ID not found"))</f>
        <v/>
      </c>
      <c r="F116" s="16" t="str">
        <f aca="false">IF(B116="","",IFERROR(INDEX(Routes!$B:$B,MATCH(B116,Routes!$A:$A,0)),"ID not found"))</f>
        <v/>
      </c>
      <c r="G116" s="16" t="str">
        <f aca="false">IF(OR(B116="",C116="",D116=""),"",IF(OR(ISNA(MATCH(B116,Routes!$A:$A,0)),ISNA(MATCH(C116,Drivers!$A:$A,0)),ISNA(MATCH(D116,Vehicles!$A:$A,0))),"CHECK: ID not found",IF(INDEX(Routes!$C:$C,MATCH(B116,Routes!$A:$A,0))&lt;&gt;INDEX(Vehicles!$B:$B,MATCH(D116,Vehicles!$A:$A,0)),"CHECK: vehicle type does not fit route",IF(INDEX(Routes!$C:$C,MATCH(B116,Routes!$A:$A,0))&lt;&gt;INDEX(Drivers!$D:$D,MATCH(C116,Drivers!$A:$A,0)),"CHECK: driver type does not fit route",IF(OR(INDEX(Vehicles!$E:$E,MATCH(D116,Vehicles!$A:$A,0))="Workshop",INDEX(Vehicles!$E:$E,MATCH(D116,Vehicles!$A:$A,0))="Out of service"),"CHECK: vehicle not available",IF(INDEX(Drivers!$G:$G,MATCH(C116,Drivers!$A:$A,0))&lt;&gt;"Active","CHECK: driver not active",IF(COUNTIFS($A:$A,A116,$C:$C,C116)&gt;1,"CHECK: driver assigned twice",IF(COUNTIFS($A:$A,A116,$D:$D,D116)&gt;1,"CHECK: vehicle assigned twice","OK"))))))))</f>
        <v/>
      </c>
      <c r="H116" s="15"/>
      <c r="I116" s="15"/>
      <c r="J116" s="17" t="str">
        <f aca="false">IF(OR(H116="",H116=0),"",I116/H116)</f>
        <v/>
      </c>
      <c r="K116" s="15"/>
      <c r="L116" s="15"/>
      <c r="M116" s="18"/>
      <c r="N116" s="15"/>
      <c r="O116" s="16" t="str">
        <f aca="false">IF(AND(OR(K116="At risk",K116="Late"),L116=""),"Add a reason code",IF(AND(L116="OTH",N116=""),"Explain OTH in notes",IF(AND(K116="Finished",I116&lt;H116,L116=""),"Add a reason code","")))</f>
        <v/>
      </c>
    </row>
    <row r="117" customFormat="false" ht="15" hidden="false" customHeight="false" outlineLevel="0" collapsed="false">
      <c r="A117" s="14"/>
      <c r="B117" s="15"/>
      <c r="C117" s="15"/>
      <c r="D117" s="15"/>
      <c r="E117" s="16" t="str">
        <f aca="false">IF(C117="","",IFERROR(INDEX(Drivers!$B:$B,MATCH(C117,Drivers!$A:$A,0)),"ID not found"))</f>
        <v/>
      </c>
      <c r="F117" s="16" t="str">
        <f aca="false">IF(B117="","",IFERROR(INDEX(Routes!$B:$B,MATCH(B117,Routes!$A:$A,0)),"ID not found"))</f>
        <v/>
      </c>
      <c r="G117" s="16" t="str">
        <f aca="false">IF(OR(B117="",C117="",D117=""),"",IF(OR(ISNA(MATCH(B117,Routes!$A:$A,0)),ISNA(MATCH(C117,Drivers!$A:$A,0)),ISNA(MATCH(D117,Vehicles!$A:$A,0))),"CHECK: ID not found",IF(INDEX(Routes!$C:$C,MATCH(B117,Routes!$A:$A,0))&lt;&gt;INDEX(Vehicles!$B:$B,MATCH(D117,Vehicles!$A:$A,0)),"CHECK: vehicle type does not fit route",IF(INDEX(Routes!$C:$C,MATCH(B117,Routes!$A:$A,0))&lt;&gt;INDEX(Drivers!$D:$D,MATCH(C117,Drivers!$A:$A,0)),"CHECK: driver type does not fit route",IF(OR(INDEX(Vehicles!$E:$E,MATCH(D117,Vehicles!$A:$A,0))="Workshop",INDEX(Vehicles!$E:$E,MATCH(D117,Vehicles!$A:$A,0))="Out of service"),"CHECK: vehicle not available",IF(INDEX(Drivers!$G:$G,MATCH(C117,Drivers!$A:$A,0))&lt;&gt;"Active","CHECK: driver not active",IF(COUNTIFS($A:$A,A117,$C:$C,C117)&gt;1,"CHECK: driver assigned twice",IF(COUNTIFS($A:$A,A117,$D:$D,D117)&gt;1,"CHECK: vehicle assigned twice","OK"))))))))</f>
        <v/>
      </c>
      <c r="H117" s="15"/>
      <c r="I117" s="15"/>
      <c r="J117" s="17" t="str">
        <f aca="false">IF(OR(H117="",H117=0),"",I117/H117)</f>
        <v/>
      </c>
      <c r="K117" s="15"/>
      <c r="L117" s="15"/>
      <c r="M117" s="18"/>
      <c r="N117" s="15"/>
      <c r="O117" s="16" t="str">
        <f aca="false">IF(AND(OR(K117="At risk",K117="Late"),L117=""),"Add a reason code",IF(AND(L117="OTH",N117=""),"Explain OTH in notes",IF(AND(K117="Finished",I117&lt;H117,L117=""),"Add a reason code","")))</f>
        <v/>
      </c>
    </row>
    <row r="118" customFormat="false" ht="15" hidden="false" customHeight="false" outlineLevel="0" collapsed="false">
      <c r="A118" s="14"/>
      <c r="B118" s="15"/>
      <c r="C118" s="15"/>
      <c r="D118" s="15"/>
      <c r="E118" s="16" t="str">
        <f aca="false">IF(C118="","",IFERROR(INDEX(Drivers!$B:$B,MATCH(C118,Drivers!$A:$A,0)),"ID not found"))</f>
        <v/>
      </c>
      <c r="F118" s="16" t="str">
        <f aca="false">IF(B118="","",IFERROR(INDEX(Routes!$B:$B,MATCH(B118,Routes!$A:$A,0)),"ID not found"))</f>
        <v/>
      </c>
      <c r="G118" s="16" t="str">
        <f aca="false">IF(OR(B118="",C118="",D118=""),"",IF(OR(ISNA(MATCH(B118,Routes!$A:$A,0)),ISNA(MATCH(C118,Drivers!$A:$A,0)),ISNA(MATCH(D118,Vehicles!$A:$A,0))),"CHECK: ID not found",IF(INDEX(Routes!$C:$C,MATCH(B118,Routes!$A:$A,0))&lt;&gt;INDEX(Vehicles!$B:$B,MATCH(D118,Vehicles!$A:$A,0)),"CHECK: vehicle type does not fit route",IF(INDEX(Routes!$C:$C,MATCH(B118,Routes!$A:$A,0))&lt;&gt;INDEX(Drivers!$D:$D,MATCH(C118,Drivers!$A:$A,0)),"CHECK: driver type does not fit route",IF(OR(INDEX(Vehicles!$E:$E,MATCH(D118,Vehicles!$A:$A,0))="Workshop",INDEX(Vehicles!$E:$E,MATCH(D118,Vehicles!$A:$A,0))="Out of service"),"CHECK: vehicle not available",IF(INDEX(Drivers!$G:$G,MATCH(C118,Drivers!$A:$A,0))&lt;&gt;"Active","CHECK: driver not active",IF(COUNTIFS($A:$A,A118,$C:$C,C118)&gt;1,"CHECK: driver assigned twice",IF(COUNTIFS($A:$A,A118,$D:$D,D118)&gt;1,"CHECK: vehicle assigned twice","OK"))))))))</f>
        <v/>
      </c>
      <c r="H118" s="15"/>
      <c r="I118" s="15"/>
      <c r="J118" s="17" t="str">
        <f aca="false">IF(OR(H118="",H118=0),"",I118/H118)</f>
        <v/>
      </c>
      <c r="K118" s="15"/>
      <c r="L118" s="15"/>
      <c r="M118" s="18"/>
      <c r="N118" s="15"/>
      <c r="O118" s="16" t="str">
        <f aca="false">IF(AND(OR(K118="At risk",K118="Late"),L118=""),"Add a reason code",IF(AND(L118="OTH",N118=""),"Explain OTH in notes",IF(AND(K118="Finished",I118&lt;H118,L118=""),"Add a reason code","")))</f>
        <v/>
      </c>
    </row>
    <row r="119" customFormat="false" ht="15" hidden="false" customHeight="false" outlineLevel="0" collapsed="false">
      <c r="A119" s="14"/>
      <c r="B119" s="15"/>
      <c r="C119" s="15"/>
      <c r="D119" s="15"/>
      <c r="E119" s="16" t="str">
        <f aca="false">IF(C119="","",IFERROR(INDEX(Drivers!$B:$B,MATCH(C119,Drivers!$A:$A,0)),"ID not found"))</f>
        <v/>
      </c>
      <c r="F119" s="16" t="str">
        <f aca="false">IF(B119="","",IFERROR(INDEX(Routes!$B:$B,MATCH(B119,Routes!$A:$A,0)),"ID not found"))</f>
        <v/>
      </c>
      <c r="G119" s="16" t="str">
        <f aca="false">IF(OR(B119="",C119="",D119=""),"",IF(OR(ISNA(MATCH(B119,Routes!$A:$A,0)),ISNA(MATCH(C119,Drivers!$A:$A,0)),ISNA(MATCH(D119,Vehicles!$A:$A,0))),"CHECK: ID not found",IF(INDEX(Routes!$C:$C,MATCH(B119,Routes!$A:$A,0))&lt;&gt;INDEX(Vehicles!$B:$B,MATCH(D119,Vehicles!$A:$A,0)),"CHECK: vehicle type does not fit route",IF(INDEX(Routes!$C:$C,MATCH(B119,Routes!$A:$A,0))&lt;&gt;INDEX(Drivers!$D:$D,MATCH(C119,Drivers!$A:$A,0)),"CHECK: driver type does not fit route",IF(OR(INDEX(Vehicles!$E:$E,MATCH(D119,Vehicles!$A:$A,0))="Workshop",INDEX(Vehicles!$E:$E,MATCH(D119,Vehicles!$A:$A,0))="Out of service"),"CHECK: vehicle not available",IF(INDEX(Drivers!$G:$G,MATCH(C119,Drivers!$A:$A,0))&lt;&gt;"Active","CHECK: driver not active",IF(COUNTIFS($A:$A,A119,$C:$C,C119)&gt;1,"CHECK: driver assigned twice",IF(COUNTIFS($A:$A,A119,$D:$D,D119)&gt;1,"CHECK: vehicle assigned twice","OK"))))))))</f>
        <v/>
      </c>
      <c r="H119" s="15"/>
      <c r="I119" s="15"/>
      <c r="J119" s="17" t="str">
        <f aca="false">IF(OR(H119="",H119=0),"",I119/H119)</f>
        <v/>
      </c>
      <c r="K119" s="15"/>
      <c r="L119" s="15"/>
      <c r="M119" s="18"/>
      <c r="N119" s="15"/>
      <c r="O119" s="16" t="str">
        <f aca="false">IF(AND(OR(K119="At risk",K119="Late"),L119=""),"Add a reason code",IF(AND(L119="OTH",N119=""),"Explain OTH in notes",IF(AND(K119="Finished",I119&lt;H119,L119=""),"Add a reason code","")))</f>
        <v/>
      </c>
    </row>
    <row r="120" customFormat="false" ht="15" hidden="false" customHeight="false" outlineLevel="0" collapsed="false">
      <c r="A120" s="14"/>
      <c r="B120" s="15"/>
      <c r="C120" s="15"/>
      <c r="D120" s="15"/>
      <c r="E120" s="16" t="str">
        <f aca="false">IF(C120="","",IFERROR(INDEX(Drivers!$B:$B,MATCH(C120,Drivers!$A:$A,0)),"ID not found"))</f>
        <v/>
      </c>
      <c r="F120" s="16" t="str">
        <f aca="false">IF(B120="","",IFERROR(INDEX(Routes!$B:$B,MATCH(B120,Routes!$A:$A,0)),"ID not found"))</f>
        <v/>
      </c>
      <c r="G120" s="16" t="str">
        <f aca="false">IF(OR(B120="",C120="",D120=""),"",IF(OR(ISNA(MATCH(B120,Routes!$A:$A,0)),ISNA(MATCH(C120,Drivers!$A:$A,0)),ISNA(MATCH(D120,Vehicles!$A:$A,0))),"CHECK: ID not found",IF(INDEX(Routes!$C:$C,MATCH(B120,Routes!$A:$A,0))&lt;&gt;INDEX(Vehicles!$B:$B,MATCH(D120,Vehicles!$A:$A,0)),"CHECK: vehicle type does not fit route",IF(INDEX(Routes!$C:$C,MATCH(B120,Routes!$A:$A,0))&lt;&gt;INDEX(Drivers!$D:$D,MATCH(C120,Drivers!$A:$A,0)),"CHECK: driver type does not fit route",IF(OR(INDEX(Vehicles!$E:$E,MATCH(D120,Vehicles!$A:$A,0))="Workshop",INDEX(Vehicles!$E:$E,MATCH(D120,Vehicles!$A:$A,0))="Out of service"),"CHECK: vehicle not available",IF(INDEX(Drivers!$G:$G,MATCH(C120,Drivers!$A:$A,0))&lt;&gt;"Active","CHECK: driver not active",IF(COUNTIFS($A:$A,A120,$C:$C,C120)&gt;1,"CHECK: driver assigned twice",IF(COUNTIFS($A:$A,A120,$D:$D,D120)&gt;1,"CHECK: vehicle assigned twice","OK"))))))))</f>
        <v/>
      </c>
      <c r="H120" s="15"/>
      <c r="I120" s="15"/>
      <c r="J120" s="17" t="str">
        <f aca="false">IF(OR(H120="",H120=0),"",I120/H120)</f>
        <v/>
      </c>
      <c r="K120" s="15"/>
      <c r="L120" s="15"/>
      <c r="M120" s="18"/>
      <c r="N120" s="15"/>
      <c r="O120" s="16" t="str">
        <f aca="false">IF(AND(OR(K120="At risk",K120="Late"),L120=""),"Add a reason code",IF(AND(L120="OTH",N120=""),"Explain OTH in notes",IF(AND(K120="Finished",I120&lt;H120,L120=""),"Add a reason code","")))</f>
        <v/>
      </c>
    </row>
    <row r="121" customFormat="false" ht="15" hidden="false" customHeight="false" outlineLevel="0" collapsed="false">
      <c r="A121" s="14"/>
      <c r="B121" s="15"/>
      <c r="C121" s="15"/>
      <c r="D121" s="15"/>
      <c r="E121" s="16" t="str">
        <f aca="false">IF(C121="","",IFERROR(INDEX(Drivers!$B:$B,MATCH(C121,Drivers!$A:$A,0)),"ID not found"))</f>
        <v/>
      </c>
      <c r="F121" s="16" t="str">
        <f aca="false">IF(B121="","",IFERROR(INDEX(Routes!$B:$B,MATCH(B121,Routes!$A:$A,0)),"ID not found"))</f>
        <v/>
      </c>
      <c r="G121" s="16" t="str">
        <f aca="false">IF(OR(B121="",C121="",D121=""),"",IF(OR(ISNA(MATCH(B121,Routes!$A:$A,0)),ISNA(MATCH(C121,Drivers!$A:$A,0)),ISNA(MATCH(D121,Vehicles!$A:$A,0))),"CHECK: ID not found",IF(INDEX(Routes!$C:$C,MATCH(B121,Routes!$A:$A,0))&lt;&gt;INDEX(Vehicles!$B:$B,MATCH(D121,Vehicles!$A:$A,0)),"CHECK: vehicle type does not fit route",IF(INDEX(Routes!$C:$C,MATCH(B121,Routes!$A:$A,0))&lt;&gt;INDEX(Drivers!$D:$D,MATCH(C121,Drivers!$A:$A,0)),"CHECK: driver type does not fit route",IF(OR(INDEX(Vehicles!$E:$E,MATCH(D121,Vehicles!$A:$A,0))="Workshop",INDEX(Vehicles!$E:$E,MATCH(D121,Vehicles!$A:$A,0))="Out of service"),"CHECK: vehicle not available",IF(INDEX(Drivers!$G:$G,MATCH(C121,Drivers!$A:$A,0))&lt;&gt;"Active","CHECK: driver not active",IF(COUNTIFS($A:$A,A121,$C:$C,C121)&gt;1,"CHECK: driver assigned twice",IF(COUNTIFS($A:$A,A121,$D:$D,D121)&gt;1,"CHECK: vehicle assigned twice","OK"))))))))</f>
        <v/>
      </c>
      <c r="H121" s="15"/>
      <c r="I121" s="15"/>
      <c r="J121" s="17" t="str">
        <f aca="false">IF(OR(H121="",H121=0),"",I121/H121)</f>
        <v/>
      </c>
      <c r="K121" s="15"/>
      <c r="L121" s="15"/>
      <c r="M121" s="18"/>
      <c r="N121" s="15"/>
      <c r="O121" s="16" t="str">
        <f aca="false">IF(AND(OR(K121="At risk",K121="Late"),L121=""),"Add a reason code",IF(AND(L121="OTH",N121=""),"Explain OTH in notes",IF(AND(K121="Finished",I121&lt;H121,L121=""),"Add a reason code","")))</f>
        <v/>
      </c>
    </row>
    <row r="122" customFormat="false" ht="15" hidden="false" customHeight="false" outlineLevel="0" collapsed="false">
      <c r="A122" s="14"/>
      <c r="B122" s="15"/>
      <c r="C122" s="15"/>
      <c r="D122" s="15"/>
      <c r="E122" s="16" t="str">
        <f aca="false">IF(C122="","",IFERROR(INDEX(Drivers!$B:$B,MATCH(C122,Drivers!$A:$A,0)),"ID not found"))</f>
        <v/>
      </c>
      <c r="F122" s="16" t="str">
        <f aca="false">IF(B122="","",IFERROR(INDEX(Routes!$B:$B,MATCH(B122,Routes!$A:$A,0)),"ID not found"))</f>
        <v/>
      </c>
      <c r="G122" s="16" t="str">
        <f aca="false">IF(OR(B122="",C122="",D122=""),"",IF(OR(ISNA(MATCH(B122,Routes!$A:$A,0)),ISNA(MATCH(C122,Drivers!$A:$A,0)),ISNA(MATCH(D122,Vehicles!$A:$A,0))),"CHECK: ID not found",IF(INDEX(Routes!$C:$C,MATCH(B122,Routes!$A:$A,0))&lt;&gt;INDEX(Vehicles!$B:$B,MATCH(D122,Vehicles!$A:$A,0)),"CHECK: vehicle type does not fit route",IF(INDEX(Routes!$C:$C,MATCH(B122,Routes!$A:$A,0))&lt;&gt;INDEX(Drivers!$D:$D,MATCH(C122,Drivers!$A:$A,0)),"CHECK: driver type does not fit route",IF(OR(INDEX(Vehicles!$E:$E,MATCH(D122,Vehicles!$A:$A,0))="Workshop",INDEX(Vehicles!$E:$E,MATCH(D122,Vehicles!$A:$A,0))="Out of service"),"CHECK: vehicle not available",IF(INDEX(Drivers!$G:$G,MATCH(C122,Drivers!$A:$A,0))&lt;&gt;"Active","CHECK: driver not active",IF(COUNTIFS($A:$A,A122,$C:$C,C122)&gt;1,"CHECK: driver assigned twice",IF(COUNTIFS($A:$A,A122,$D:$D,D122)&gt;1,"CHECK: vehicle assigned twice","OK"))))))))</f>
        <v/>
      </c>
      <c r="H122" s="15"/>
      <c r="I122" s="15"/>
      <c r="J122" s="17" t="str">
        <f aca="false">IF(OR(H122="",H122=0),"",I122/H122)</f>
        <v/>
      </c>
      <c r="K122" s="15"/>
      <c r="L122" s="15"/>
      <c r="M122" s="18"/>
      <c r="N122" s="15"/>
      <c r="O122" s="16" t="str">
        <f aca="false">IF(AND(OR(K122="At risk",K122="Late"),L122=""),"Add a reason code",IF(AND(L122="OTH",N122=""),"Explain OTH in notes",IF(AND(K122="Finished",I122&lt;H122,L122=""),"Add a reason code","")))</f>
        <v/>
      </c>
    </row>
    <row r="123" customFormat="false" ht="15" hidden="false" customHeight="false" outlineLevel="0" collapsed="false">
      <c r="A123" s="14"/>
      <c r="B123" s="15"/>
      <c r="C123" s="15"/>
      <c r="D123" s="15"/>
      <c r="E123" s="16" t="str">
        <f aca="false">IF(C123="","",IFERROR(INDEX(Drivers!$B:$B,MATCH(C123,Drivers!$A:$A,0)),"ID not found"))</f>
        <v/>
      </c>
      <c r="F123" s="16" t="str">
        <f aca="false">IF(B123="","",IFERROR(INDEX(Routes!$B:$B,MATCH(B123,Routes!$A:$A,0)),"ID not found"))</f>
        <v/>
      </c>
      <c r="G123" s="16" t="str">
        <f aca="false">IF(OR(B123="",C123="",D123=""),"",IF(OR(ISNA(MATCH(B123,Routes!$A:$A,0)),ISNA(MATCH(C123,Drivers!$A:$A,0)),ISNA(MATCH(D123,Vehicles!$A:$A,0))),"CHECK: ID not found",IF(INDEX(Routes!$C:$C,MATCH(B123,Routes!$A:$A,0))&lt;&gt;INDEX(Vehicles!$B:$B,MATCH(D123,Vehicles!$A:$A,0)),"CHECK: vehicle type does not fit route",IF(INDEX(Routes!$C:$C,MATCH(B123,Routes!$A:$A,0))&lt;&gt;INDEX(Drivers!$D:$D,MATCH(C123,Drivers!$A:$A,0)),"CHECK: driver type does not fit route",IF(OR(INDEX(Vehicles!$E:$E,MATCH(D123,Vehicles!$A:$A,0))="Workshop",INDEX(Vehicles!$E:$E,MATCH(D123,Vehicles!$A:$A,0))="Out of service"),"CHECK: vehicle not available",IF(INDEX(Drivers!$G:$G,MATCH(C123,Drivers!$A:$A,0))&lt;&gt;"Active","CHECK: driver not active",IF(COUNTIFS($A:$A,A123,$C:$C,C123)&gt;1,"CHECK: driver assigned twice",IF(COUNTIFS($A:$A,A123,$D:$D,D123)&gt;1,"CHECK: vehicle assigned twice","OK"))))))))</f>
        <v/>
      </c>
      <c r="H123" s="15"/>
      <c r="I123" s="15"/>
      <c r="J123" s="17" t="str">
        <f aca="false">IF(OR(H123="",H123=0),"",I123/H123)</f>
        <v/>
      </c>
      <c r="K123" s="15"/>
      <c r="L123" s="15"/>
      <c r="M123" s="18"/>
      <c r="N123" s="15"/>
      <c r="O123" s="16" t="str">
        <f aca="false">IF(AND(OR(K123="At risk",K123="Late"),L123=""),"Add a reason code",IF(AND(L123="OTH",N123=""),"Explain OTH in notes",IF(AND(K123="Finished",I123&lt;H123,L123=""),"Add a reason code","")))</f>
        <v/>
      </c>
    </row>
    <row r="124" customFormat="false" ht="15" hidden="false" customHeight="false" outlineLevel="0" collapsed="false">
      <c r="A124" s="14"/>
      <c r="B124" s="15"/>
      <c r="C124" s="15"/>
      <c r="D124" s="15"/>
      <c r="E124" s="16" t="str">
        <f aca="false">IF(C124="","",IFERROR(INDEX(Drivers!$B:$B,MATCH(C124,Drivers!$A:$A,0)),"ID not found"))</f>
        <v/>
      </c>
      <c r="F124" s="16" t="str">
        <f aca="false">IF(B124="","",IFERROR(INDEX(Routes!$B:$B,MATCH(B124,Routes!$A:$A,0)),"ID not found"))</f>
        <v/>
      </c>
      <c r="G124" s="16" t="str">
        <f aca="false">IF(OR(B124="",C124="",D124=""),"",IF(OR(ISNA(MATCH(B124,Routes!$A:$A,0)),ISNA(MATCH(C124,Drivers!$A:$A,0)),ISNA(MATCH(D124,Vehicles!$A:$A,0))),"CHECK: ID not found",IF(INDEX(Routes!$C:$C,MATCH(B124,Routes!$A:$A,0))&lt;&gt;INDEX(Vehicles!$B:$B,MATCH(D124,Vehicles!$A:$A,0)),"CHECK: vehicle type does not fit route",IF(INDEX(Routes!$C:$C,MATCH(B124,Routes!$A:$A,0))&lt;&gt;INDEX(Drivers!$D:$D,MATCH(C124,Drivers!$A:$A,0)),"CHECK: driver type does not fit route",IF(OR(INDEX(Vehicles!$E:$E,MATCH(D124,Vehicles!$A:$A,0))="Workshop",INDEX(Vehicles!$E:$E,MATCH(D124,Vehicles!$A:$A,0))="Out of service"),"CHECK: vehicle not available",IF(INDEX(Drivers!$G:$G,MATCH(C124,Drivers!$A:$A,0))&lt;&gt;"Active","CHECK: driver not active",IF(COUNTIFS($A:$A,A124,$C:$C,C124)&gt;1,"CHECK: driver assigned twice",IF(COUNTIFS($A:$A,A124,$D:$D,D124)&gt;1,"CHECK: vehicle assigned twice","OK"))))))))</f>
        <v/>
      </c>
      <c r="H124" s="15"/>
      <c r="I124" s="15"/>
      <c r="J124" s="17" t="str">
        <f aca="false">IF(OR(H124="",H124=0),"",I124/H124)</f>
        <v/>
      </c>
      <c r="K124" s="15"/>
      <c r="L124" s="15"/>
      <c r="M124" s="18"/>
      <c r="N124" s="15"/>
      <c r="O124" s="16" t="str">
        <f aca="false">IF(AND(OR(K124="At risk",K124="Late"),L124=""),"Add a reason code",IF(AND(L124="OTH",N124=""),"Explain OTH in notes",IF(AND(K124="Finished",I124&lt;H124,L124=""),"Add a reason code","")))</f>
        <v/>
      </c>
    </row>
    <row r="125" customFormat="false" ht="15" hidden="false" customHeight="false" outlineLevel="0" collapsed="false">
      <c r="A125" s="14"/>
      <c r="B125" s="15"/>
      <c r="C125" s="15"/>
      <c r="D125" s="15"/>
      <c r="E125" s="16" t="str">
        <f aca="false">IF(C125="","",IFERROR(INDEX(Drivers!$B:$B,MATCH(C125,Drivers!$A:$A,0)),"ID not found"))</f>
        <v/>
      </c>
      <c r="F125" s="16" t="str">
        <f aca="false">IF(B125="","",IFERROR(INDEX(Routes!$B:$B,MATCH(B125,Routes!$A:$A,0)),"ID not found"))</f>
        <v/>
      </c>
      <c r="G125" s="16" t="str">
        <f aca="false">IF(OR(B125="",C125="",D125=""),"",IF(OR(ISNA(MATCH(B125,Routes!$A:$A,0)),ISNA(MATCH(C125,Drivers!$A:$A,0)),ISNA(MATCH(D125,Vehicles!$A:$A,0))),"CHECK: ID not found",IF(INDEX(Routes!$C:$C,MATCH(B125,Routes!$A:$A,0))&lt;&gt;INDEX(Vehicles!$B:$B,MATCH(D125,Vehicles!$A:$A,0)),"CHECK: vehicle type does not fit route",IF(INDEX(Routes!$C:$C,MATCH(B125,Routes!$A:$A,0))&lt;&gt;INDEX(Drivers!$D:$D,MATCH(C125,Drivers!$A:$A,0)),"CHECK: driver type does not fit route",IF(OR(INDEX(Vehicles!$E:$E,MATCH(D125,Vehicles!$A:$A,0))="Workshop",INDEX(Vehicles!$E:$E,MATCH(D125,Vehicles!$A:$A,0))="Out of service"),"CHECK: vehicle not available",IF(INDEX(Drivers!$G:$G,MATCH(C125,Drivers!$A:$A,0))&lt;&gt;"Active","CHECK: driver not active",IF(COUNTIFS($A:$A,A125,$C:$C,C125)&gt;1,"CHECK: driver assigned twice",IF(COUNTIFS($A:$A,A125,$D:$D,D125)&gt;1,"CHECK: vehicle assigned twice","OK"))))))))</f>
        <v/>
      </c>
      <c r="H125" s="15"/>
      <c r="I125" s="15"/>
      <c r="J125" s="17" t="str">
        <f aca="false">IF(OR(H125="",H125=0),"",I125/H125)</f>
        <v/>
      </c>
      <c r="K125" s="15"/>
      <c r="L125" s="15"/>
      <c r="M125" s="18"/>
      <c r="N125" s="15"/>
      <c r="O125" s="16" t="str">
        <f aca="false">IF(AND(OR(K125="At risk",K125="Late"),L125=""),"Add a reason code",IF(AND(L125="OTH",N125=""),"Explain OTH in notes",IF(AND(K125="Finished",I125&lt;H125,L125=""),"Add a reason code","")))</f>
        <v/>
      </c>
    </row>
    <row r="126" customFormat="false" ht="15" hidden="false" customHeight="false" outlineLevel="0" collapsed="false">
      <c r="A126" s="14"/>
      <c r="B126" s="15"/>
      <c r="C126" s="15"/>
      <c r="D126" s="15"/>
      <c r="E126" s="16" t="str">
        <f aca="false">IF(C126="","",IFERROR(INDEX(Drivers!$B:$B,MATCH(C126,Drivers!$A:$A,0)),"ID not found"))</f>
        <v/>
      </c>
      <c r="F126" s="16" t="str">
        <f aca="false">IF(B126="","",IFERROR(INDEX(Routes!$B:$B,MATCH(B126,Routes!$A:$A,0)),"ID not found"))</f>
        <v/>
      </c>
      <c r="G126" s="16" t="str">
        <f aca="false">IF(OR(B126="",C126="",D126=""),"",IF(OR(ISNA(MATCH(B126,Routes!$A:$A,0)),ISNA(MATCH(C126,Drivers!$A:$A,0)),ISNA(MATCH(D126,Vehicles!$A:$A,0))),"CHECK: ID not found",IF(INDEX(Routes!$C:$C,MATCH(B126,Routes!$A:$A,0))&lt;&gt;INDEX(Vehicles!$B:$B,MATCH(D126,Vehicles!$A:$A,0)),"CHECK: vehicle type does not fit route",IF(INDEX(Routes!$C:$C,MATCH(B126,Routes!$A:$A,0))&lt;&gt;INDEX(Drivers!$D:$D,MATCH(C126,Drivers!$A:$A,0)),"CHECK: driver type does not fit route",IF(OR(INDEX(Vehicles!$E:$E,MATCH(D126,Vehicles!$A:$A,0))="Workshop",INDEX(Vehicles!$E:$E,MATCH(D126,Vehicles!$A:$A,0))="Out of service"),"CHECK: vehicle not available",IF(INDEX(Drivers!$G:$G,MATCH(C126,Drivers!$A:$A,0))&lt;&gt;"Active","CHECK: driver not active",IF(COUNTIFS($A:$A,A126,$C:$C,C126)&gt;1,"CHECK: driver assigned twice",IF(COUNTIFS($A:$A,A126,$D:$D,D126)&gt;1,"CHECK: vehicle assigned twice","OK"))))))))</f>
        <v/>
      </c>
      <c r="H126" s="15"/>
      <c r="I126" s="15"/>
      <c r="J126" s="17" t="str">
        <f aca="false">IF(OR(H126="",H126=0),"",I126/H126)</f>
        <v/>
      </c>
      <c r="K126" s="15"/>
      <c r="L126" s="15"/>
      <c r="M126" s="18"/>
      <c r="N126" s="15"/>
      <c r="O126" s="16" t="str">
        <f aca="false">IF(AND(OR(K126="At risk",K126="Late"),L126=""),"Add a reason code",IF(AND(L126="OTH",N126=""),"Explain OTH in notes",IF(AND(K126="Finished",I126&lt;H126,L126=""),"Add a reason code","")))</f>
        <v/>
      </c>
    </row>
    <row r="127" customFormat="false" ht="15" hidden="false" customHeight="false" outlineLevel="0" collapsed="false">
      <c r="A127" s="14"/>
      <c r="B127" s="15"/>
      <c r="C127" s="15"/>
      <c r="D127" s="15"/>
      <c r="E127" s="16" t="str">
        <f aca="false">IF(C127="","",IFERROR(INDEX(Drivers!$B:$B,MATCH(C127,Drivers!$A:$A,0)),"ID not found"))</f>
        <v/>
      </c>
      <c r="F127" s="16" t="str">
        <f aca="false">IF(B127="","",IFERROR(INDEX(Routes!$B:$B,MATCH(B127,Routes!$A:$A,0)),"ID not found"))</f>
        <v/>
      </c>
      <c r="G127" s="16" t="str">
        <f aca="false">IF(OR(B127="",C127="",D127=""),"",IF(OR(ISNA(MATCH(B127,Routes!$A:$A,0)),ISNA(MATCH(C127,Drivers!$A:$A,0)),ISNA(MATCH(D127,Vehicles!$A:$A,0))),"CHECK: ID not found",IF(INDEX(Routes!$C:$C,MATCH(B127,Routes!$A:$A,0))&lt;&gt;INDEX(Vehicles!$B:$B,MATCH(D127,Vehicles!$A:$A,0)),"CHECK: vehicle type does not fit route",IF(INDEX(Routes!$C:$C,MATCH(B127,Routes!$A:$A,0))&lt;&gt;INDEX(Drivers!$D:$D,MATCH(C127,Drivers!$A:$A,0)),"CHECK: driver type does not fit route",IF(OR(INDEX(Vehicles!$E:$E,MATCH(D127,Vehicles!$A:$A,0))="Workshop",INDEX(Vehicles!$E:$E,MATCH(D127,Vehicles!$A:$A,0))="Out of service"),"CHECK: vehicle not available",IF(INDEX(Drivers!$G:$G,MATCH(C127,Drivers!$A:$A,0))&lt;&gt;"Active","CHECK: driver not active",IF(COUNTIFS($A:$A,A127,$C:$C,C127)&gt;1,"CHECK: driver assigned twice",IF(COUNTIFS($A:$A,A127,$D:$D,D127)&gt;1,"CHECK: vehicle assigned twice","OK"))))))))</f>
        <v/>
      </c>
      <c r="H127" s="15"/>
      <c r="I127" s="15"/>
      <c r="J127" s="17" t="str">
        <f aca="false">IF(OR(H127="",H127=0),"",I127/H127)</f>
        <v/>
      </c>
      <c r="K127" s="15"/>
      <c r="L127" s="15"/>
      <c r="M127" s="18"/>
      <c r="N127" s="15"/>
      <c r="O127" s="16" t="str">
        <f aca="false">IF(AND(OR(K127="At risk",K127="Late"),L127=""),"Add a reason code",IF(AND(L127="OTH",N127=""),"Explain OTH in notes",IF(AND(K127="Finished",I127&lt;H127,L127=""),"Add a reason code","")))</f>
        <v/>
      </c>
    </row>
    <row r="128" customFormat="false" ht="15" hidden="false" customHeight="false" outlineLevel="0" collapsed="false">
      <c r="A128" s="14"/>
      <c r="B128" s="15"/>
      <c r="C128" s="15"/>
      <c r="D128" s="15"/>
      <c r="E128" s="16" t="str">
        <f aca="false">IF(C128="","",IFERROR(INDEX(Drivers!$B:$B,MATCH(C128,Drivers!$A:$A,0)),"ID not found"))</f>
        <v/>
      </c>
      <c r="F128" s="16" t="str">
        <f aca="false">IF(B128="","",IFERROR(INDEX(Routes!$B:$B,MATCH(B128,Routes!$A:$A,0)),"ID not found"))</f>
        <v/>
      </c>
      <c r="G128" s="16" t="str">
        <f aca="false">IF(OR(B128="",C128="",D128=""),"",IF(OR(ISNA(MATCH(B128,Routes!$A:$A,0)),ISNA(MATCH(C128,Drivers!$A:$A,0)),ISNA(MATCH(D128,Vehicles!$A:$A,0))),"CHECK: ID not found",IF(INDEX(Routes!$C:$C,MATCH(B128,Routes!$A:$A,0))&lt;&gt;INDEX(Vehicles!$B:$B,MATCH(D128,Vehicles!$A:$A,0)),"CHECK: vehicle type does not fit route",IF(INDEX(Routes!$C:$C,MATCH(B128,Routes!$A:$A,0))&lt;&gt;INDEX(Drivers!$D:$D,MATCH(C128,Drivers!$A:$A,0)),"CHECK: driver type does not fit route",IF(OR(INDEX(Vehicles!$E:$E,MATCH(D128,Vehicles!$A:$A,0))="Workshop",INDEX(Vehicles!$E:$E,MATCH(D128,Vehicles!$A:$A,0))="Out of service"),"CHECK: vehicle not available",IF(INDEX(Drivers!$G:$G,MATCH(C128,Drivers!$A:$A,0))&lt;&gt;"Active","CHECK: driver not active",IF(COUNTIFS($A:$A,A128,$C:$C,C128)&gt;1,"CHECK: driver assigned twice",IF(COUNTIFS($A:$A,A128,$D:$D,D128)&gt;1,"CHECK: vehicle assigned twice","OK"))))))))</f>
        <v/>
      </c>
      <c r="H128" s="15"/>
      <c r="I128" s="15"/>
      <c r="J128" s="17" t="str">
        <f aca="false">IF(OR(H128="",H128=0),"",I128/H128)</f>
        <v/>
      </c>
      <c r="K128" s="15"/>
      <c r="L128" s="15"/>
      <c r="M128" s="18"/>
      <c r="N128" s="15"/>
      <c r="O128" s="16" t="str">
        <f aca="false">IF(AND(OR(K128="At risk",K128="Late"),L128=""),"Add a reason code",IF(AND(L128="OTH",N128=""),"Explain OTH in notes",IF(AND(K128="Finished",I128&lt;H128,L128=""),"Add a reason code","")))</f>
        <v/>
      </c>
    </row>
    <row r="129" customFormat="false" ht="15" hidden="false" customHeight="false" outlineLevel="0" collapsed="false">
      <c r="A129" s="14"/>
      <c r="B129" s="15"/>
      <c r="C129" s="15"/>
      <c r="D129" s="15"/>
      <c r="E129" s="16" t="str">
        <f aca="false">IF(C129="","",IFERROR(INDEX(Drivers!$B:$B,MATCH(C129,Drivers!$A:$A,0)),"ID not found"))</f>
        <v/>
      </c>
      <c r="F129" s="16" t="str">
        <f aca="false">IF(B129="","",IFERROR(INDEX(Routes!$B:$B,MATCH(B129,Routes!$A:$A,0)),"ID not found"))</f>
        <v/>
      </c>
      <c r="G129" s="16" t="str">
        <f aca="false">IF(OR(B129="",C129="",D129=""),"",IF(OR(ISNA(MATCH(B129,Routes!$A:$A,0)),ISNA(MATCH(C129,Drivers!$A:$A,0)),ISNA(MATCH(D129,Vehicles!$A:$A,0))),"CHECK: ID not found",IF(INDEX(Routes!$C:$C,MATCH(B129,Routes!$A:$A,0))&lt;&gt;INDEX(Vehicles!$B:$B,MATCH(D129,Vehicles!$A:$A,0)),"CHECK: vehicle type does not fit route",IF(INDEX(Routes!$C:$C,MATCH(B129,Routes!$A:$A,0))&lt;&gt;INDEX(Drivers!$D:$D,MATCH(C129,Drivers!$A:$A,0)),"CHECK: driver type does not fit route",IF(OR(INDEX(Vehicles!$E:$E,MATCH(D129,Vehicles!$A:$A,0))="Workshop",INDEX(Vehicles!$E:$E,MATCH(D129,Vehicles!$A:$A,0))="Out of service"),"CHECK: vehicle not available",IF(INDEX(Drivers!$G:$G,MATCH(C129,Drivers!$A:$A,0))&lt;&gt;"Active","CHECK: driver not active",IF(COUNTIFS($A:$A,A129,$C:$C,C129)&gt;1,"CHECK: driver assigned twice",IF(COUNTIFS($A:$A,A129,$D:$D,D129)&gt;1,"CHECK: vehicle assigned twice","OK"))))))))</f>
        <v/>
      </c>
      <c r="H129" s="15"/>
      <c r="I129" s="15"/>
      <c r="J129" s="17" t="str">
        <f aca="false">IF(OR(H129="",H129=0),"",I129/H129)</f>
        <v/>
      </c>
      <c r="K129" s="15"/>
      <c r="L129" s="15"/>
      <c r="M129" s="18"/>
      <c r="N129" s="15"/>
      <c r="O129" s="16" t="str">
        <f aca="false">IF(AND(OR(K129="At risk",K129="Late"),L129=""),"Add a reason code",IF(AND(L129="OTH",N129=""),"Explain OTH in notes",IF(AND(K129="Finished",I129&lt;H129,L129=""),"Add a reason code","")))</f>
        <v/>
      </c>
    </row>
    <row r="130" customFormat="false" ht="15" hidden="false" customHeight="false" outlineLevel="0" collapsed="false">
      <c r="A130" s="14"/>
      <c r="B130" s="15"/>
      <c r="C130" s="15"/>
      <c r="D130" s="15"/>
      <c r="E130" s="16" t="str">
        <f aca="false">IF(C130="","",IFERROR(INDEX(Drivers!$B:$B,MATCH(C130,Drivers!$A:$A,0)),"ID not found"))</f>
        <v/>
      </c>
      <c r="F130" s="16" t="str">
        <f aca="false">IF(B130="","",IFERROR(INDEX(Routes!$B:$B,MATCH(B130,Routes!$A:$A,0)),"ID not found"))</f>
        <v/>
      </c>
      <c r="G130" s="16" t="str">
        <f aca="false">IF(OR(B130="",C130="",D130=""),"",IF(OR(ISNA(MATCH(B130,Routes!$A:$A,0)),ISNA(MATCH(C130,Drivers!$A:$A,0)),ISNA(MATCH(D130,Vehicles!$A:$A,0))),"CHECK: ID not found",IF(INDEX(Routes!$C:$C,MATCH(B130,Routes!$A:$A,0))&lt;&gt;INDEX(Vehicles!$B:$B,MATCH(D130,Vehicles!$A:$A,0)),"CHECK: vehicle type does not fit route",IF(INDEX(Routes!$C:$C,MATCH(B130,Routes!$A:$A,0))&lt;&gt;INDEX(Drivers!$D:$D,MATCH(C130,Drivers!$A:$A,0)),"CHECK: driver type does not fit route",IF(OR(INDEX(Vehicles!$E:$E,MATCH(D130,Vehicles!$A:$A,0))="Workshop",INDEX(Vehicles!$E:$E,MATCH(D130,Vehicles!$A:$A,0))="Out of service"),"CHECK: vehicle not available",IF(INDEX(Drivers!$G:$G,MATCH(C130,Drivers!$A:$A,0))&lt;&gt;"Active","CHECK: driver not active",IF(COUNTIFS($A:$A,A130,$C:$C,C130)&gt;1,"CHECK: driver assigned twice",IF(COUNTIFS($A:$A,A130,$D:$D,D130)&gt;1,"CHECK: vehicle assigned twice","OK"))))))))</f>
        <v/>
      </c>
      <c r="H130" s="15"/>
      <c r="I130" s="15"/>
      <c r="J130" s="17" t="str">
        <f aca="false">IF(OR(H130="",H130=0),"",I130/H130)</f>
        <v/>
      </c>
      <c r="K130" s="15"/>
      <c r="L130" s="15"/>
      <c r="M130" s="18"/>
      <c r="N130" s="15"/>
      <c r="O130" s="16" t="str">
        <f aca="false">IF(AND(OR(K130="At risk",K130="Late"),L130=""),"Add a reason code",IF(AND(L130="OTH",N130=""),"Explain OTH in notes",IF(AND(K130="Finished",I130&lt;H130,L130=""),"Add a reason code","")))</f>
        <v/>
      </c>
    </row>
    <row r="131" customFormat="false" ht="15" hidden="false" customHeight="false" outlineLevel="0" collapsed="false">
      <c r="A131" s="14"/>
      <c r="B131" s="15"/>
      <c r="C131" s="15"/>
      <c r="D131" s="15"/>
      <c r="E131" s="16" t="str">
        <f aca="false">IF(C131="","",IFERROR(INDEX(Drivers!$B:$B,MATCH(C131,Drivers!$A:$A,0)),"ID not found"))</f>
        <v/>
      </c>
      <c r="F131" s="16" t="str">
        <f aca="false">IF(B131="","",IFERROR(INDEX(Routes!$B:$B,MATCH(B131,Routes!$A:$A,0)),"ID not found"))</f>
        <v/>
      </c>
      <c r="G131" s="16" t="str">
        <f aca="false">IF(OR(B131="",C131="",D131=""),"",IF(OR(ISNA(MATCH(B131,Routes!$A:$A,0)),ISNA(MATCH(C131,Drivers!$A:$A,0)),ISNA(MATCH(D131,Vehicles!$A:$A,0))),"CHECK: ID not found",IF(INDEX(Routes!$C:$C,MATCH(B131,Routes!$A:$A,0))&lt;&gt;INDEX(Vehicles!$B:$B,MATCH(D131,Vehicles!$A:$A,0)),"CHECK: vehicle type does not fit route",IF(INDEX(Routes!$C:$C,MATCH(B131,Routes!$A:$A,0))&lt;&gt;INDEX(Drivers!$D:$D,MATCH(C131,Drivers!$A:$A,0)),"CHECK: driver type does not fit route",IF(OR(INDEX(Vehicles!$E:$E,MATCH(D131,Vehicles!$A:$A,0))="Workshop",INDEX(Vehicles!$E:$E,MATCH(D131,Vehicles!$A:$A,0))="Out of service"),"CHECK: vehicle not available",IF(INDEX(Drivers!$G:$G,MATCH(C131,Drivers!$A:$A,0))&lt;&gt;"Active","CHECK: driver not active",IF(COUNTIFS($A:$A,A131,$C:$C,C131)&gt;1,"CHECK: driver assigned twice",IF(COUNTIFS($A:$A,A131,$D:$D,D131)&gt;1,"CHECK: vehicle assigned twice","OK"))))))))</f>
        <v/>
      </c>
      <c r="H131" s="15"/>
      <c r="I131" s="15"/>
      <c r="J131" s="17" t="str">
        <f aca="false">IF(OR(H131="",H131=0),"",I131/H131)</f>
        <v/>
      </c>
      <c r="K131" s="15"/>
      <c r="L131" s="15"/>
      <c r="M131" s="18"/>
      <c r="N131" s="15"/>
      <c r="O131" s="16" t="str">
        <f aca="false">IF(AND(OR(K131="At risk",K131="Late"),L131=""),"Add a reason code",IF(AND(L131="OTH",N131=""),"Explain OTH in notes",IF(AND(K131="Finished",I131&lt;H131,L131=""),"Add a reason code","")))</f>
        <v/>
      </c>
    </row>
    <row r="132" customFormat="false" ht="15" hidden="false" customHeight="false" outlineLevel="0" collapsed="false">
      <c r="A132" s="14"/>
      <c r="B132" s="15"/>
      <c r="C132" s="15"/>
      <c r="D132" s="15"/>
      <c r="E132" s="16" t="str">
        <f aca="false">IF(C132="","",IFERROR(INDEX(Drivers!$B:$B,MATCH(C132,Drivers!$A:$A,0)),"ID not found"))</f>
        <v/>
      </c>
      <c r="F132" s="16" t="str">
        <f aca="false">IF(B132="","",IFERROR(INDEX(Routes!$B:$B,MATCH(B132,Routes!$A:$A,0)),"ID not found"))</f>
        <v/>
      </c>
      <c r="G132" s="16" t="str">
        <f aca="false">IF(OR(B132="",C132="",D132=""),"",IF(OR(ISNA(MATCH(B132,Routes!$A:$A,0)),ISNA(MATCH(C132,Drivers!$A:$A,0)),ISNA(MATCH(D132,Vehicles!$A:$A,0))),"CHECK: ID not found",IF(INDEX(Routes!$C:$C,MATCH(B132,Routes!$A:$A,0))&lt;&gt;INDEX(Vehicles!$B:$B,MATCH(D132,Vehicles!$A:$A,0)),"CHECK: vehicle type does not fit route",IF(INDEX(Routes!$C:$C,MATCH(B132,Routes!$A:$A,0))&lt;&gt;INDEX(Drivers!$D:$D,MATCH(C132,Drivers!$A:$A,0)),"CHECK: driver type does not fit route",IF(OR(INDEX(Vehicles!$E:$E,MATCH(D132,Vehicles!$A:$A,0))="Workshop",INDEX(Vehicles!$E:$E,MATCH(D132,Vehicles!$A:$A,0))="Out of service"),"CHECK: vehicle not available",IF(INDEX(Drivers!$G:$G,MATCH(C132,Drivers!$A:$A,0))&lt;&gt;"Active","CHECK: driver not active",IF(COUNTIFS($A:$A,A132,$C:$C,C132)&gt;1,"CHECK: driver assigned twice",IF(COUNTIFS($A:$A,A132,$D:$D,D132)&gt;1,"CHECK: vehicle assigned twice","OK"))))))))</f>
        <v/>
      </c>
      <c r="H132" s="15"/>
      <c r="I132" s="15"/>
      <c r="J132" s="17" t="str">
        <f aca="false">IF(OR(H132="",H132=0),"",I132/H132)</f>
        <v/>
      </c>
      <c r="K132" s="15"/>
      <c r="L132" s="15"/>
      <c r="M132" s="18"/>
      <c r="N132" s="15"/>
      <c r="O132" s="16" t="str">
        <f aca="false">IF(AND(OR(K132="At risk",K132="Late"),L132=""),"Add a reason code",IF(AND(L132="OTH",N132=""),"Explain OTH in notes",IF(AND(K132="Finished",I132&lt;H132,L132=""),"Add a reason code","")))</f>
        <v/>
      </c>
    </row>
    <row r="133" customFormat="false" ht="15" hidden="false" customHeight="false" outlineLevel="0" collapsed="false">
      <c r="A133" s="14"/>
      <c r="B133" s="15"/>
      <c r="C133" s="15"/>
      <c r="D133" s="15"/>
      <c r="E133" s="16" t="str">
        <f aca="false">IF(C133="","",IFERROR(INDEX(Drivers!$B:$B,MATCH(C133,Drivers!$A:$A,0)),"ID not found"))</f>
        <v/>
      </c>
      <c r="F133" s="16" t="str">
        <f aca="false">IF(B133="","",IFERROR(INDEX(Routes!$B:$B,MATCH(B133,Routes!$A:$A,0)),"ID not found"))</f>
        <v/>
      </c>
      <c r="G133" s="16" t="str">
        <f aca="false">IF(OR(B133="",C133="",D133=""),"",IF(OR(ISNA(MATCH(B133,Routes!$A:$A,0)),ISNA(MATCH(C133,Drivers!$A:$A,0)),ISNA(MATCH(D133,Vehicles!$A:$A,0))),"CHECK: ID not found",IF(INDEX(Routes!$C:$C,MATCH(B133,Routes!$A:$A,0))&lt;&gt;INDEX(Vehicles!$B:$B,MATCH(D133,Vehicles!$A:$A,0)),"CHECK: vehicle type does not fit route",IF(INDEX(Routes!$C:$C,MATCH(B133,Routes!$A:$A,0))&lt;&gt;INDEX(Drivers!$D:$D,MATCH(C133,Drivers!$A:$A,0)),"CHECK: driver type does not fit route",IF(OR(INDEX(Vehicles!$E:$E,MATCH(D133,Vehicles!$A:$A,0))="Workshop",INDEX(Vehicles!$E:$E,MATCH(D133,Vehicles!$A:$A,0))="Out of service"),"CHECK: vehicle not available",IF(INDEX(Drivers!$G:$G,MATCH(C133,Drivers!$A:$A,0))&lt;&gt;"Active","CHECK: driver not active",IF(COUNTIFS($A:$A,A133,$C:$C,C133)&gt;1,"CHECK: driver assigned twice",IF(COUNTIFS($A:$A,A133,$D:$D,D133)&gt;1,"CHECK: vehicle assigned twice","OK"))))))))</f>
        <v/>
      </c>
      <c r="H133" s="15"/>
      <c r="I133" s="15"/>
      <c r="J133" s="17" t="str">
        <f aca="false">IF(OR(H133="",H133=0),"",I133/H133)</f>
        <v/>
      </c>
      <c r="K133" s="15"/>
      <c r="L133" s="15"/>
      <c r="M133" s="18"/>
      <c r="N133" s="15"/>
      <c r="O133" s="16" t="str">
        <f aca="false">IF(AND(OR(K133="At risk",K133="Late"),L133=""),"Add a reason code",IF(AND(L133="OTH",N133=""),"Explain OTH in notes",IF(AND(K133="Finished",I133&lt;H133,L133=""),"Add a reason code","")))</f>
        <v/>
      </c>
    </row>
    <row r="134" customFormat="false" ht="15" hidden="false" customHeight="false" outlineLevel="0" collapsed="false">
      <c r="A134" s="14"/>
      <c r="B134" s="15"/>
      <c r="C134" s="15"/>
      <c r="D134" s="15"/>
      <c r="E134" s="16" t="str">
        <f aca="false">IF(C134="","",IFERROR(INDEX(Drivers!$B:$B,MATCH(C134,Drivers!$A:$A,0)),"ID not found"))</f>
        <v/>
      </c>
      <c r="F134" s="16" t="str">
        <f aca="false">IF(B134="","",IFERROR(INDEX(Routes!$B:$B,MATCH(B134,Routes!$A:$A,0)),"ID not found"))</f>
        <v/>
      </c>
      <c r="G134" s="16" t="str">
        <f aca="false">IF(OR(B134="",C134="",D134=""),"",IF(OR(ISNA(MATCH(B134,Routes!$A:$A,0)),ISNA(MATCH(C134,Drivers!$A:$A,0)),ISNA(MATCH(D134,Vehicles!$A:$A,0))),"CHECK: ID not found",IF(INDEX(Routes!$C:$C,MATCH(B134,Routes!$A:$A,0))&lt;&gt;INDEX(Vehicles!$B:$B,MATCH(D134,Vehicles!$A:$A,0)),"CHECK: vehicle type does not fit route",IF(INDEX(Routes!$C:$C,MATCH(B134,Routes!$A:$A,0))&lt;&gt;INDEX(Drivers!$D:$D,MATCH(C134,Drivers!$A:$A,0)),"CHECK: driver type does not fit route",IF(OR(INDEX(Vehicles!$E:$E,MATCH(D134,Vehicles!$A:$A,0))="Workshop",INDEX(Vehicles!$E:$E,MATCH(D134,Vehicles!$A:$A,0))="Out of service"),"CHECK: vehicle not available",IF(INDEX(Drivers!$G:$G,MATCH(C134,Drivers!$A:$A,0))&lt;&gt;"Active","CHECK: driver not active",IF(COUNTIFS($A:$A,A134,$C:$C,C134)&gt;1,"CHECK: driver assigned twice",IF(COUNTIFS($A:$A,A134,$D:$D,D134)&gt;1,"CHECK: vehicle assigned twice","OK"))))))))</f>
        <v/>
      </c>
      <c r="H134" s="15"/>
      <c r="I134" s="15"/>
      <c r="J134" s="17" t="str">
        <f aca="false">IF(OR(H134="",H134=0),"",I134/H134)</f>
        <v/>
      </c>
      <c r="K134" s="15"/>
      <c r="L134" s="15"/>
      <c r="M134" s="18"/>
      <c r="N134" s="15"/>
      <c r="O134" s="16" t="str">
        <f aca="false">IF(AND(OR(K134="At risk",K134="Late"),L134=""),"Add a reason code",IF(AND(L134="OTH",N134=""),"Explain OTH in notes",IF(AND(K134="Finished",I134&lt;H134,L134=""),"Add a reason code","")))</f>
        <v/>
      </c>
    </row>
    <row r="135" customFormat="false" ht="15" hidden="false" customHeight="false" outlineLevel="0" collapsed="false">
      <c r="A135" s="14"/>
      <c r="B135" s="15"/>
      <c r="C135" s="15"/>
      <c r="D135" s="15"/>
      <c r="E135" s="16" t="str">
        <f aca="false">IF(C135="","",IFERROR(INDEX(Drivers!$B:$B,MATCH(C135,Drivers!$A:$A,0)),"ID not found"))</f>
        <v/>
      </c>
      <c r="F135" s="16" t="str">
        <f aca="false">IF(B135="","",IFERROR(INDEX(Routes!$B:$B,MATCH(B135,Routes!$A:$A,0)),"ID not found"))</f>
        <v/>
      </c>
      <c r="G135" s="16" t="str">
        <f aca="false">IF(OR(B135="",C135="",D135=""),"",IF(OR(ISNA(MATCH(B135,Routes!$A:$A,0)),ISNA(MATCH(C135,Drivers!$A:$A,0)),ISNA(MATCH(D135,Vehicles!$A:$A,0))),"CHECK: ID not found",IF(INDEX(Routes!$C:$C,MATCH(B135,Routes!$A:$A,0))&lt;&gt;INDEX(Vehicles!$B:$B,MATCH(D135,Vehicles!$A:$A,0)),"CHECK: vehicle type does not fit route",IF(INDEX(Routes!$C:$C,MATCH(B135,Routes!$A:$A,0))&lt;&gt;INDEX(Drivers!$D:$D,MATCH(C135,Drivers!$A:$A,0)),"CHECK: driver type does not fit route",IF(OR(INDEX(Vehicles!$E:$E,MATCH(D135,Vehicles!$A:$A,0))="Workshop",INDEX(Vehicles!$E:$E,MATCH(D135,Vehicles!$A:$A,0))="Out of service"),"CHECK: vehicle not available",IF(INDEX(Drivers!$G:$G,MATCH(C135,Drivers!$A:$A,0))&lt;&gt;"Active","CHECK: driver not active",IF(COUNTIFS($A:$A,A135,$C:$C,C135)&gt;1,"CHECK: driver assigned twice",IF(COUNTIFS($A:$A,A135,$D:$D,D135)&gt;1,"CHECK: vehicle assigned twice","OK"))))))))</f>
        <v/>
      </c>
      <c r="H135" s="15"/>
      <c r="I135" s="15"/>
      <c r="J135" s="17" t="str">
        <f aca="false">IF(OR(H135="",H135=0),"",I135/H135)</f>
        <v/>
      </c>
      <c r="K135" s="15"/>
      <c r="L135" s="15"/>
      <c r="M135" s="18"/>
      <c r="N135" s="15"/>
      <c r="O135" s="16" t="str">
        <f aca="false">IF(AND(OR(K135="At risk",K135="Late"),L135=""),"Add a reason code",IF(AND(L135="OTH",N135=""),"Explain OTH in notes",IF(AND(K135="Finished",I135&lt;H135,L135=""),"Add a reason code","")))</f>
        <v/>
      </c>
    </row>
    <row r="136" customFormat="false" ht="15" hidden="false" customHeight="false" outlineLevel="0" collapsed="false">
      <c r="A136" s="14"/>
      <c r="B136" s="15"/>
      <c r="C136" s="15"/>
      <c r="D136" s="15"/>
      <c r="E136" s="16" t="str">
        <f aca="false">IF(C136="","",IFERROR(INDEX(Drivers!$B:$B,MATCH(C136,Drivers!$A:$A,0)),"ID not found"))</f>
        <v/>
      </c>
      <c r="F136" s="16" t="str">
        <f aca="false">IF(B136="","",IFERROR(INDEX(Routes!$B:$B,MATCH(B136,Routes!$A:$A,0)),"ID not found"))</f>
        <v/>
      </c>
      <c r="G136" s="16" t="str">
        <f aca="false">IF(OR(B136="",C136="",D136=""),"",IF(OR(ISNA(MATCH(B136,Routes!$A:$A,0)),ISNA(MATCH(C136,Drivers!$A:$A,0)),ISNA(MATCH(D136,Vehicles!$A:$A,0))),"CHECK: ID not found",IF(INDEX(Routes!$C:$C,MATCH(B136,Routes!$A:$A,0))&lt;&gt;INDEX(Vehicles!$B:$B,MATCH(D136,Vehicles!$A:$A,0)),"CHECK: vehicle type does not fit route",IF(INDEX(Routes!$C:$C,MATCH(B136,Routes!$A:$A,0))&lt;&gt;INDEX(Drivers!$D:$D,MATCH(C136,Drivers!$A:$A,0)),"CHECK: driver type does not fit route",IF(OR(INDEX(Vehicles!$E:$E,MATCH(D136,Vehicles!$A:$A,0))="Workshop",INDEX(Vehicles!$E:$E,MATCH(D136,Vehicles!$A:$A,0))="Out of service"),"CHECK: vehicle not available",IF(INDEX(Drivers!$G:$G,MATCH(C136,Drivers!$A:$A,0))&lt;&gt;"Active","CHECK: driver not active",IF(COUNTIFS($A:$A,A136,$C:$C,C136)&gt;1,"CHECK: driver assigned twice",IF(COUNTIFS($A:$A,A136,$D:$D,D136)&gt;1,"CHECK: vehicle assigned twice","OK"))))))))</f>
        <v/>
      </c>
      <c r="H136" s="15"/>
      <c r="I136" s="15"/>
      <c r="J136" s="17" t="str">
        <f aca="false">IF(OR(H136="",H136=0),"",I136/H136)</f>
        <v/>
      </c>
      <c r="K136" s="15"/>
      <c r="L136" s="15"/>
      <c r="M136" s="18"/>
      <c r="N136" s="15"/>
      <c r="O136" s="16" t="str">
        <f aca="false">IF(AND(OR(K136="At risk",K136="Late"),L136=""),"Add a reason code",IF(AND(L136="OTH",N136=""),"Explain OTH in notes",IF(AND(K136="Finished",I136&lt;H136,L136=""),"Add a reason code","")))</f>
        <v/>
      </c>
    </row>
    <row r="137" customFormat="false" ht="15" hidden="false" customHeight="false" outlineLevel="0" collapsed="false">
      <c r="A137" s="14"/>
      <c r="B137" s="15"/>
      <c r="C137" s="15"/>
      <c r="D137" s="15"/>
      <c r="E137" s="16" t="str">
        <f aca="false">IF(C137="","",IFERROR(INDEX(Drivers!$B:$B,MATCH(C137,Drivers!$A:$A,0)),"ID not found"))</f>
        <v/>
      </c>
      <c r="F137" s="16" t="str">
        <f aca="false">IF(B137="","",IFERROR(INDEX(Routes!$B:$B,MATCH(B137,Routes!$A:$A,0)),"ID not found"))</f>
        <v/>
      </c>
      <c r="G137" s="16" t="str">
        <f aca="false">IF(OR(B137="",C137="",D137=""),"",IF(OR(ISNA(MATCH(B137,Routes!$A:$A,0)),ISNA(MATCH(C137,Drivers!$A:$A,0)),ISNA(MATCH(D137,Vehicles!$A:$A,0))),"CHECK: ID not found",IF(INDEX(Routes!$C:$C,MATCH(B137,Routes!$A:$A,0))&lt;&gt;INDEX(Vehicles!$B:$B,MATCH(D137,Vehicles!$A:$A,0)),"CHECK: vehicle type does not fit route",IF(INDEX(Routes!$C:$C,MATCH(B137,Routes!$A:$A,0))&lt;&gt;INDEX(Drivers!$D:$D,MATCH(C137,Drivers!$A:$A,0)),"CHECK: driver type does not fit route",IF(OR(INDEX(Vehicles!$E:$E,MATCH(D137,Vehicles!$A:$A,0))="Workshop",INDEX(Vehicles!$E:$E,MATCH(D137,Vehicles!$A:$A,0))="Out of service"),"CHECK: vehicle not available",IF(INDEX(Drivers!$G:$G,MATCH(C137,Drivers!$A:$A,0))&lt;&gt;"Active","CHECK: driver not active",IF(COUNTIFS($A:$A,A137,$C:$C,C137)&gt;1,"CHECK: driver assigned twice",IF(COUNTIFS($A:$A,A137,$D:$D,D137)&gt;1,"CHECK: vehicle assigned twice","OK"))))))))</f>
        <v/>
      </c>
      <c r="H137" s="15"/>
      <c r="I137" s="15"/>
      <c r="J137" s="17" t="str">
        <f aca="false">IF(OR(H137="",H137=0),"",I137/H137)</f>
        <v/>
      </c>
      <c r="K137" s="15"/>
      <c r="L137" s="15"/>
      <c r="M137" s="18"/>
      <c r="N137" s="15"/>
      <c r="O137" s="16" t="str">
        <f aca="false">IF(AND(OR(K137="At risk",K137="Late"),L137=""),"Add a reason code",IF(AND(L137="OTH",N137=""),"Explain OTH in notes",IF(AND(K137="Finished",I137&lt;H137,L137=""),"Add a reason code","")))</f>
        <v/>
      </c>
    </row>
    <row r="138" customFormat="false" ht="15" hidden="false" customHeight="false" outlineLevel="0" collapsed="false">
      <c r="A138" s="14"/>
      <c r="B138" s="15"/>
      <c r="C138" s="15"/>
      <c r="D138" s="15"/>
      <c r="E138" s="16" t="str">
        <f aca="false">IF(C138="","",IFERROR(INDEX(Drivers!$B:$B,MATCH(C138,Drivers!$A:$A,0)),"ID not found"))</f>
        <v/>
      </c>
      <c r="F138" s="16" t="str">
        <f aca="false">IF(B138="","",IFERROR(INDEX(Routes!$B:$B,MATCH(B138,Routes!$A:$A,0)),"ID not found"))</f>
        <v/>
      </c>
      <c r="G138" s="16" t="str">
        <f aca="false">IF(OR(B138="",C138="",D138=""),"",IF(OR(ISNA(MATCH(B138,Routes!$A:$A,0)),ISNA(MATCH(C138,Drivers!$A:$A,0)),ISNA(MATCH(D138,Vehicles!$A:$A,0))),"CHECK: ID not found",IF(INDEX(Routes!$C:$C,MATCH(B138,Routes!$A:$A,0))&lt;&gt;INDEX(Vehicles!$B:$B,MATCH(D138,Vehicles!$A:$A,0)),"CHECK: vehicle type does not fit route",IF(INDEX(Routes!$C:$C,MATCH(B138,Routes!$A:$A,0))&lt;&gt;INDEX(Drivers!$D:$D,MATCH(C138,Drivers!$A:$A,0)),"CHECK: driver type does not fit route",IF(OR(INDEX(Vehicles!$E:$E,MATCH(D138,Vehicles!$A:$A,0))="Workshop",INDEX(Vehicles!$E:$E,MATCH(D138,Vehicles!$A:$A,0))="Out of service"),"CHECK: vehicle not available",IF(INDEX(Drivers!$G:$G,MATCH(C138,Drivers!$A:$A,0))&lt;&gt;"Active","CHECK: driver not active",IF(COUNTIFS($A:$A,A138,$C:$C,C138)&gt;1,"CHECK: driver assigned twice",IF(COUNTIFS($A:$A,A138,$D:$D,D138)&gt;1,"CHECK: vehicle assigned twice","OK"))))))))</f>
        <v/>
      </c>
      <c r="H138" s="15"/>
      <c r="I138" s="15"/>
      <c r="J138" s="17" t="str">
        <f aca="false">IF(OR(H138="",H138=0),"",I138/H138)</f>
        <v/>
      </c>
      <c r="K138" s="15"/>
      <c r="L138" s="15"/>
      <c r="M138" s="18"/>
      <c r="N138" s="15"/>
      <c r="O138" s="16" t="str">
        <f aca="false">IF(AND(OR(K138="At risk",K138="Late"),L138=""),"Add a reason code",IF(AND(L138="OTH",N138=""),"Explain OTH in notes",IF(AND(K138="Finished",I138&lt;H138,L138=""),"Add a reason code","")))</f>
        <v/>
      </c>
    </row>
    <row r="139" customFormat="false" ht="15" hidden="false" customHeight="false" outlineLevel="0" collapsed="false">
      <c r="A139" s="14"/>
      <c r="B139" s="15"/>
      <c r="C139" s="15"/>
      <c r="D139" s="15"/>
      <c r="E139" s="16" t="str">
        <f aca="false">IF(C139="","",IFERROR(INDEX(Drivers!$B:$B,MATCH(C139,Drivers!$A:$A,0)),"ID not found"))</f>
        <v/>
      </c>
      <c r="F139" s="16" t="str">
        <f aca="false">IF(B139="","",IFERROR(INDEX(Routes!$B:$B,MATCH(B139,Routes!$A:$A,0)),"ID not found"))</f>
        <v/>
      </c>
      <c r="G139" s="16" t="str">
        <f aca="false">IF(OR(B139="",C139="",D139=""),"",IF(OR(ISNA(MATCH(B139,Routes!$A:$A,0)),ISNA(MATCH(C139,Drivers!$A:$A,0)),ISNA(MATCH(D139,Vehicles!$A:$A,0))),"CHECK: ID not found",IF(INDEX(Routes!$C:$C,MATCH(B139,Routes!$A:$A,0))&lt;&gt;INDEX(Vehicles!$B:$B,MATCH(D139,Vehicles!$A:$A,0)),"CHECK: vehicle type does not fit route",IF(INDEX(Routes!$C:$C,MATCH(B139,Routes!$A:$A,0))&lt;&gt;INDEX(Drivers!$D:$D,MATCH(C139,Drivers!$A:$A,0)),"CHECK: driver type does not fit route",IF(OR(INDEX(Vehicles!$E:$E,MATCH(D139,Vehicles!$A:$A,0))="Workshop",INDEX(Vehicles!$E:$E,MATCH(D139,Vehicles!$A:$A,0))="Out of service"),"CHECK: vehicle not available",IF(INDEX(Drivers!$G:$G,MATCH(C139,Drivers!$A:$A,0))&lt;&gt;"Active","CHECK: driver not active",IF(COUNTIFS($A:$A,A139,$C:$C,C139)&gt;1,"CHECK: driver assigned twice",IF(COUNTIFS($A:$A,A139,$D:$D,D139)&gt;1,"CHECK: vehicle assigned twice","OK"))))))))</f>
        <v/>
      </c>
      <c r="H139" s="15"/>
      <c r="I139" s="15"/>
      <c r="J139" s="17" t="str">
        <f aca="false">IF(OR(H139="",H139=0),"",I139/H139)</f>
        <v/>
      </c>
      <c r="K139" s="15"/>
      <c r="L139" s="15"/>
      <c r="M139" s="18"/>
      <c r="N139" s="15"/>
      <c r="O139" s="16" t="str">
        <f aca="false">IF(AND(OR(K139="At risk",K139="Late"),L139=""),"Add a reason code",IF(AND(L139="OTH",N139=""),"Explain OTH in notes",IF(AND(K139="Finished",I139&lt;H139,L139=""),"Add a reason code","")))</f>
        <v/>
      </c>
    </row>
    <row r="140" customFormat="false" ht="15" hidden="false" customHeight="false" outlineLevel="0" collapsed="false">
      <c r="A140" s="14"/>
      <c r="B140" s="15"/>
      <c r="C140" s="15"/>
      <c r="D140" s="15"/>
      <c r="E140" s="16" t="str">
        <f aca="false">IF(C140="","",IFERROR(INDEX(Drivers!$B:$B,MATCH(C140,Drivers!$A:$A,0)),"ID not found"))</f>
        <v/>
      </c>
      <c r="F140" s="16" t="str">
        <f aca="false">IF(B140="","",IFERROR(INDEX(Routes!$B:$B,MATCH(B140,Routes!$A:$A,0)),"ID not found"))</f>
        <v/>
      </c>
      <c r="G140" s="16" t="str">
        <f aca="false">IF(OR(B140="",C140="",D140=""),"",IF(OR(ISNA(MATCH(B140,Routes!$A:$A,0)),ISNA(MATCH(C140,Drivers!$A:$A,0)),ISNA(MATCH(D140,Vehicles!$A:$A,0))),"CHECK: ID not found",IF(INDEX(Routes!$C:$C,MATCH(B140,Routes!$A:$A,0))&lt;&gt;INDEX(Vehicles!$B:$B,MATCH(D140,Vehicles!$A:$A,0)),"CHECK: vehicle type does not fit route",IF(INDEX(Routes!$C:$C,MATCH(B140,Routes!$A:$A,0))&lt;&gt;INDEX(Drivers!$D:$D,MATCH(C140,Drivers!$A:$A,0)),"CHECK: driver type does not fit route",IF(OR(INDEX(Vehicles!$E:$E,MATCH(D140,Vehicles!$A:$A,0))="Workshop",INDEX(Vehicles!$E:$E,MATCH(D140,Vehicles!$A:$A,0))="Out of service"),"CHECK: vehicle not available",IF(INDEX(Drivers!$G:$G,MATCH(C140,Drivers!$A:$A,0))&lt;&gt;"Active","CHECK: driver not active",IF(COUNTIFS($A:$A,A140,$C:$C,C140)&gt;1,"CHECK: driver assigned twice",IF(COUNTIFS($A:$A,A140,$D:$D,D140)&gt;1,"CHECK: vehicle assigned twice","OK"))))))))</f>
        <v/>
      </c>
      <c r="H140" s="15"/>
      <c r="I140" s="15"/>
      <c r="J140" s="17" t="str">
        <f aca="false">IF(OR(H140="",H140=0),"",I140/H140)</f>
        <v/>
      </c>
      <c r="K140" s="15"/>
      <c r="L140" s="15"/>
      <c r="M140" s="18"/>
      <c r="N140" s="15"/>
      <c r="O140" s="16" t="str">
        <f aca="false">IF(AND(OR(K140="At risk",K140="Late"),L140=""),"Add a reason code",IF(AND(L140="OTH",N140=""),"Explain OTH in notes",IF(AND(K140="Finished",I140&lt;H140,L140=""),"Add a reason code","")))</f>
        <v/>
      </c>
    </row>
    <row r="141" customFormat="false" ht="15" hidden="false" customHeight="false" outlineLevel="0" collapsed="false">
      <c r="A141" s="14"/>
      <c r="B141" s="15"/>
      <c r="C141" s="15"/>
      <c r="D141" s="15"/>
      <c r="E141" s="16" t="str">
        <f aca="false">IF(C141="","",IFERROR(INDEX(Drivers!$B:$B,MATCH(C141,Drivers!$A:$A,0)),"ID not found"))</f>
        <v/>
      </c>
      <c r="F141" s="16" t="str">
        <f aca="false">IF(B141="","",IFERROR(INDEX(Routes!$B:$B,MATCH(B141,Routes!$A:$A,0)),"ID not found"))</f>
        <v/>
      </c>
      <c r="G141" s="16" t="str">
        <f aca="false">IF(OR(B141="",C141="",D141=""),"",IF(OR(ISNA(MATCH(B141,Routes!$A:$A,0)),ISNA(MATCH(C141,Drivers!$A:$A,0)),ISNA(MATCH(D141,Vehicles!$A:$A,0))),"CHECK: ID not found",IF(INDEX(Routes!$C:$C,MATCH(B141,Routes!$A:$A,0))&lt;&gt;INDEX(Vehicles!$B:$B,MATCH(D141,Vehicles!$A:$A,0)),"CHECK: vehicle type does not fit route",IF(INDEX(Routes!$C:$C,MATCH(B141,Routes!$A:$A,0))&lt;&gt;INDEX(Drivers!$D:$D,MATCH(C141,Drivers!$A:$A,0)),"CHECK: driver type does not fit route",IF(OR(INDEX(Vehicles!$E:$E,MATCH(D141,Vehicles!$A:$A,0))="Workshop",INDEX(Vehicles!$E:$E,MATCH(D141,Vehicles!$A:$A,0))="Out of service"),"CHECK: vehicle not available",IF(INDEX(Drivers!$G:$G,MATCH(C141,Drivers!$A:$A,0))&lt;&gt;"Active","CHECK: driver not active",IF(COUNTIFS($A:$A,A141,$C:$C,C141)&gt;1,"CHECK: driver assigned twice",IF(COUNTIFS($A:$A,A141,$D:$D,D141)&gt;1,"CHECK: vehicle assigned twice","OK"))))))))</f>
        <v/>
      </c>
      <c r="H141" s="15"/>
      <c r="I141" s="15"/>
      <c r="J141" s="17" t="str">
        <f aca="false">IF(OR(H141="",H141=0),"",I141/H141)</f>
        <v/>
      </c>
      <c r="K141" s="15"/>
      <c r="L141" s="15"/>
      <c r="M141" s="18"/>
      <c r="N141" s="15"/>
      <c r="O141" s="16" t="str">
        <f aca="false">IF(AND(OR(K141="At risk",K141="Late"),L141=""),"Add a reason code",IF(AND(L141="OTH",N141=""),"Explain OTH in notes",IF(AND(K141="Finished",I141&lt;H141,L141=""),"Add a reason code","")))</f>
        <v/>
      </c>
    </row>
    <row r="142" customFormat="false" ht="15" hidden="false" customHeight="false" outlineLevel="0" collapsed="false">
      <c r="A142" s="14"/>
      <c r="B142" s="15"/>
      <c r="C142" s="15"/>
      <c r="D142" s="15"/>
      <c r="E142" s="16" t="str">
        <f aca="false">IF(C142="","",IFERROR(INDEX(Drivers!$B:$B,MATCH(C142,Drivers!$A:$A,0)),"ID not found"))</f>
        <v/>
      </c>
      <c r="F142" s="16" t="str">
        <f aca="false">IF(B142="","",IFERROR(INDEX(Routes!$B:$B,MATCH(B142,Routes!$A:$A,0)),"ID not found"))</f>
        <v/>
      </c>
      <c r="G142" s="16" t="str">
        <f aca="false">IF(OR(B142="",C142="",D142=""),"",IF(OR(ISNA(MATCH(B142,Routes!$A:$A,0)),ISNA(MATCH(C142,Drivers!$A:$A,0)),ISNA(MATCH(D142,Vehicles!$A:$A,0))),"CHECK: ID not found",IF(INDEX(Routes!$C:$C,MATCH(B142,Routes!$A:$A,0))&lt;&gt;INDEX(Vehicles!$B:$B,MATCH(D142,Vehicles!$A:$A,0)),"CHECK: vehicle type does not fit route",IF(INDEX(Routes!$C:$C,MATCH(B142,Routes!$A:$A,0))&lt;&gt;INDEX(Drivers!$D:$D,MATCH(C142,Drivers!$A:$A,0)),"CHECK: driver type does not fit route",IF(OR(INDEX(Vehicles!$E:$E,MATCH(D142,Vehicles!$A:$A,0))="Workshop",INDEX(Vehicles!$E:$E,MATCH(D142,Vehicles!$A:$A,0))="Out of service"),"CHECK: vehicle not available",IF(INDEX(Drivers!$G:$G,MATCH(C142,Drivers!$A:$A,0))&lt;&gt;"Active","CHECK: driver not active",IF(COUNTIFS($A:$A,A142,$C:$C,C142)&gt;1,"CHECK: driver assigned twice",IF(COUNTIFS($A:$A,A142,$D:$D,D142)&gt;1,"CHECK: vehicle assigned twice","OK"))))))))</f>
        <v/>
      </c>
      <c r="H142" s="15"/>
      <c r="I142" s="15"/>
      <c r="J142" s="17" t="str">
        <f aca="false">IF(OR(H142="",H142=0),"",I142/H142)</f>
        <v/>
      </c>
      <c r="K142" s="15"/>
      <c r="L142" s="15"/>
      <c r="M142" s="18"/>
      <c r="N142" s="15"/>
      <c r="O142" s="16" t="str">
        <f aca="false">IF(AND(OR(K142="At risk",K142="Late"),L142=""),"Add a reason code",IF(AND(L142="OTH",N142=""),"Explain OTH in notes",IF(AND(K142="Finished",I142&lt;H142,L142=""),"Add a reason code","")))</f>
        <v/>
      </c>
    </row>
    <row r="143" customFormat="false" ht="15" hidden="false" customHeight="false" outlineLevel="0" collapsed="false">
      <c r="A143" s="14"/>
      <c r="B143" s="15"/>
      <c r="C143" s="15"/>
      <c r="D143" s="15"/>
      <c r="E143" s="16" t="str">
        <f aca="false">IF(C143="","",IFERROR(INDEX(Drivers!$B:$B,MATCH(C143,Drivers!$A:$A,0)),"ID not found"))</f>
        <v/>
      </c>
      <c r="F143" s="16" t="str">
        <f aca="false">IF(B143="","",IFERROR(INDEX(Routes!$B:$B,MATCH(B143,Routes!$A:$A,0)),"ID not found"))</f>
        <v/>
      </c>
      <c r="G143" s="16" t="str">
        <f aca="false">IF(OR(B143="",C143="",D143=""),"",IF(OR(ISNA(MATCH(B143,Routes!$A:$A,0)),ISNA(MATCH(C143,Drivers!$A:$A,0)),ISNA(MATCH(D143,Vehicles!$A:$A,0))),"CHECK: ID not found",IF(INDEX(Routes!$C:$C,MATCH(B143,Routes!$A:$A,0))&lt;&gt;INDEX(Vehicles!$B:$B,MATCH(D143,Vehicles!$A:$A,0)),"CHECK: vehicle type does not fit route",IF(INDEX(Routes!$C:$C,MATCH(B143,Routes!$A:$A,0))&lt;&gt;INDEX(Drivers!$D:$D,MATCH(C143,Drivers!$A:$A,0)),"CHECK: driver type does not fit route",IF(OR(INDEX(Vehicles!$E:$E,MATCH(D143,Vehicles!$A:$A,0))="Workshop",INDEX(Vehicles!$E:$E,MATCH(D143,Vehicles!$A:$A,0))="Out of service"),"CHECK: vehicle not available",IF(INDEX(Drivers!$G:$G,MATCH(C143,Drivers!$A:$A,0))&lt;&gt;"Active","CHECK: driver not active",IF(COUNTIFS($A:$A,A143,$C:$C,C143)&gt;1,"CHECK: driver assigned twice",IF(COUNTIFS($A:$A,A143,$D:$D,D143)&gt;1,"CHECK: vehicle assigned twice","OK"))))))))</f>
        <v/>
      </c>
      <c r="H143" s="15"/>
      <c r="I143" s="15"/>
      <c r="J143" s="17" t="str">
        <f aca="false">IF(OR(H143="",H143=0),"",I143/H143)</f>
        <v/>
      </c>
      <c r="K143" s="15"/>
      <c r="L143" s="15"/>
      <c r="M143" s="18"/>
      <c r="N143" s="15"/>
      <c r="O143" s="16" t="str">
        <f aca="false">IF(AND(OR(K143="At risk",K143="Late"),L143=""),"Add a reason code",IF(AND(L143="OTH",N143=""),"Explain OTH in notes",IF(AND(K143="Finished",I143&lt;H143,L143=""),"Add a reason code","")))</f>
        <v/>
      </c>
    </row>
    <row r="144" customFormat="false" ht="15" hidden="false" customHeight="false" outlineLevel="0" collapsed="false">
      <c r="A144" s="14"/>
      <c r="B144" s="15"/>
      <c r="C144" s="15"/>
      <c r="D144" s="15"/>
      <c r="E144" s="16" t="str">
        <f aca="false">IF(C144="","",IFERROR(INDEX(Drivers!$B:$B,MATCH(C144,Drivers!$A:$A,0)),"ID not found"))</f>
        <v/>
      </c>
      <c r="F144" s="16" t="str">
        <f aca="false">IF(B144="","",IFERROR(INDEX(Routes!$B:$B,MATCH(B144,Routes!$A:$A,0)),"ID not found"))</f>
        <v/>
      </c>
      <c r="G144" s="16" t="str">
        <f aca="false">IF(OR(B144="",C144="",D144=""),"",IF(OR(ISNA(MATCH(B144,Routes!$A:$A,0)),ISNA(MATCH(C144,Drivers!$A:$A,0)),ISNA(MATCH(D144,Vehicles!$A:$A,0))),"CHECK: ID not found",IF(INDEX(Routes!$C:$C,MATCH(B144,Routes!$A:$A,0))&lt;&gt;INDEX(Vehicles!$B:$B,MATCH(D144,Vehicles!$A:$A,0)),"CHECK: vehicle type does not fit route",IF(INDEX(Routes!$C:$C,MATCH(B144,Routes!$A:$A,0))&lt;&gt;INDEX(Drivers!$D:$D,MATCH(C144,Drivers!$A:$A,0)),"CHECK: driver type does not fit route",IF(OR(INDEX(Vehicles!$E:$E,MATCH(D144,Vehicles!$A:$A,0))="Workshop",INDEX(Vehicles!$E:$E,MATCH(D144,Vehicles!$A:$A,0))="Out of service"),"CHECK: vehicle not available",IF(INDEX(Drivers!$G:$G,MATCH(C144,Drivers!$A:$A,0))&lt;&gt;"Active","CHECK: driver not active",IF(COUNTIFS($A:$A,A144,$C:$C,C144)&gt;1,"CHECK: driver assigned twice",IF(COUNTIFS($A:$A,A144,$D:$D,D144)&gt;1,"CHECK: vehicle assigned twice","OK"))))))))</f>
        <v/>
      </c>
      <c r="H144" s="15"/>
      <c r="I144" s="15"/>
      <c r="J144" s="17" t="str">
        <f aca="false">IF(OR(H144="",H144=0),"",I144/H144)</f>
        <v/>
      </c>
      <c r="K144" s="15"/>
      <c r="L144" s="15"/>
      <c r="M144" s="18"/>
      <c r="N144" s="15"/>
      <c r="O144" s="16" t="str">
        <f aca="false">IF(AND(OR(K144="At risk",K144="Late"),L144=""),"Add a reason code",IF(AND(L144="OTH",N144=""),"Explain OTH in notes",IF(AND(K144="Finished",I144&lt;H144,L144=""),"Add a reason code","")))</f>
        <v/>
      </c>
    </row>
    <row r="145" customFormat="false" ht="15" hidden="false" customHeight="false" outlineLevel="0" collapsed="false">
      <c r="A145" s="14"/>
      <c r="B145" s="15"/>
      <c r="C145" s="15"/>
      <c r="D145" s="15"/>
      <c r="E145" s="16" t="str">
        <f aca="false">IF(C145="","",IFERROR(INDEX(Drivers!$B:$B,MATCH(C145,Drivers!$A:$A,0)),"ID not found"))</f>
        <v/>
      </c>
      <c r="F145" s="16" t="str">
        <f aca="false">IF(B145="","",IFERROR(INDEX(Routes!$B:$B,MATCH(B145,Routes!$A:$A,0)),"ID not found"))</f>
        <v/>
      </c>
      <c r="G145" s="16" t="str">
        <f aca="false">IF(OR(B145="",C145="",D145=""),"",IF(OR(ISNA(MATCH(B145,Routes!$A:$A,0)),ISNA(MATCH(C145,Drivers!$A:$A,0)),ISNA(MATCH(D145,Vehicles!$A:$A,0))),"CHECK: ID not found",IF(INDEX(Routes!$C:$C,MATCH(B145,Routes!$A:$A,0))&lt;&gt;INDEX(Vehicles!$B:$B,MATCH(D145,Vehicles!$A:$A,0)),"CHECK: vehicle type does not fit route",IF(INDEX(Routes!$C:$C,MATCH(B145,Routes!$A:$A,0))&lt;&gt;INDEX(Drivers!$D:$D,MATCH(C145,Drivers!$A:$A,0)),"CHECK: driver type does not fit route",IF(OR(INDEX(Vehicles!$E:$E,MATCH(D145,Vehicles!$A:$A,0))="Workshop",INDEX(Vehicles!$E:$E,MATCH(D145,Vehicles!$A:$A,0))="Out of service"),"CHECK: vehicle not available",IF(INDEX(Drivers!$G:$G,MATCH(C145,Drivers!$A:$A,0))&lt;&gt;"Active","CHECK: driver not active",IF(COUNTIFS($A:$A,A145,$C:$C,C145)&gt;1,"CHECK: driver assigned twice",IF(COUNTIFS($A:$A,A145,$D:$D,D145)&gt;1,"CHECK: vehicle assigned twice","OK"))))))))</f>
        <v/>
      </c>
      <c r="H145" s="15"/>
      <c r="I145" s="15"/>
      <c r="J145" s="17" t="str">
        <f aca="false">IF(OR(H145="",H145=0),"",I145/H145)</f>
        <v/>
      </c>
      <c r="K145" s="15"/>
      <c r="L145" s="15"/>
      <c r="M145" s="18"/>
      <c r="N145" s="15"/>
      <c r="O145" s="16" t="str">
        <f aca="false">IF(AND(OR(K145="At risk",K145="Late"),L145=""),"Add a reason code",IF(AND(L145="OTH",N145=""),"Explain OTH in notes",IF(AND(K145="Finished",I145&lt;H145,L145=""),"Add a reason code","")))</f>
        <v/>
      </c>
    </row>
    <row r="146" customFormat="false" ht="15" hidden="false" customHeight="false" outlineLevel="0" collapsed="false">
      <c r="A146" s="14"/>
      <c r="B146" s="15"/>
      <c r="C146" s="15"/>
      <c r="D146" s="15"/>
      <c r="E146" s="16" t="str">
        <f aca="false">IF(C146="","",IFERROR(INDEX(Drivers!$B:$B,MATCH(C146,Drivers!$A:$A,0)),"ID not found"))</f>
        <v/>
      </c>
      <c r="F146" s="16" t="str">
        <f aca="false">IF(B146="","",IFERROR(INDEX(Routes!$B:$B,MATCH(B146,Routes!$A:$A,0)),"ID not found"))</f>
        <v/>
      </c>
      <c r="G146" s="16" t="str">
        <f aca="false">IF(OR(B146="",C146="",D146=""),"",IF(OR(ISNA(MATCH(B146,Routes!$A:$A,0)),ISNA(MATCH(C146,Drivers!$A:$A,0)),ISNA(MATCH(D146,Vehicles!$A:$A,0))),"CHECK: ID not found",IF(INDEX(Routes!$C:$C,MATCH(B146,Routes!$A:$A,0))&lt;&gt;INDEX(Vehicles!$B:$B,MATCH(D146,Vehicles!$A:$A,0)),"CHECK: vehicle type does not fit route",IF(INDEX(Routes!$C:$C,MATCH(B146,Routes!$A:$A,0))&lt;&gt;INDEX(Drivers!$D:$D,MATCH(C146,Drivers!$A:$A,0)),"CHECK: driver type does not fit route",IF(OR(INDEX(Vehicles!$E:$E,MATCH(D146,Vehicles!$A:$A,0))="Workshop",INDEX(Vehicles!$E:$E,MATCH(D146,Vehicles!$A:$A,0))="Out of service"),"CHECK: vehicle not available",IF(INDEX(Drivers!$G:$G,MATCH(C146,Drivers!$A:$A,0))&lt;&gt;"Active","CHECK: driver not active",IF(COUNTIFS($A:$A,A146,$C:$C,C146)&gt;1,"CHECK: driver assigned twice",IF(COUNTIFS($A:$A,A146,$D:$D,D146)&gt;1,"CHECK: vehicle assigned twice","OK"))))))))</f>
        <v/>
      </c>
      <c r="H146" s="15"/>
      <c r="I146" s="15"/>
      <c r="J146" s="17" t="str">
        <f aca="false">IF(OR(H146="",H146=0),"",I146/H146)</f>
        <v/>
      </c>
      <c r="K146" s="15"/>
      <c r="L146" s="15"/>
      <c r="M146" s="18"/>
      <c r="N146" s="15"/>
      <c r="O146" s="16" t="str">
        <f aca="false">IF(AND(OR(K146="At risk",K146="Late"),L146=""),"Add a reason code",IF(AND(L146="OTH",N146=""),"Explain OTH in notes",IF(AND(K146="Finished",I146&lt;H146,L146=""),"Add a reason code","")))</f>
        <v/>
      </c>
    </row>
    <row r="147" customFormat="false" ht="15" hidden="false" customHeight="false" outlineLevel="0" collapsed="false">
      <c r="A147" s="14"/>
      <c r="B147" s="15"/>
      <c r="C147" s="15"/>
      <c r="D147" s="15"/>
      <c r="E147" s="16" t="str">
        <f aca="false">IF(C147="","",IFERROR(INDEX(Drivers!$B:$B,MATCH(C147,Drivers!$A:$A,0)),"ID not found"))</f>
        <v/>
      </c>
      <c r="F147" s="16" t="str">
        <f aca="false">IF(B147="","",IFERROR(INDEX(Routes!$B:$B,MATCH(B147,Routes!$A:$A,0)),"ID not found"))</f>
        <v/>
      </c>
      <c r="G147" s="16" t="str">
        <f aca="false">IF(OR(B147="",C147="",D147=""),"",IF(OR(ISNA(MATCH(B147,Routes!$A:$A,0)),ISNA(MATCH(C147,Drivers!$A:$A,0)),ISNA(MATCH(D147,Vehicles!$A:$A,0))),"CHECK: ID not found",IF(INDEX(Routes!$C:$C,MATCH(B147,Routes!$A:$A,0))&lt;&gt;INDEX(Vehicles!$B:$B,MATCH(D147,Vehicles!$A:$A,0)),"CHECK: vehicle type does not fit route",IF(INDEX(Routes!$C:$C,MATCH(B147,Routes!$A:$A,0))&lt;&gt;INDEX(Drivers!$D:$D,MATCH(C147,Drivers!$A:$A,0)),"CHECK: driver type does not fit route",IF(OR(INDEX(Vehicles!$E:$E,MATCH(D147,Vehicles!$A:$A,0))="Workshop",INDEX(Vehicles!$E:$E,MATCH(D147,Vehicles!$A:$A,0))="Out of service"),"CHECK: vehicle not available",IF(INDEX(Drivers!$G:$G,MATCH(C147,Drivers!$A:$A,0))&lt;&gt;"Active","CHECK: driver not active",IF(COUNTIFS($A:$A,A147,$C:$C,C147)&gt;1,"CHECK: driver assigned twice",IF(COUNTIFS($A:$A,A147,$D:$D,D147)&gt;1,"CHECK: vehicle assigned twice","OK"))))))))</f>
        <v/>
      </c>
      <c r="H147" s="15"/>
      <c r="I147" s="15"/>
      <c r="J147" s="17" t="str">
        <f aca="false">IF(OR(H147="",H147=0),"",I147/H147)</f>
        <v/>
      </c>
      <c r="K147" s="15"/>
      <c r="L147" s="15"/>
      <c r="M147" s="18"/>
      <c r="N147" s="15"/>
      <c r="O147" s="16" t="str">
        <f aca="false">IF(AND(OR(K147="At risk",K147="Late"),L147=""),"Add a reason code",IF(AND(L147="OTH",N147=""),"Explain OTH in notes",IF(AND(K147="Finished",I147&lt;H147,L147=""),"Add a reason code","")))</f>
        <v/>
      </c>
    </row>
    <row r="148" customFormat="false" ht="15" hidden="false" customHeight="false" outlineLevel="0" collapsed="false">
      <c r="A148" s="14"/>
      <c r="B148" s="15"/>
      <c r="C148" s="15"/>
      <c r="D148" s="15"/>
      <c r="E148" s="16" t="str">
        <f aca="false">IF(C148="","",IFERROR(INDEX(Drivers!$B:$B,MATCH(C148,Drivers!$A:$A,0)),"ID not found"))</f>
        <v/>
      </c>
      <c r="F148" s="16" t="str">
        <f aca="false">IF(B148="","",IFERROR(INDEX(Routes!$B:$B,MATCH(B148,Routes!$A:$A,0)),"ID not found"))</f>
        <v/>
      </c>
      <c r="G148" s="16" t="str">
        <f aca="false">IF(OR(B148="",C148="",D148=""),"",IF(OR(ISNA(MATCH(B148,Routes!$A:$A,0)),ISNA(MATCH(C148,Drivers!$A:$A,0)),ISNA(MATCH(D148,Vehicles!$A:$A,0))),"CHECK: ID not found",IF(INDEX(Routes!$C:$C,MATCH(B148,Routes!$A:$A,0))&lt;&gt;INDEX(Vehicles!$B:$B,MATCH(D148,Vehicles!$A:$A,0)),"CHECK: vehicle type does not fit route",IF(INDEX(Routes!$C:$C,MATCH(B148,Routes!$A:$A,0))&lt;&gt;INDEX(Drivers!$D:$D,MATCH(C148,Drivers!$A:$A,0)),"CHECK: driver type does not fit route",IF(OR(INDEX(Vehicles!$E:$E,MATCH(D148,Vehicles!$A:$A,0))="Workshop",INDEX(Vehicles!$E:$E,MATCH(D148,Vehicles!$A:$A,0))="Out of service"),"CHECK: vehicle not available",IF(INDEX(Drivers!$G:$G,MATCH(C148,Drivers!$A:$A,0))&lt;&gt;"Active","CHECK: driver not active",IF(COUNTIFS($A:$A,A148,$C:$C,C148)&gt;1,"CHECK: driver assigned twice",IF(COUNTIFS($A:$A,A148,$D:$D,D148)&gt;1,"CHECK: vehicle assigned twice","OK"))))))))</f>
        <v/>
      </c>
      <c r="H148" s="15"/>
      <c r="I148" s="15"/>
      <c r="J148" s="17" t="str">
        <f aca="false">IF(OR(H148="",H148=0),"",I148/H148)</f>
        <v/>
      </c>
      <c r="K148" s="15"/>
      <c r="L148" s="15"/>
      <c r="M148" s="18"/>
      <c r="N148" s="15"/>
      <c r="O148" s="16" t="str">
        <f aca="false">IF(AND(OR(K148="At risk",K148="Late"),L148=""),"Add a reason code",IF(AND(L148="OTH",N148=""),"Explain OTH in notes",IF(AND(K148="Finished",I148&lt;H148,L148=""),"Add a reason code","")))</f>
        <v/>
      </c>
    </row>
    <row r="149" customFormat="false" ht="15" hidden="false" customHeight="false" outlineLevel="0" collapsed="false">
      <c r="A149" s="14"/>
      <c r="B149" s="15"/>
      <c r="C149" s="15"/>
      <c r="D149" s="15"/>
      <c r="E149" s="16" t="str">
        <f aca="false">IF(C149="","",IFERROR(INDEX(Drivers!$B:$B,MATCH(C149,Drivers!$A:$A,0)),"ID not found"))</f>
        <v/>
      </c>
      <c r="F149" s="16" t="str">
        <f aca="false">IF(B149="","",IFERROR(INDEX(Routes!$B:$B,MATCH(B149,Routes!$A:$A,0)),"ID not found"))</f>
        <v/>
      </c>
      <c r="G149" s="16" t="str">
        <f aca="false">IF(OR(B149="",C149="",D149=""),"",IF(OR(ISNA(MATCH(B149,Routes!$A:$A,0)),ISNA(MATCH(C149,Drivers!$A:$A,0)),ISNA(MATCH(D149,Vehicles!$A:$A,0))),"CHECK: ID not found",IF(INDEX(Routes!$C:$C,MATCH(B149,Routes!$A:$A,0))&lt;&gt;INDEX(Vehicles!$B:$B,MATCH(D149,Vehicles!$A:$A,0)),"CHECK: vehicle type does not fit route",IF(INDEX(Routes!$C:$C,MATCH(B149,Routes!$A:$A,0))&lt;&gt;INDEX(Drivers!$D:$D,MATCH(C149,Drivers!$A:$A,0)),"CHECK: driver type does not fit route",IF(OR(INDEX(Vehicles!$E:$E,MATCH(D149,Vehicles!$A:$A,0))="Workshop",INDEX(Vehicles!$E:$E,MATCH(D149,Vehicles!$A:$A,0))="Out of service"),"CHECK: vehicle not available",IF(INDEX(Drivers!$G:$G,MATCH(C149,Drivers!$A:$A,0))&lt;&gt;"Active","CHECK: driver not active",IF(COUNTIFS($A:$A,A149,$C:$C,C149)&gt;1,"CHECK: driver assigned twice",IF(COUNTIFS($A:$A,A149,$D:$D,D149)&gt;1,"CHECK: vehicle assigned twice","OK"))))))))</f>
        <v/>
      </c>
      <c r="H149" s="15"/>
      <c r="I149" s="15"/>
      <c r="J149" s="17" t="str">
        <f aca="false">IF(OR(H149="",H149=0),"",I149/H149)</f>
        <v/>
      </c>
      <c r="K149" s="15"/>
      <c r="L149" s="15"/>
      <c r="M149" s="18"/>
      <c r="N149" s="15"/>
      <c r="O149" s="16" t="str">
        <f aca="false">IF(AND(OR(K149="At risk",K149="Late"),L149=""),"Add a reason code",IF(AND(L149="OTH",N149=""),"Explain OTH in notes",IF(AND(K149="Finished",I149&lt;H149,L149=""),"Add a reason code","")))</f>
        <v/>
      </c>
    </row>
    <row r="150" customFormat="false" ht="15" hidden="false" customHeight="false" outlineLevel="0" collapsed="false">
      <c r="A150" s="14"/>
      <c r="B150" s="15"/>
      <c r="C150" s="15"/>
      <c r="D150" s="15"/>
      <c r="E150" s="16" t="str">
        <f aca="false">IF(C150="","",IFERROR(INDEX(Drivers!$B:$B,MATCH(C150,Drivers!$A:$A,0)),"ID not found"))</f>
        <v/>
      </c>
      <c r="F150" s="16" t="str">
        <f aca="false">IF(B150="","",IFERROR(INDEX(Routes!$B:$B,MATCH(B150,Routes!$A:$A,0)),"ID not found"))</f>
        <v/>
      </c>
      <c r="G150" s="16" t="str">
        <f aca="false">IF(OR(B150="",C150="",D150=""),"",IF(OR(ISNA(MATCH(B150,Routes!$A:$A,0)),ISNA(MATCH(C150,Drivers!$A:$A,0)),ISNA(MATCH(D150,Vehicles!$A:$A,0))),"CHECK: ID not found",IF(INDEX(Routes!$C:$C,MATCH(B150,Routes!$A:$A,0))&lt;&gt;INDEX(Vehicles!$B:$B,MATCH(D150,Vehicles!$A:$A,0)),"CHECK: vehicle type does not fit route",IF(INDEX(Routes!$C:$C,MATCH(B150,Routes!$A:$A,0))&lt;&gt;INDEX(Drivers!$D:$D,MATCH(C150,Drivers!$A:$A,0)),"CHECK: driver type does not fit route",IF(OR(INDEX(Vehicles!$E:$E,MATCH(D150,Vehicles!$A:$A,0))="Workshop",INDEX(Vehicles!$E:$E,MATCH(D150,Vehicles!$A:$A,0))="Out of service"),"CHECK: vehicle not available",IF(INDEX(Drivers!$G:$G,MATCH(C150,Drivers!$A:$A,0))&lt;&gt;"Active","CHECK: driver not active",IF(COUNTIFS($A:$A,A150,$C:$C,C150)&gt;1,"CHECK: driver assigned twice",IF(COUNTIFS($A:$A,A150,$D:$D,D150)&gt;1,"CHECK: vehicle assigned twice","OK"))))))))</f>
        <v/>
      </c>
      <c r="H150" s="15"/>
      <c r="I150" s="15"/>
      <c r="J150" s="17" t="str">
        <f aca="false">IF(OR(H150="",H150=0),"",I150/H150)</f>
        <v/>
      </c>
      <c r="K150" s="15"/>
      <c r="L150" s="15"/>
      <c r="M150" s="18"/>
      <c r="N150" s="15"/>
      <c r="O150" s="16" t="str">
        <f aca="false">IF(AND(OR(K150="At risk",K150="Late"),L150=""),"Add a reason code",IF(AND(L150="OTH",N150=""),"Explain OTH in notes",IF(AND(K150="Finished",I150&lt;H150,L150=""),"Add a reason code","")))</f>
        <v/>
      </c>
    </row>
    <row r="151" customFormat="false" ht="15" hidden="false" customHeight="false" outlineLevel="0" collapsed="false">
      <c r="A151" s="14"/>
      <c r="B151" s="15"/>
      <c r="C151" s="15"/>
      <c r="D151" s="15"/>
      <c r="E151" s="16" t="str">
        <f aca="false">IF(C151="","",IFERROR(INDEX(Drivers!$B:$B,MATCH(C151,Drivers!$A:$A,0)),"ID not found"))</f>
        <v/>
      </c>
      <c r="F151" s="16" t="str">
        <f aca="false">IF(B151="","",IFERROR(INDEX(Routes!$B:$B,MATCH(B151,Routes!$A:$A,0)),"ID not found"))</f>
        <v/>
      </c>
      <c r="G151" s="16" t="str">
        <f aca="false">IF(OR(B151="",C151="",D151=""),"",IF(OR(ISNA(MATCH(B151,Routes!$A:$A,0)),ISNA(MATCH(C151,Drivers!$A:$A,0)),ISNA(MATCH(D151,Vehicles!$A:$A,0))),"CHECK: ID not found",IF(INDEX(Routes!$C:$C,MATCH(B151,Routes!$A:$A,0))&lt;&gt;INDEX(Vehicles!$B:$B,MATCH(D151,Vehicles!$A:$A,0)),"CHECK: vehicle type does not fit route",IF(INDEX(Routes!$C:$C,MATCH(B151,Routes!$A:$A,0))&lt;&gt;INDEX(Drivers!$D:$D,MATCH(C151,Drivers!$A:$A,0)),"CHECK: driver type does not fit route",IF(OR(INDEX(Vehicles!$E:$E,MATCH(D151,Vehicles!$A:$A,0))="Workshop",INDEX(Vehicles!$E:$E,MATCH(D151,Vehicles!$A:$A,0))="Out of service"),"CHECK: vehicle not available",IF(INDEX(Drivers!$G:$G,MATCH(C151,Drivers!$A:$A,0))&lt;&gt;"Active","CHECK: driver not active",IF(COUNTIFS($A:$A,A151,$C:$C,C151)&gt;1,"CHECK: driver assigned twice",IF(COUNTIFS($A:$A,A151,$D:$D,D151)&gt;1,"CHECK: vehicle assigned twice","OK"))))))))</f>
        <v/>
      </c>
      <c r="H151" s="15"/>
      <c r="I151" s="15"/>
      <c r="J151" s="17" t="str">
        <f aca="false">IF(OR(H151="",H151=0),"",I151/H151)</f>
        <v/>
      </c>
      <c r="K151" s="15"/>
      <c r="L151" s="15"/>
      <c r="M151" s="18"/>
      <c r="N151" s="15"/>
      <c r="O151" s="16" t="str">
        <f aca="false">IF(AND(OR(K151="At risk",K151="Late"),L151=""),"Add a reason code",IF(AND(L151="OTH",N151=""),"Explain OTH in notes",IF(AND(K151="Finished",I151&lt;H151,L151=""),"Add a reason code","")))</f>
        <v/>
      </c>
    </row>
    <row r="152" customFormat="false" ht="15" hidden="false" customHeight="false" outlineLevel="0" collapsed="false">
      <c r="A152" s="14"/>
      <c r="B152" s="15"/>
      <c r="C152" s="15"/>
      <c r="D152" s="15"/>
      <c r="E152" s="16" t="str">
        <f aca="false">IF(C152="","",IFERROR(INDEX(Drivers!$B:$B,MATCH(C152,Drivers!$A:$A,0)),"ID not found"))</f>
        <v/>
      </c>
      <c r="F152" s="16" t="str">
        <f aca="false">IF(B152="","",IFERROR(INDEX(Routes!$B:$B,MATCH(B152,Routes!$A:$A,0)),"ID not found"))</f>
        <v/>
      </c>
      <c r="G152" s="16" t="str">
        <f aca="false">IF(OR(B152="",C152="",D152=""),"",IF(OR(ISNA(MATCH(B152,Routes!$A:$A,0)),ISNA(MATCH(C152,Drivers!$A:$A,0)),ISNA(MATCH(D152,Vehicles!$A:$A,0))),"CHECK: ID not found",IF(INDEX(Routes!$C:$C,MATCH(B152,Routes!$A:$A,0))&lt;&gt;INDEX(Vehicles!$B:$B,MATCH(D152,Vehicles!$A:$A,0)),"CHECK: vehicle type does not fit route",IF(INDEX(Routes!$C:$C,MATCH(B152,Routes!$A:$A,0))&lt;&gt;INDEX(Drivers!$D:$D,MATCH(C152,Drivers!$A:$A,0)),"CHECK: driver type does not fit route",IF(OR(INDEX(Vehicles!$E:$E,MATCH(D152,Vehicles!$A:$A,0))="Workshop",INDEX(Vehicles!$E:$E,MATCH(D152,Vehicles!$A:$A,0))="Out of service"),"CHECK: vehicle not available",IF(INDEX(Drivers!$G:$G,MATCH(C152,Drivers!$A:$A,0))&lt;&gt;"Active","CHECK: driver not active",IF(COUNTIFS($A:$A,A152,$C:$C,C152)&gt;1,"CHECK: driver assigned twice",IF(COUNTIFS($A:$A,A152,$D:$D,D152)&gt;1,"CHECK: vehicle assigned twice","OK"))))))))</f>
        <v/>
      </c>
      <c r="H152" s="15"/>
      <c r="I152" s="15"/>
      <c r="J152" s="17" t="str">
        <f aca="false">IF(OR(H152="",H152=0),"",I152/H152)</f>
        <v/>
      </c>
      <c r="K152" s="15"/>
      <c r="L152" s="15"/>
      <c r="M152" s="18"/>
      <c r="N152" s="15"/>
      <c r="O152" s="16" t="str">
        <f aca="false">IF(AND(OR(K152="At risk",K152="Late"),L152=""),"Add a reason code",IF(AND(L152="OTH",N152=""),"Explain OTH in notes",IF(AND(K152="Finished",I152&lt;H152,L152=""),"Add a reason code","")))</f>
        <v/>
      </c>
    </row>
    <row r="153" customFormat="false" ht="15" hidden="false" customHeight="false" outlineLevel="0" collapsed="false">
      <c r="A153" s="14"/>
      <c r="B153" s="15"/>
      <c r="C153" s="15"/>
      <c r="D153" s="15"/>
      <c r="E153" s="16" t="str">
        <f aca="false">IF(C153="","",IFERROR(INDEX(Drivers!$B:$B,MATCH(C153,Drivers!$A:$A,0)),"ID not found"))</f>
        <v/>
      </c>
      <c r="F153" s="16" t="str">
        <f aca="false">IF(B153="","",IFERROR(INDEX(Routes!$B:$B,MATCH(B153,Routes!$A:$A,0)),"ID not found"))</f>
        <v/>
      </c>
      <c r="G153" s="16" t="str">
        <f aca="false">IF(OR(B153="",C153="",D153=""),"",IF(OR(ISNA(MATCH(B153,Routes!$A:$A,0)),ISNA(MATCH(C153,Drivers!$A:$A,0)),ISNA(MATCH(D153,Vehicles!$A:$A,0))),"CHECK: ID not found",IF(INDEX(Routes!$C:$C,MATCH(B153,Routes!$A:$A,0))&lt;&gt;INDEX(Vehicles!$B:$B,MATCH(D153,Vehicles!$A:$A,0)),"CHECK: vehicle type does not fit route",IF(INDEX(Routes!$C:$C,MATCH(B153,Routes!$A:$A,0))&lt;&gt;INDEX(Drivers!$D:$D,MATCH(C153,Drivers!$A:$A,0)),"CHECK: driver type does not fit route",IF(OR(INDEX(Vehicles!$E:$E,MATCH(D153,Vehicles!$A:$A,0))="Workshop",INDEX(Vehicles!$E:$E,MATCH(D153,Vehicles!$A:$A,0))="Out of service"),"CHECK: vehicle not available",IF(INDEX(Drivers!$G:$G,MATCH(C153,Drivers!$A:$A,0))&lt;&gt;"Active","CHECK: driver not active",IF(COUNTIFS($A:$A,A153,$C:$C,C153)&gt;1,"CHECK: driver assigned twice",IF(COUNTIFS($A:$A,A153,$D:$D,D153)&gt;1,"CHECK: vehicle assigned twice","OK"))))))))</f>
        <v/>
      </c>
      <c r="H153" s="15"/>
      <c r="I153" s="15"/>
      <c r="J153" s="17" t="str">
        <f aca="false">IF(OR(H153="",H153=0),"",I153/H153)</f>
        <v/>
      </c>
      <c r="K153" s="15"/>
      <c r="L153" s="15"/>
      <c r="M153" s="18"/>
      <c r="N153" s="15"/>
      <c r="O153" s="16" t="str">
        <f aca="false">IF(AND(OR(K153="At risk",K153="Late"),L153=""),"Add a reason code",IF(AND(L153="OTH",N153=""),"Explain OTH in notes",IF(AND(K153="Finished",I153&lt;H153,L153=""),"Add a reason code","")))</f>
        <v/>
      </c>
    </row>
    <row r="154" customFormat="false" ht="15" hidden="false" customHeight="false" outlineLevel="0" collapsed="false">
      <c r="A154" s="14"/>
      <c r="B154" s="15"/>
      <c r="C154" s="15"/>
      <c r="D154" s="15"/>
      <c r="E154" s="16" t="str">
        <f aca="false">IF(C154="","",IFERROR(INDEX(Drivers!$B:$B,MATCH(C154,Drivers!$A:$A,0)),"ID not found"))</f>
        <v/>
      </c>
      <c r="F154" s="16" t="str">
        <f aca="false">IF(B154="","",IFERROR(INDEX(Routes!$B:$B,MATCH(B154,Routes!$A:$A,0)),"ID not found"))</f>
        <v/>
      </c>
      <c r="G154" s="16" t="str">
        <f aca="false">IF(OR(B154="",C154="",D154=""),"",IF(OR(ISNA(MATCH(B154,Routes!$A:$A,0)),ISNA(MATCH(C154,Drivers!$A:$A,0)),ISNA(MATCH(D154,Vehicles!$A:$A,0))),"CHECK: ID not found",IF(INDEX(Routes!$C:$C,MATCH(B154,Routes!$A:$A,0))&lt;&gt;INDEX(Vehicles!$B:$B,MATCH(D154,Vehicles!$A:$A,0)),"CHECK: vehicle type does not fit route",IF(INDEX(Routes!$C:$C,MATCH(B154,Routes!$A:$A,0))&lt;&gt;INDEX(Drivers!$D:$D,MATCH(C154,Drivers!$A:$A,0)),"CHECK: driver type does not fit route",IF(OR(INDEX(Vehicles!$E:$E,MATCH(D154,Vehicles!$A:$A,0))="Workshop",INDEX(Vehicles!$E:$E,MATCH(D154,Vehicles!$A:$A,0))="Out of service"),"CHECK: vehicle not available",IF(INDEX(Drivers!$G:$G,MATCH(C154,Drivers!$A:$A,0))&lt;&gt;"Active","CHECK: driver not active",IF(COUNTIFS($A:$A,A154,$C:$C,C154)&gt;1,"CHECK: driver assigned twice",IF(COUNTIFS($A:$A,A154,$D:$D,D154)&gt;1,"CHECK: vehicle assigned twice","OK"))))))))</f>
        <v/>
      </c>
      <c r="H154" s="15"/>
      <c r="I154" s="15"/>
      <c r="J154" s="17" t="str">
        <f aca="false">IF(OR(H154="",H154=0),"",I154/H154)</f>
        <v/>
      </c>
      <c r="K154" s="15"/>
      <c r="L154" s="15"/>
      <c r="M154" s="18"/>
      <c r="N154" s="15"/>
      <c r="O154" s="16" t="str">
        <f aca="false">IF(AND(OR(K154="At risk",K154="Late"),L154=""),"Add a reason code",IF(AND(L154="OTH",N154=""),"Explain OTH in notes",IF(AND(K154="Finished",I154&lt;H154,L154=""),"Add a reason code","")))</f>
        <v/>
      </c>
    </row>
    <row r="155" customFormat="false" ht="15" hidden="false" customHeight="false" outlineLevel="0" collapsed="false">
      <c r="A155" s="14"/>
      <c r="B155" s="15"/>
      <c r="C155" s="15"/>
      <c r="D155" s="15"/>
      <c r="E155" s="16" t="str">
        <f aca="false">IF(C155="","",IFERROR(INDEX(Drivers!$B:$B,MATCH(C155,Drivers!$A:$A,0)),"ID not found"))</f>
        <v/>
      </c>
      <c r="F155" s="16" t="str">
        <f aca="false">IF(B155="","",IFERROR(INDEX(Routes!$B:$B,MATCH(B155,Routes!$A:$A,0)),"ID not found"))</f>
        <v/>
      </c>
      <c r="G155" s="16" t="str">
        <f aca="false">IF(OR(B155="",C155="",D155=""),"",IF(OR(ISNA(MATCH(B155,Routes!$A:$A,0)),ISNA(MATCH(C155,Drivers!$A:$A,0)),ISNA(MATCH(D155,Vehicles!$A:$A,0))),"CHECK: ID not found",IF(INDEX(Routes!$C:$C,MATCH(B155,Routes!$A:$A,0))&lt;&gt;INDEX(Vehicles!$B:$B,MATCH(D155,Vehicles!$A:$A,0)),"CHECK: vehicle type does not fit route",IF(INDEX(Routes!$C:$C,MATCH(B155,Routes!$A:$A,0))&lt;&gt;INDEX(Drivers!$D:$D,MATCH(C155,Drivers!$A:$A,0)),"CHECK: driver type does not fit route",IF(OR(INDEX(Vehicles!$E:$E,MATCH(D155,Vehicles!$A:$A,0))="Workshop",INDEX(Vehicles!$E:$E,MATCH(D155,Vehicles!$A:$A,0))="Out of service"),"CHECK: vehicle not available",IF(INDEX(Drivers!$G:$G,MATCH(C155,Drivers!$A:$A,0))&lt;&gt;"Active","CHECK: driver not active",IF(COUNTIFS($A:$A,A155,$C:$C,C155)&gt;1,"CHECK: driver assigned twice",IF(COUNTIFS($A:$A,A155,$D:$D,D155)&gt;1,"CHECK: vehicle assigned twice","OK"))))))))</f>
        <v/>
      </c>
      <c r="H155" s="15"/>
      <c r="I155" s="15"/>
      <c r="J155" s="17" t="str">
        <f aca="false">IF(OR(H155="",H155=0),"",I155/H155)</f>
        <v/>
      </c>
      <c r="K155" s="15"/>
      <c r="L155" s="15"/>
      <c r="M155" s="18"/>
      <c r="N155" s="15"/>
      <c r="O155" s="16" t="str">
        <f aca="false">IF(AND(OR(K155="At risk",K155="Late"),L155=""),"Add a reason code",IF(AND(L155="OTH",N155=""),"Explain OTH in notes",IF(AND(K155="Finished",I155&lt;H155,L155=""),"Add a reason code","")))</f>
        <v/>
      </c>
    </row>
    <row r="156" customFormat="false" ht="15" hidden="false" customHeight="false" outlineLevel="0" collapsed="false">
      <c r="A156" s="14"/>
      <c r="B156" s="15"/>
      <c r="C156" s="15"/>
      <c r="D156" s="15"/>
      <c r="E156" s="16" t="str">
        <f aca="false">IF(C156="","",IFERROR(INDEX(Drivers!$B:$B,MATCH(C156,Drivers!$A:$A,0)),"ID not found"))</f>
        <v/>
      </c>
      <c r="F156" s="16" t="str">
        <f aca="false">IF(B156="","",IFERROR(INDEX(Routes!$B:$B,MATCH(B156,Routes!$A:$A,0)),"ID not found"))</f>
        <v/>
      </c>
      <c r="G156" s="16" t="str">
        <f aca="false">IF(OR(B156="",C156="",D156=""),"",IF(OR(ISNA(MATCH(B156,Routes!$A:$A,0)),ISNA(MATCH(C156,Drivers!$A:$A,0)),ISNA(MATCH(D156,Vehicles!$A:$A,0))),"CHECK: ID not found",IF(INDEX(Routes!$C:$C,MATCH(B156,Routes!$A:$A,0))&lt;&gt;INDEX(Vehicles!$B:$B,MATCH(D156,Vehicles!$A:$A,0)),"CHECK: vehicle type does not fit route",IF(INDEX(Routes!$C:$C,MATCH(B156,Routes!$A:$A,0))&lt;&gt;INDEX(Drivers!$D:$D,MATCH(C156,Drivers!$A:$A,0)),"CHECK: driver type does not fit route",IF(OR(INDEX(Vehicles!$E:$E,MATCH(D156,Vehicles!$A:$A,0))="Workshop",INDEX(Vehicles!$E:$E,MATCH(D156,Vehicles!$A:$A,0))="Out of service"),"CHECK: vehicle not available",IF(INDEX(Drivers!$G:$G,MATCH(C156,Drivers!$A:$A,0))&lt;&gt;"Active","CHECK: driver not active",IF(COUNTIFS($A:$A,A156,$C:$C,C156)&gt;1,"CHECK: driver assigned twice",IF(COUNTIFS($A:$A,A156,$D:$D,D156)&gt;1,"CHECK: vehicle assigned twice","OK"))))))))</f>
        <v/>
      </c>
      <c r="H156" s="15"/>
      <c r="I156" s="15"/>
      <c r="J156" s="17" t="str">
        <f aca="false">IF(OR(H156="",H156=0),"",I156/H156)</f>
        <v/>
      </c>
      <c r="K156" s="15"/>
      <c r="L156" s="15"/>
      <c r="M156" s="18"/>
      <c r="N156" s="15"/>
      <c r="O156" s="16" t="str">
        <f aca="false">IF(AND(OR(K156="At risk",K156="Late"),L156=""),"Add a reason code",IF(AND(L156="OTH",N156=""),"Explain OTH in notes",IF(AND(K156="Finished",I156&lt;H156,L156=""),"Add a reason code","")))</f>
        <v/>
      </c>
    </row>
    <row r="157" customFormat="false" ht="15" hidden="false" customHeight="false" outlineLevel="0" collapsed="false">
      <c r="A157" s="14"/>
      <c r="B157" s="15"/>
      <c r="C157" s="15"/>
      <c r="D157" s="15"/>
      <c r="E157" s="16" t="str">
        <f aca="false">IF(C157="","",IFERROR(INDEX(Drivers!$B:$B,MATCH(C157,Drivers!$A:$A,0)),"ID not found"))</f>
        <v/>
      </c>
      <c r="F157" s="16" t="str">
        <f aca="false">IF(B157="","",IFERROR(INDEX(Routes!$B:$B,MATCH(B157,Routes!$A:$A,0)),"ID not found"))</f>
        <v/>
      </c>
      <c r="G157" s="16" t="str">
        <f aca="false">IF(OR(B157="",C157="",D157=""),"",IF(OR(ISNA(MATCH(B157,Routes!$A:$A,0)),ISNA(MATCH(C157,Drivers!$A:$A,0)),ISNA(MATCH(D157,Vehicles!$A:$A,0))),"CHECK: ID not found",IF(INDEX(Routes!$C:$C,MATCH(B157,Routes!$A:$A,0))&lt;&gt;INDEX(Vehicles!$B:$B,MATCH(D157,Vehicles!$A:$A,0)),"CHECK: vehicle type does not fit route",IF(INDEX(Routes!$C:$C,MATCH(B157,Routes!$A:$A,0))&lt;&gt;INDEX(Drivers!$D:$D,MATCH(C157,Drivers!$A:$A,0)),"CHECK: driver type does not fit route",IF(OR(INDEX(Vehicles!$E:$E,MATCH(D157,Vehicles!$A:$A,0))="Workshop",INDEX(Vehicles!$E:$E,MATCH(D157,Vehicles!$A:$A,0))="Out of service"),"CHECK: vehicle not available",IF(INDEX(Drivers!$G:$G,MATCH(C157,Drivers!$A:$A,0))&lt;&gt;"Active","CHECK: driver not active",IF(COUNTIFS($A:$A,A157,$C:$C,C157)&gt;1,"CHECK: driver assigned twice",IF(COUNTIFS($A:$A,A157,$D:$D,D157)&gt;1,"CHECK: vehicle assigned twice","OK"))))))))</f>
        <v/>
      </c>
      <c r="H157" s="15"/>
      <c r="I157" s="15"/>
      <c r="J157" s="17" t="str">
        <f aca="false">IF(OR(H157="",H157=0),"",I157/H157)</f>
        <v/>
      </c>
      <c r="K157" s="15"/>
      <c r="L157" s="15"/>
      <c r="M157" s="18"/>
      <c r="N157" s="15"/>
      <c r="O157" s="16" t="str">
        <f aca="false">IF(AND(OR(K157="At risk",K157="Late"),L157=""),"Add a reason code",IF(AND(L157="OTH",N157=""),"Explain OTH in notes",IF(AND(K157="Finished",I157&lt;H157,L157=""),"Add a reason code","")))</f>
        <v/>
      </c>
    </row>
    <row r="158" customFormat="false" ht="15" hidden="false" customHeight="false" outlineLevel="0" collapsed="false">
      <c r="A158" s="14"/>
      <c r="B158" s="15"/>
      <c r="C158" s="15"/>
      <c r="D158" s="15"/>
      <c r="E158" s="16" t="str">
        <f aca="false">IF(C158="","",IFERROR(INDEX(Drivers!$B:$B,MATCH(C158,Drivers!$A:$A,0)),"ID not found"))</f>
        <v/>
      </c>
      <c r="F158" s="16" t="str">
        <f aca="false">IF(B158="","",IFERROR(INDEX(Routes!$B:$B,MATCH(B158,Routes!$A:$A,0)),"ID not found"))</f>
        <v/>
      </c>
      <c r="G158" s="16" t="str">
        <f aca="false">IF(OR(B158="",C158="",D158=""),"",IF(OR(ISNA(MATCH(B158,Routes!$A:$A,0)),ISNA(MATCH(C158,Drivers!$A:$A,0)),ISNA(MATCH(D158,Vehicles!$A:$A,0))),"CHECK: ID not found",IF(INDEX(Routes!$C:$C,MATCH(B158,Routes!$A:$A,0))&lt;&gt;INDEX(Vehicles!$B:$B,MATCH(D158,Vehicles!$A:$A,0)),"CHECK: vehicle type does not fit route",IF(INDEX(Routes!$C:$C,MATCH(B158,Routes!$A:$A,0))&lt;&gt;INDEX(Drivers!$D:$D,MATCH(C158,Drivers!$A:$A,0)),"CHECK: driver type does not fit route",IF(OR(INDEX(Vehicles!$E:$E,MATCH(D158,Vehicles!$A:$A,0))="Workshop",INDEX(Vehicles!$E:$E,MATCH(D158,Vehicles!$A:$A,0))="Out of service"),"CHECK: vehicle not available",IF(INDEX(Drivers!$G:$G,MATCH(C158,Drivers!$A:$A,0))&lt;&gt;"Active","CHECK: driver not active",IF(COUNTIFS($A:$A,A158,$C:$C,C158)&gt;1,"CHECK: driver assigned twice",IF(COUNTIFS($A:$A,A158,$D:$D,D158)&gt;1,"CHECK: vehicle assigned twice","OK"))))))))</f>
        <v/>
      </c>
      <c r="H158" s="15"/>
      <c r="I158" s="15"/>
      <c r="J158" s="17" t="str">
        <f aca="false">IF(OR(H158="",H158=0),"",I158/H158)</f>
        <v/>
      </c>
      <c r="K158" s="15"/>
      <c r="L158" s="15"/>
      <c r="M158" s="18"/>
      <c r="N158" s="15"/>
      <c r="O158" s="16" t="str">
        <f aca="false">IF(AND(OR(K158="At risk",K158="Late"),L158=""),"Add a reason code",IF(AND(L158="OTH",N158=""),"Explain OTH in notes",IF(AND(K158="Finished",I158&lt;H158,L158=""),"Add a reason code","")))</f>
        <v/>
      </c>
    </row>
    <row r="159" customFormat="false" ht="15" hidden="false" customHeight="false" outlineLevel="0" collapsed="false">
      <c r="A159" s="14"/>
      <c r="B159" s="15"/>
      <c r="C159" s="15"/>
      <c r="D159" s="15"/>
      <c r="E159" s="16" t="str">
        <f aca="false">IF(C159="","",IFERROR(INDEX(Drivers!$B:$B,MATCH(C159,Drivers!$A:$A,0)),"ID not found"))</f>
        <v/>
      </c>
      <c r="F159" s="16" t="str">
        <f aca="false">IF(B159="","",IFERROR(INDEX(Routes!$B:$B,MATCH(B159,Routes!$A:$A,0)),"ID not found"))</f>
        <v/>
      </c>
      <c r="G159" s="16" t="str">
        <f aca="false">IF(OR(B159="",C159="",D159=""),"",IF(OR(ISNA(MATCH(B159,Routes!$A:$A,0)),ISNA(MATCH(C159,Drivers!$A:$A,0)),ISNA(MATCH(D159,Vehicles!$A:$A,0))),"CHECK: ID not found",IF(INDEX(Routes!$C:$C,MATCH(B159,Routes!$A:$A,0))&lt;&gt;INDEX(Vehicles!$B:$B,MATCH(D159,Vehicles!$A:$A,0)),"CHECK: vehicle type does not fit route",IF(INDEX(Routes!$C:$C,MATCH(B159,Routes!$A:$A,0))&lt;&gt;INDEX(Drivers!$D:$D,MATCH(C159,Drivers!$A:$A,0)),"CHECK: driver type does not fit route",IF(OR(INDEX(Vehicles!$E:$E,MATCH(D159,Vehicles!$A:$A,0))="Workshop",INDEX(Vehicles!$E:$E,MATCH(D159,Vehicles!$A:$A,0))="Out of service"),"CHECK: vehicle not available",IF(INDEX(Drivers!$G:$G,MATCH(C159,Drivers!$A:$A,0))&lt;&gt;"Active","CHECK: driver not active",IF(COUNTIFS($A:$A,A159,$C:$C,C159)&gt;1,"CHECK: driver assigned twice",IF(COUNTIFS($A:$A,A159,$D:$D,D159)&gt;1,"CHECK: vehicle assigned twice","OK"))))))))</f>
        <v/>
      </c>
      <c r="H159" s="15"/>
      <c r="I159" s="15"/>
      <c r="J159" s="17" t="str">
        <f aca="false">IF(OR(H159="",H159=0),"",I159/H159)</f>
        <v/>
      </c>
      <c r="K159" s="15"/>
      <c r="L159" s="15"/>
      <c r="M159" s="18"/>
      <c r="N159" s="15"/>
      <c r="O159" s="16" t="str">
        <f aca="false">IF(AND(OR(K159="At risk",K159="Late"),L159=""),"Add a reason code",IF(AND(L159="OTH",N159=""),"Explain OTH in notes",IF(AND(K159="Finished",I159&lt;H159,L159=""),"Add a reason code","")))</f>
        <v/>
      </c>
    </row>
    <row r="160" customFormat="false" ht="15" hidden="false" customHeight="false" outlineLevel="0" collapsed="false">
      <c r="A160" s="14"/>
      <c r="B160" s="15"/>
      <c r="C160" s="15"/>
      <c r="D160" s="15"/>
      <c r="E160" s="16" t="str">
        <f aca="false">IF(C160="","",IFERROR(INDEX(Drivers!$B:$B,MATCH(C160,Drivers!$A:$A,0)),"ID not found"))</f>
        <v/>
      </c>
      <c r="F160" s="16" t="str">
        <f aca="false">IF(B160="","",IFERROR(INDEX(Routes!$B:$B,MATCH(B160,Routes!$A:$A,0)),"ID not found"))</f>
        <v/>
      </c>
      <c r="G160" s="16" t="str">
        <f aca="false">IF(OR(B160="",C160="",D160=""),"",IF(OR(ISNA(MATCH(B160,Routes!$A:$A,0)),ISNA(MATCH(C160,Drivers!$A:$A,0)),ISNA(MATCH(D160,Vehicles!$A:$A,0))),"CHECK: ID not found",IF(INDEX(Routes!$C:$C,MATCH(B160,Routes!$A:$A,0))&lt;&gt;INDEX(Vehicles!$B:$B,MATCH(D160,Vehicles!$A:$A,0)),"CHECK: vehicle type does not fit route",IF(INDEX(Routes!$C:$C,MATCH(B160,Routes!$A:$A,0))&lt;&gt;INDEX(Drivers!$D:$D,MATCH(C160,Drivers!$A:$A,0)),"CHECK: driver type does not fit route",IF(OR(INDEX(Vehicles!$E:$E,MATCH(D160,Vehicles!$A:$A,0))="Workshop",INDEX(Vehicles!$E:$E,MATCH(D160,Vehicles!$A:$A,0))="Out of service"),"CHECK: vehicle not available",IF(INDEX(Drivers!$G:$G,MATCH(C160,Drivers!$A:$A,0))&lt;&gt;"Active","CHECK: driver not active",IF(COUNTIFS($A:$A,A160,$C:$C,C160)&gt;1,"CHECK: driver assigned twice",IF(COUNTIFS($A:$A,A160,$D:$D,D160)&gt;1,"CHECK: vehicle assigned twice","OK"))))))))</f>
        <v/>
      </c>
      <c r="H160" s="15"/>
      <c r="I160" s="15"/>
      <c r="J160" s="17" t="str">
        <f aca="false">IF(OR(H160="",H160=0),"",I160/H160)</f>
        <v/>
      </c>
      <c r="K160" s="15"/>
      <c r="L160" s="15"/>
      <c r="M160" s="18"/>
      <c r="N160" s="15"/>
      <c r="O160" s="16" t="str">
        <f aca="false">IF(AND(OR(K160="At risk",K160="Late"),L160=""),"Add a reason code",IF(AND(L160="OTH",N160=""),"Explain OTH in notes",IF(AND(K160="Finished",I160&lt;H160,L160=""),"Add a reason code","")))</f>
        <v/>
      </c>
    </row>
    <row r="161" customFormat="false" ht="15" hidden="false" customHeight="false" outlineLevel="0" collapsed="false">
      <c r="A161" s="14"/>
      <c r="B161" s="15"/>
      <c r="C161" s="15"/>
      <c r="D161" s="15"/>
      <c r="E161" s="16" t="str">
        <f aca="false">IF(C161="","",IFERROR(INDEX(Drivers!$B:$B,MATCH(C161,Drivers!$A:$A,0)),"ID not found"))</f>
        <v/>
      </c>
      <c r="F161" s="16" t="str">
        <f aca="false">IF(B161="","",IFERROR(INDEX(Routes!$B:$B,MATCH(B161,Routes!$A:$A,0)),"ID not found"))</f>
        <v/>
      </c>
      <c r="G161" s="16" t="str">
        <f aca="false">IF(OR(B161="",C161="",D161=""),"",IF(OR(ISNA(MATCH(B161,Routes!$A:$A,0)),ISNA(MATCH(C161,Drivers!$A:$A,0)),ISNA(MATCH(D161,Vehicles!$A:$A,0))),"CHECK: ID not found",IF(INDEX(Routes!$C:$C,MATCH(B161,Routes!$A:$A,0))&lt;&gt;INDEX(Vehicles!$B:$B,MATCH(D161,Vehicles!$A:$A,0)),"CHECK: vehicle type does not fit route",IF(INDEX(Routes!$C:$C,MATCH(B161,Routes!$A:$A,0))&lt;&gt;INDEX(Drivers!$D:$D,MATCH(C161,Drivers!$A:$A,0)),"CHECK: driver type does not fit route",IF(OR(INDEX(Vehicles!$E:$E,MATCH(D161,Vehicles!$A:$A,0))="Workshop",INDEX(Vehicles!$E:$E,MATCH(D161,Vehicles!$A:$A,0))="Out of service"),"CHECK: vehicle not available",IF(INDEX(Drivers!$G:$G,MATCH(C161,Drivers!$A:$A,0))&lt;&gt;"Active","CHECK: driver not active",IF(COUNTIFS($A:$A,A161,$C:$C,C161)&gt;1,"CHECK: driver assigned twice",IF(COUNTIFS($A:$A,A161,$D:$D,D161)&gt;1,"CHECK: vehicle assigned twice","OK"))))))))</f>
        <v/>
      </c>
      <c r="H161" s="15"/>
      <c r="I161" s="15"/>
      <c r="J161" s="17" t="str">
        <f aca="false">IF(OR(H161="",H161=0),"",I161/H161)</f>
        <v/>
      </c>
      <c r="K161" s="15"/>
      <c r="L161" s="15"/>
      <c r="M161" s="18"/>
      <c r="N161" s="15"/>
      <c r="O161" s="16" t="str">
        <f aca="false">IF(AND(OR(K161="At risk",K161="Late"),L161=""),"Add a reason code",IF(AND(L161="OTH",N161=""),"Explain OTH in notes",IF(AND(K161="Finished",I161&lt;H161,L161=""),"Add a reason code","")))</f>
        <v/>
      </c>
    </row>
    <row r="162" customFormat="false" ht="15" hidden="false" customHeight="false" outlineLevel="0" collapsed="false">
      <c r="A162" s="14"/>
      <c r="B162" s="15"/>
      <c r="C162" s="15"/>
      <c r="D162" s="15"/>
      <c r="E162" s="16" t="str">
        <f aca="false">IF(C162="","",IFERROR(INDEX(Drivers!$B:$B,MATCH(C162,Drivers!$A:$A,0)),"ID not found"))</f>
        <v/>
      </c>
      <c r="F162" s="16" t="str">
        <f aca="false">IF(B162="","",IFERROR(INDEX(Routes!$B:$B,MATCH(B162,Routes!$A:$A,0)),"ID not found"))</f>
        <v/>
      </c>
      <c r="G162" s="16" t="str">
        <f aca="false">IF(OR(B162="",C162="",D162=""),"",IF(OR(ISNA(MATCH(B162,Routes!$A:$A,0)),ISNA(MATCH(C162,Drivers!$A:$A,0)),ISNA(MATCH(D162,Vehicles!$A:$A,0))),"CHECK: ID not found",IF(INDEX(Routes!$C:$C,MATCH(B162,Routes!$A:$A,0))&lt;&gt;INDEX(Vehicles!$B:$B,MATCH(D162,Vehicles!$A:$A,0)),"CHECK: vehicle type does not fit route",IF(INDEX(Routes!$C:$C,MATCH(B162,Routes!$A:$A,0))&lt;&gt;INDEX(Drivers!$D:$D,MATCH(C162,Drivers!$A:$A,0)),"CHECK: driver type does not fit route",IF(OR(INDEX(Vehicles!$E:$E,MATCH(D162,Vehicles!$A:$A,0))="Workshop",INDEX(Vehicles!$E:$E,MATCH(D162,Vehicles!$A:$A,0))="Out of service"),"CHECK: vehicle not available",IF(INDEX(Drivers!$G:$G,MATCH(C162,Drivers!$A:$A,0))&lt;&gt;"Active","CHECK: driver not active",IF(COUNTIFS($A:$A,A162,$C:$C,C162)&gt;1,"CHECK: driver assigned twice",IF(COUNTIFS($A:$A,A162,$D:$D,D162)&gt;1,"CHECK: vehicle assigned twice","OK"))))))))</f>
        <v/>
      </c>
      <c r="H162" s="15"/>
      <c r="I162" s="15"/>
      <c r="J162" s="17" t="str">
        <f aca="false">IF(OR(H162="",H162=0),"",I162/H162)</f>
        <v/>
      </c>
      <c r="K162" s="15"/>
      <c r="L162" s="15"/>
      <c r="M162" s="18"/>
      <c r="N162" s="15"/>
      <c r="O162" s="16" t="str">
        <f aca="false">IF(AND(OR(K162="At risk",K162="Late"),L162=""),"Add a reason code",IF(AND(L162="OTH",N162=""),"Explain OTH in notes",IF(AND(K162="Finished",I162&lt;H162,L162=""),"Add a reason code","")))</f>
        <v/>
      </c>
    </row>
    <row r="163" customFormat="false" ht="15" hidden="false" customHeight="false" outlineLevel="0" collapsed="false">
      <c r="A163" s="14"/>
      <c r="B163" s="15"/>
      <c r="C163" s="15"/>
      <c r="D163" s="15"/>
      <c r="E163" s="16" t="str">
        <f aca="false">IF(C163="","",IFERROR(INDEX(Drivers!$B:$B,MATCH(C163,Drivers!$A:$A,0)),"ID not found"))</f>
        <v/>
      </c>
      <c r="F163" s="16" t="str">
        <f aca="false">IF(B163="","",IFERROR(INDEX(Routes!$B:$B,MATCH(B163,Routes!$A:$A,0)),"ID not found"))</f>
        <v/>
      </c>
      <c r="G163" s="16" t="str">
        <f aca="false">IF(OR(B163="",C163="",D163=""),"",IF(OR(ISNA(MATCH(B163,Routes!$A:$A,0)),ISNA(MATCH(C163,Drivers!$A:$A,0)),ISNA(MATCH(D163,Vehicles!$A:$A,0))),"CHECK: ID not found",IF(INDEX(Routes!$C:$C,MATCH(B163,Routes!$A:$A,0))&lt;&gt;INDEX(Vehicles!$B:$B,MATCH(D163,Vehicles!$A:$A,0)),"CHECK: vehicle type does not fit route",IF(INDEX(Routes!$C:$C,MATCH(B163,Routes!$A:$A,0))&lt;&gt;INDEX(Drivers!$D:$D,MATCH(C163,Drivers!$A:$A,0)),"CHECK: driver type does not fit route",IF(OR(INDEX(Vehicles!$E:$E,MATCH(D163,Vehicles!$A:$A,0))="Workshop",INDEX(Vehicles!$E:$E,MATCH(D163,Vehicles!$A:$A,0))="Out of service"),"CHECK: vehicle not available",IF(INDEX(Drivers!$G:$G,MATCH(C163,Drivers!$A:$A,0))&lt;&gt;"Active","CHECK: driver not active",IF(COUNTIFS($A:$A,A163,$C:$C,C163)&gt;1,"CHECK: driver assigned twice",IF(COUNTIFS($A:$A,A163,$D:$D,D163)&gt;1,"CHECK: vehicle assigned twice","OK"))))))))</f>
        <v/>
      </c>
      <c r="H163" s="15"/>
      <c r="I163" s="15"/>
      <c r="J163" s="17" t="str">
        <f aca="false">IF(OR(H163="",H163=0),"",I163/H163)</f>
        <v/>
      </c>
      <c r="K163" s="15"/>
      <c r="L163" s="15"/>
      <c r="M163" s="18"/>
      <c r="N163" s="15"/>
      <c r="O163" s="16" t="str">
        <f aca="false">IF(AND(OR(K163="At risk",K163="Late"),L163=""),"Add a reason code",IF(AND(L163="OTH",N163=""),"Explain OTH in notes",IF(AND(K163="Finished",I163&lt;H163,L163=""),"Add a reason code","")))</f>
        <v/>
      </c>
    </row>
    <row r="164" customFormat="false" ht="15" hidden="false" customHeight="false" outlineLevel="0" collapsed="false">
      <c r="A164" s="14"/>
      <c r="B164" s="15"/>
      <c r="C164" s="15"/>
      <c r="D164" s="15"/>
      <c r="E164" s="16" t="str">
        <f aca="false">IF(C164="","",IFERROR(INDEX(Drivers!$B:$B,MATCH(C164,Drivers!$A:$A,0)),"ID not found"))</f>
        <v/>
      </c>
      <c r="F164" s="16" t="str">
        <f aca="false">IF(B164="","",IFERROR(INDEX(Routes!$B:$B,MATCH(B164,Routes!$A:$A,0)),"ID not found"))</f>
        <v/>
      </c>
      <c r="G164" s="16" t="str">
        <f aca="false">IF(OR(B164="",C164="",D164=""),"",IF(OR(ISNA(MATCH(B164,Routes!$A:$A,0)),ISNA(MATCH(C164,Drivers!$A:$A,0)),ISNA(MATCH(D164,Vehicles!$A:$A,0))),"CHECK: ID not found",IF(INDEX(Routes!$C:$C,MATCH(B164,Routes!$A:$A,0))&lt;&gt;INDEX(Vehicles!$B:$B,MATCH(D164,Vehicles!$A:$A,0)),"CHECK: vehicle type does not fit route",IF(INDEX(Routes!$C:$C,MATCH(B164,Routes!$A:$A,0))&lt;&gt;INDEX(Drivers!$D:$D,MATCH(C164,Drivers!$A:$A,0)),"CHECK: driver type does not fit route",IF(OR(INDEX(Vehicles!$E:$E,MATCH(D164,Vehicles!$A:$A,0))="Workshop",INDEX(Vehicles!$E:$E,MATCH(D164,Vehicles!$A:$A,0))="Out of service"),"CHECK: vehicle not available",IF(INDEX(Drivers!$G:$G,MATCH(C164,Drivers!$A:$A,0))&lt;&gt;"Active","CHECK: driver not active",IF(COUNTIFS($A:$A,A164,$C:$C,C164)&gt;1,"CHECK: driver assigned twice",IF(COUNTIFS($A:$A,A164,$D:$D,D164)&gt;1,"CHECK: vehicle assigned twice","OK"))))))))</f>
        <v/>
      </c>
      <c r="H164" s="15"/>
      <c r="I164" s="15"/>
      <c r="J164" s="17" t="str">
        <f aca="false">IF(OR(H164="",H164=0),"",I164/H164)</f>
        <v/>
      </c>
      <c r="K164" s="15"/>
      <c r="L164" s="15"/>
      <c r="M164" s="18"/>
      <c r="N164" s="15"/>
      <c r="O164" s="16" t="str">
        <f aca="false">IF(AND(OR(K164="At risk",K164="Late"),L164=""),"Add a reason code",IF(AND(L164="OTH",N164=""),"Explain OTH in notes",IF(AND(K164="Finished",I164&lt;H164,L164=""),"Add a reason code","")))</f>
        <v/>
      </c>
    </row>
    <row r="165" customFormat="false" ht="15" hidden="false" customHeight="false" outlineLevel="0" collapsed="false">
      <c r="A165" s="14"/>
      <c r="B165" s="15"/>
      <c r="C165" s="15"/>
      <c r="D165" s="15"/>
      <c r="E165" s="16" t="str">
        <f aca="false">IF(C165="","",IFERROR(INDEX(Drivers!$B:$B,MATCH(C165,Drivers!$A:$A,0)),"ID not found"))</f>
        <v/>
      </c>
      <c r="F165" s="16" t="str">
        <f aca="false">IF(B165="","",IFERROR(INDEX(Routes!$B:$B,MATCH(B165,Routes!$A:$A,0)),"ID not found"))</f>
        <v/>
      </c>
      <c r="G165" s="16" t="str">
        <f aca="false">IF(OR(B165="",C165="",D165=""),"",IF(OR(ISNA(MATCH(B165,Routes!$A:$A,0)),ISNA(MATCH(C165,Drivers!$A:$A,0)),ISNA(MATCH(D165,Vehicles!$A:$A,0))),"CHECK: ID not found",IF(INDEX(Routes!$C:$C,MATCH(B165,Routes!$A:$A,0))&lt;&gt;INDEX(Vehicles!$B:$B,MATCH(D165,Vehicles!$A:$A,0)),"CHECK: vehicle type does not fit route",IF(INDEX(Routes!$C:$C,MATCH(B165,Routes!$A:$A,0))&lt;&gt;INDEX(Drivers!$D:$D,MATCH(C165,Drivers!$A:$A,0)),"CHECK: driver type does not fit route",IF(OR(INDEX(Vehicles!$E:$E,MATCH(D165,Vehicles!$A:$A,0))="Workshop",INDEX(Vehicles!$E:$E,MATCH(D165,Vehicles!$A:$A,0))="Out of service"),"CHECK: vehicle not available",IF(INDEX(Drivers!$G:$G,MATCH(C165,Drivers!$A:$A,0))&lt;&gt;"Active","CHECK: driver not active",IF(COUNTIFS($A:$A,A165,$C:$C,C165)&gt;1,"CHECK: driver assigned twice",IF(COUNTIFS($A:$A,A165,$D:$D,D165)&gt;1,"CHECK: vehicle assigned twice","OK"))))))))</f>
        <v/>
      </c>
      <c r="H165" s="15"/>
      <c r="I165" s="15"/>
      <c r="J165" s="17" t="str">
        <f aca="false">IF(OR(H165="",H165=0),"",I165/H165)</f>
        <v/>
      </c>
      <c r="K165" s="15"/>
      <c r="L165" s="15"/>
      <c r="M165" s="18"/>
      <c r="N165" s="15"/>
      <c r="O165" s="16" t="str">
        <f aca="false">IF(AND(OR(K165="At risk",K165="Late"),L165=""),"Add a reason code",IF(AND(L165="OTH",N165=""),"Explain OTH in notes",IF(AND(K165="Finished",I165&lt;H165,L165=""),"Add a reason code","")))</f>
        <v/>
      </c>
    </row>
    <row r="166" customFormat="false" ht="15" hidden="false" customHeight="false" outlineLevel="0" collapsed="false">
      <c r="A166" s="14"/>
      <c r="B166" s="15"/>
      <c r="C166" s="15"/>
      <c r="D166" s="15"/>
      <c r="E166" s="16" t="str">
        <f aca="false">IF(C166="","",IFERROR(INDEX(Drivers!$B:$B,MATCH(C166,Drivers!$A:$A,0)),"ID not found"))</f>
        <v/>
      </c>
      <c r="F166" s="16" t="str">
        <f aca="false">IF(B166="","",IFERROR(INDEX(Routes!$B:$B,MATCH(B166,Routes!$A:$A,0)),"ID not found"))</f>
        <v/>
      </c>
      <c r="G166" s="16" t="str">
        <f aca="false">IF(OR(B166="",C166="",D166=""),"",IF(OR(ISNA(MATCH(B166,Routes!$A:$A,0)),ISNA(MATCH(C166,Drivers!$A:$A,0)),ISNA(MATCH(D166,Vehicles!$A:$A,0))),"CHECK: ID not found",IF(INDEX(Routes!$C:$C,MATCH(B166,Routes!$A:$A,0))&lt;&gt;INDEX(Vehicles!$B:$B,MATCH(D166,Vehicles!$A:$A,0)),"CHECK: vehicle type does not fit route",IF(INDEX(Routes!$C:$C,MATCH(B166,Routes!$A:$A,0))&lt;&gt;INDEX(Drivers!$D:$D,MATCH(C166,Drivers!$A:$A,0)),"CHECK: driver type does not fit route",IF(OR(INDEX(Vehicles!$E:$E,MATCH(D166,Vehicles!$A:$A,0))="Workshop",INDEX(Vehicles!$E:$E,MATCH(D166,Vehicles!$A:$A,0))="Out of service"),"CHECK: vehicle not available",IF(INDEX(Drivers!$G:$G,MATCH(C166,Drivers!$A:$A,0))&lt;&gt;"Active","CHECK: driver not active",IF(COUNTIFS($A:$A,A166,$C:$C,C166)&gt;1,"CHECK: driver assigned twice",IF(COUNTIFS($A:$A,A166,$D:$D,D166)&gt;1,"CHECK: vehicle assigned twice","OK"))))))))</f>
        <v/>
      </c>
      <c r="H166" s="15"/>
      <c r="I166" s="15"/>
      <c r="J166" s="17" t="str">
        <f aca="false">IF(OR(H166="",H166=0),"",I166/H166)</f>
        <v/>
      </c>
      <c r="K166" s="15"/>
      <c r="L166" s="15"/>
      <c r="M166" s="18"/>
      <c r="N166" s="15"/>
      <c r="O166" s="16" t="str">
        <f aca="false">IF(AND(OR(K166="At risk",K166="Late"),L166=""),"Add a reason code",IF(AND(L166="OTH",N166=""),"Explain OTH in notes",IF(AND(K166="Finished",I166&lt;H166,L166=""),"Add a reason code","")))</f>
        <v/>
      </c>
    </row>
    <row r="167" customFormat="false" ht="15" hidden="false" customHeight="false" outlineLevel="0" collapsed="false">
      <c r="A167" s="14"/>
      <c r="B167" s="15"/>
      <c r="C167" s="15"/>
      <c r="D167" s="15"/>
      <c r="E167" s="16" t="str">
        <f aca="false">IF(C167="","",IFERROR(INDEX(Drivers!$B:$B,MATCH(C167,Drivers!$A:$A,0)),"ID not found"))</f>
        <v/>
      </c>
      <c r="F167" s="16" t="str">
        <f aca="false">IF(B167="","",IFERROR(INDEX(Routes!$B:$B,MATCH(B167,Routes!$A:$A,0)),"ID not found"))</f>
        <v/>
      </c>
      <c r="G167" s="16" t="str">
        <f aca="false">IF(OR(B167="",C167="",D167=""),"",IF(OR(ISNA(MATCH(B167,Routes!$A:$A,0)),ISNA(MATCH(C167,Drivers!$A:$A,0)),ISNA(MATCH(D167,Vehicles!$A:$A,0))),"CHECK: ID not found",IF(INDEX(Routes!$C:$C,MATCH(B167,Routes!$A:$A,0))&lt;&gt;INDEX(Vehicles!$B:$B,MATCH(D167,Vehicles!$A:$A,0)),"CHECK: vehicle type does not fit route",IF(INDEX(Routes!$C:$C,MATCH(B167,Routes!$A:$A,0))&lt;&gt;INDEX(Drivers!$D:$D,MATCH(C167,Drivers!$A:$A,0)),"CHECK: driver type does not fit route",IF(OR(INDEX(Vehicles!$E:$E,MATCH(D167,Vehicles!$A:$A,0))="Workshop",INDEX(Vehicles!$E:$E,MATCH(D167,Vehicles!$A:$A,0))="Out of service"),"CHECK: vehicle not available",IF(INDEX(Drivers!$G:$G,MATCH(C167,Drivers!$A:$A,0))&lt;&gt;"Active","CHECK: driver not active",IF(COUNTIFS($A:$A,A167,$C:$C,C167)&gt;1,"CHECK: driver assigned twice",IF(COUNTIFS($A:$A,A167,$D:$D,D167)&gt;1,"CHECK: vehicle assigned twice","OK"))))))))</f>
        <v/>
      </c>
      <c r="H167" s="15"/>
      <c r="I167" s="15"/>
      <c r="J167" s="17" t="str">
        <f aca="false">IF(OR(H167="",H167=0),"",I167/H167)</f>
        <v/>
      </c>
      <c r="K167" s="15"/>
      <c r="L167" s="15"/>
      <c r="M167" s="18"/>
      <c r="N167" s="15"/>
      <c r="O167" s="16" t="str">
        <f aca="false">IF(AND(OR(K167="At risk",K167="Late"),L167=""),"Add a reason code",IF(AND(L167="OTH",N167=""),"Explain OTH in notes",IF(AND(K167="Finished",I167&lt;H167,L167=""),"Add a reason code","")))</f>
        <v/>
      </c>
    </row>
    <row r="168" customFormat="false" ht="15" hidden="false" customHeight="false" outlineLevel="0" collapsed="false">
      <c r="A168" s="14"/>
      <c r="B168" s="15"/>
      <c r="C168" s="15"/>
      <c r="D168" s="15"/>
      <c r="E168" s="16" t="str">
        <f aca="false">IF(C168="","",IFERROR(INDEX(Drivers!$B:$B,MATCH(C168,Drivers!$A:$A,0)),"ID not found"))</f>
        <v/>
      </c>
      <c r="F168" s="16" t="str">
        <f aca="false">IF(B168="","",IFERROR(INDEX(Routes!$B:$B,MATCH(B168,Routes!$A:$A,0)),"ID not found"))</f>
        <v/>
      </c>
      <c r="G168" s="16" t="str">
        <f aca="false">IF(OR(B168="",C168="",D168=""),"",IF(OR(ISNA(MATCH(B168,Routes!$A:$A,0)),ISNA(MATCH(C168,Drivers!$A:$A,0)),ISNA(MATCH(D168,Vehicles!$A:$A,0))),"CHECK: ID not found",IF(INDEX(Routes!$C:$C,MATCH(B168,Routes!$A:$A,0))&lt;&gt;INDEX(Vehicles!$B:$B,MATCH(D168,Vehicles!$A:$A,0)),"CHECK: vehicle type does not fit route",IF(INDEX(Routes!$C:$C,MATCH(B168,Routes!$A:$A,0))&lt;&gt;INDEX(Drivers!$D:$D,MATCH(C168,Drivers!$A:$A,0)),"CHECK: driver type does not fit route",IF(OR(INDEX(Vehicles!$E:$E,MATCH(D168,Vehicles!$A:$A,0))="Workshop",INDEX(Vehicles!$E:$E,MATCH(D168,Vehicles!$A:$A,0))="Out of service"),"CHECK: vehicle not available",IF(INDEX(Drivers!$G:$G,MATCH(C168,Drivers!$A:$A,0))&lt;&gt;"Active","CHECK: driver not active",IF(COUNTIFS($A:$A,A168,$C:$C,C168)&gt;1,"CHECK: driver assigned twice",IF(COUNTIFS($A:$A,A168,$D:$D,D168)&gt;1,"CHECK: vehicle assigned twice","OK"))))))))</f>
        <v/>
      </c>
      <c r="H168" s="15"/>
      <c r="I168" s="15"/>
      <c r="J168" s="17" t="str">
        <f aca="false">IF(OR(H168="",H168=0),"",I168/H168)</f>
        <v/>
      </c>
      <c r="K168" s="15"/>
      <c r="L168" s="15"/>
      <c r="M168" s="18"/>
      <c r="N168" s="15"/>
      <c r="O168" s="16" t="str">
        <f aca="false">IF(AND(OR(K168="At risk",K168="Late"),L168=""),"Add a reason code",IF(AND(L168="OTH",N168=""),"Explain OTH in notes",IF(AND(K168="Finished",I168&lt;H168,L168=""),"Add a reason code","")))</f>
        <v/>
      </c>
    </row>
    <row r="169" customFormat="false" ht="15" hidden="false" customHeight="false" outlineLevel="0" collapsed="false">
      <c r="A169" s="14"/>
      <c r="B169" s="15"/>
      <c r="C169" s="15"/>
      <c r="D169" s="15"/>
      <c r="E169" s="16" t="str">
        <f aca="false">IF(C169="","",IFERROR(INDEX(Drivers!$B:$B,MATCH(C169,Drivers!$A:$A,0)),"ID not found"))</f>
        <v/>
      </c>
      <c r="F169" s="16" t="str">
        <f aca="false">IF(B169="","",IFERROR(INDEX(Routes!$B:$B,MATCH(B169,Routes!$A:$A,0)),"ID not found"))</f>
        <v/>
      </c>
      <c r="G169" s="16" t="str">
        <f aca="false">IF(OR(B169="",C169="",D169=""),"",IF(OR(ISNA(MATCH(B169,Routes!$A:$A,0)),ISNA(MATCH(C169,Drivers!$A:$A,0)),ISNA(MATCH(D169,Vehicles!$A:$A,0))),"CHECK: ID not found",IF(INDEX(Routes!$C:$C,MATCH(B169,Routes!$A:$A,0))&lt;&gt;INDEX(Vehicles!$B:$B,MATCH(D169,Vehicles!$A:$A,0)),"CHECK: vehicle type does not fit route",IF(INDEX(Routes!$C:$C,MATCH(B169,Routes!$A:$A,0))&lt;&gt;INDEX(Drivers!$D:$D,MATCH(C169,Drivers!$A:$A,0)),"CHECK: driver type does not fit route",IF(OR(INDEX(Vehicles!$E:$E,MATCH(D169,Vehicles!$A:$A,0))="Workshop",INDEX(Vehicles!$E:$E,MATCH(D169,Vehicles!$A:$A,0))="Out of service"),"CHECK: vehicle not available",IF(INDEX(Drivers!$G:$G,MATCH(C169,Drivers!$A:$A,0))&lt;&gt;"Active","CHECK: driver not active",IF(COUNTIFS($A:$A,A169,$C:$C,C169)&gt;1,"CHECK: driver assigned twice",IF(COUNTIFS($A:$A,A169,$D:$D,D169)&gt;1,"CHECK: vehicle assigned twice","OK"))))))))</f>
        <v/>
      </c>
      <c r="H169" s="15"/>
      <c r="I169" s="15"/>
      <c r="J169" s="17" t="str">
        <f aca="false">IF(OR(H169="",H169=0),"",I169/H169)</f>
        <v/>
      </c>
      <c r="K169" s="15"/>
      <c r="L169" s="15"/>
      <c r="M169" s="18"/>
      <c r="N169" s="15"/>
      <c r="O169" s="16" t="str">
        <f aca="false">IF(AND(OR(K169="At risk",K169="Late"),L169=""),"Add a reason code",IF(AND(L169="OTH",N169=""),"Explain OTH in notes",IF(AND(K169="Finished",I169&lt;H169,L169=""),"Add a reason code","")))</f>
        <v/>
      </c>
    </row>
    <row r="170" customFormat="false" ht="15" hidden="false" customHeight="false" outlineLevel="0" collapsed="false">
      <c r="A170" s="14"/>
      <c r="B170" s="15"/>
      <c r="C170" s="15"/>
      <c r="D170" s="15"/>
      <c r="E170" s="16" t="str">
        <f aca="false">IF(C170="","",IFERROR(INDEX(Drivers!$B:$B,MATCH(C170,Drivers!$A:$A,0)),"ID not found"))</f>
        <v/>
      </c>
      <c r="F170" s="16" t="str">
        <f aca="false">IF(B170="","",IFERROR(INDEX(Routes!$B:$B,MATCH(B170,Routes!$A:$A,0)),"ID not found"))</f>
        <v/>
      </c>
      <c r="G170" s="16" t="str">
        <f aca="false">IF(OR(B170="",C170="",D170=""),"",IF(OR(ISNA(MATCH(B170,Routes!$A:$A,0)),ISNA(MATCH(C170,Drivers!$A:$A,0)),ISNA(MATCH(D170,Vehicles!$A:$A,0))),"CHECK: ID not found",IF(INDEX(Routes!$C:$C,MATCH(B170,Routes!$A:$A,0))&lt;&gt;INDEX(Vehicles!$B:$B,MATCH(D170,Vehicles!$A:$A,0)),"CHECK: vehicle type does not fit route",IF(INDEX(Routes!$C:$C,MATCH(B170,Routes!$A:$A,0))&lt;&gt;INDEX(Drivers!$D:$D,MATCH(C170,Drivers!$A:$A,0)),"CHECK: driver type does not fit route",IF(OR(INDEX(Vehicles!$E:$E,MATCH(D170,Vehicles!$A:$A,0))="Workshop",INDEX(Vehicles!$E:$E,MATCH(D170,Vehicles!$A:$A,0))="Out of service"),"CHECK: vehicle not available",IF(INDEX(Drivers!$G:$G,MATCH(C170,Drivers!$A:$A,0))&lt;&gt;"Active","CHECK: driver not active",IF(COUNTIFS($A:$A,A170,$C:$C,C170)&gt;1,"CHECK: driver assigned twice",IF(COUNTIFS($A:$A,A170,$D:$D,D170)&gt;1,"CHECK: vehicle assigned twice","OK"))))))))</f>
        <v/>
      </c>
      <c r="H170" s="15"/>
      <c r="I170" s="15"/>
      <c r="J170" s="17" t="str">
        <f aca="false">IF(OR(H170="",H170=0),"",I170/H170)</f>
        <v/>
      </c>
      <c r="K170" s="15"/>
      <c r="L170" s="15"/>
      <c r="M170" s="18"/>
      <c r="N170" s="15"/>
      <c r="O170" s="16" t="str">
        <f aca="false">IF(AND(OR(K170="At risk",K170="Late"),L170=""),"Add a reason code",IF(AND(L170="OTH",N170=""),"Explain OTH in notes",IF(AND(K170="Finished",I170&lt;H170,L170=""),"Add a reason code","")))</f>
        <v/>
      </c>
    </row>
    <row r="171" customFormat="false" ht="15" hidden="false" customHeight="false" outlineLevel="0" collapsed="false">
      <c r="A171" s="14"/>
      <c r="B171" s="15"/>
      <c r="C171" s="15"/>
      <c r="D171" s="15"/>
      <c r="E171" s="16" t="str">
        <f aca="false">IF(C171="","",IFERROR(INDEX(Drivers!$B:$B,MATCH(C171,Drivers!$A:$A,0)),"ID not found"))</f>
        <v/>
      </c>
      <c r="F171" s="16" t="str">
        <f aca="false">IF(B171="","",IFERROR(INDEX(Routes!$B:$B,MATCH(B171,Routes!$A:$A,0)),"ID not found"))</f>
        <v/>
      </c>
      <c r="G171" s="16" t="str">
        <f aca="false">IF(OR(B171="",C171="",D171=""),"",IF(OR(ISNA(MATCH(B171,Routes!$A:$A,0)),ISNA(MATCH(C171,Drivers!$A:$A,0)),ISNA(MATCH(D171,Vehicles!$A:$A,0))),"CHECK: ID not found",IF(INDEX(Routes!$C:$C,MATCH(B171,Routes!$A:$A,0))&lt;&gt;INDEX(Vehicles!$B:$B,MATCH(D171,Vehicles!$A:$A,0)),"CHECK: vehicle type does not fit route",IF(INDEX(Routes!$C:$C,MATCH(B171,Routes!$A:$A,0))&lt;&gt;INDEX(Drivers!$D:$D,MATCH(C171,Drivers!$A:$A,0)),"CHECK: driver type does not fit route",IF(OR(INDEX(Vehicles!$E:$E,MATCH(D171,Vehicles!$A:$A,0))="Workshop",INDEX(Vehicles!$E:$E,MATCH(D171,Vehicles!$A:$A,0))="Out of service"),"CHECK: vehicle not available",IF(INDEX(Drivers!$G:$G,MATCH(C171,Drivers!$A:$A,0))&lt;&gt;"Active","CHECK: driver not active",IF(COUNTIFS($A:$A,A171,$C:$C,C171)&gt;1,"CHECK: driver assigned twice",IF(COUNTIFS($A:$A,A171,$D:$D,D171)&gt;1,"CHECK: vehicle assigned twice","OK"))))))))</f>
        <v/>
      </c>
      <c r="H171" s="15"/>
      <c r="I171" s="15"/>
      <c r="J171" s="17" t="str">
        <f aca="false">IF(OR(H171="",H171=0),"",I171/H171)</f>
        <v/>
      </c>
      <c r="K171" s="15"/>
      <c r="L171" s="15"/>
      <c r="M171" s="18"/>
      <c r="N171" s="15"/>
      <c r="O171" s="16" t="str">
        <f aca="false">IF(AND(OR(K171="At risk",K171="Late"),L171=""),"Add a reason code",IF(AND(L171="OTH",N171=""),"Explain OTH in notes",IF(AND(K171="Finished",I171&lt;H171,L171=""),"Add a reason code","")))</f>
        <v/>
      </c>
    </row>
    <row r="172" customFormat="false" ht="15" hidden="false" customHeight="false" outlineLevel="0" collapsed="false">
      <c r="A172" s="14"/>
      <c r="B172" s="15"/>
      <c r="C172" s="15"/>
      <c r="D172" s="15"/>
      <c r="E172" s="16" t="str">
        <f aca="false">IF(C172="","",IFERROR(INDEX(Drivers!$B:$B,MATCH(C172,Drivers!$A:$A,0)),"ID not found"))</f>
        <v/>
      </c>
      <c r="F172" s="16" t="str">
        <f aca="false">IF(B172="","",IFERROR(INDEX(Routes!$B:$B,MATCH(B172,Routes!$A:$A,0)),"ID not found"))</f>
        <v/>
      </c>
      <c r="G172" s="16" t="str">
        <f aca="false">IF(OR(B172="",C172="",D172=""),"",IF(OR(ISNA(MATCH(B172,Routes!$A:$A,0)),ISNA(MATCH(C172,Drivers!$A:$A,0)),ISNA(MATCH(D172,Vehicles!$A:$A,0))),"CHECK: ID not found",IF(INDEX(Routes!$C:$C,MATCH(B172,Routes!$A:$A,0))&lt;&gt;INDEX(Vehicles!$B:$B,MATCH(D172,Vehicles!$A:$A,0)),"CHECK: vehicle type does not fit route",IF(INDEX(Routes!$C:$C,MATCH(B172,Routes!$A:$A,0))&lt;&gt;INDEX(Drivers!$D:$D,MATCH(C172,Drivers!$A:$A,0)),"CHECK: driver type does not fit route",IF(OR(INDEX(Vehicles!$E:$E,MATCH(D172,Vehicles!$A:$A,0))="Workshop",INDEX(Vehicles!$E:$E,MATCH(D172,Vehicles!$A:$A,0))="Out of service"),"CHECK: vehicle not available",IF(INDEX(Drivers!$G:$G,MATCH(C172,Drivers!$A:$A,0))&lt;&gt;"Active","CHECK: driver not active",IF(COUNTIFS($A:$A,A172,$C:$C,C172)&gt;1,"CHECK: driver assigned twice",IF(COUNTIFS($A:$A,A172,$D:$D,D172)&gt;1,"CHECK: vehicle assigned twice","OK"))))))))</f>
        <v/>
      </c>
      <c r="H172" s="15"/>
      <c r="I172" s="15"/>
      <c r="J172" s="17" t="str">
        <f aca="false">IF(OR(H172="",H172=0),"",I172/H172)</f>
        <v/>
      </c>
      <c r="K172" s="15"/>
      <c r="L172" s="15"/>
      <c r="M172" s="18"/>
      <c r="N172" s="15"/>
      <c r="O172" s="16" t="str">
        <f aca="false">IF(AND(OR(K172="At risk",K172="Late"),L172=""),"Add a reason code",IF(AND(L172="OTH",N172=""),"Explain OTH in notes",IF(AND(K172="Finished",I172&lt;H172,L172=""),"Add a reason code","")))</f>
        <v/>
      </c>
    </row>
    <row r="173" customFormat="false" ht="15" hidden="false" customHeight="false" outlineLevel="0" collapsed="false">
      <c r="A173" s="14"/>
      <c r="B173" s="15"/>
      <c r="C173" s="15"/>
      <c r="D173" s="15"/>
      <c r="E173" s="16" t="str">
        <f aca="false">IF(C173="","",IFERROR(INDEX(Drivers!$B:$B,MATCH(C173,Drivers!$A:$A,0)),"ID not found"))</f>
        <v/>
      </c>
      <c r="F173" s="16" t="str">
        <f aca="false">IF(B173="","",IFERROR(INDEX(Routes!$B:$B,MATCH(B173,Routes!$A:$A,0)),"ID not found"))</f>
        <v/>
      </c>
      <c r="G173" s="16" t="str">
        <f aca="false">IF(OR(B173="",C173="",D173=""),"",IF(OR(ISNA(MATCH(B173,Routes!$A:$A,0)),ISNA(MATCH(C173,Drivers!$A:$A,0)),ISNA(MATCH(D173,Vehicles!$A:$A,0))),"CHECK: ID not found",IF(INDEX(Routes!$C:$C,MATCH(B173,Routes!$A:$A,0))&lt;&gt;INDEX(Vehicles!$B:$B,MATCH(D173,Vehicles!$A:$A,0)),"CHECK: vehicle type does not fit route",IF(INDEX(Routes!$C:$C,MATCH(B173,Routes!$A:$A,0))&lt;&gt;INDEX(Drivers!$D:$D,MATCH(C173,Drivers!$A:$A,0)),"CHECK: driver type does not fit route",IF(OR(INDEX(Vehicles!$E:$E,MATCH(D173,Vehicles!$A:$A,0))="Workshop",INDEX(Vehicles!$E:$E,MATCH(D173,Vehicles!$A:$A,0))="Out of service"),"CHECK: vehicle not available",IF(INDEX(Drivers!$G:$G,MATCH(C173,Drivers!$A:$A,0))&lt;&gt;"Active","CHECK: driver not active",IF(COUNTIFS($A:$A,A173,$C:$C,C173)&gt;1,"CHECK: driver assigned twice",IF(COUNTIFS($A:$A,A173,$D:$D,D173)&gt;1,"CHECK: vehicle assigned twice","OK"))))))))</f>
        <v/>
      </c>
      <c r="H173" s="15"/>
      <c r="I173" s="15"/>
      <c r="J173" s="17" t="str">
        <f aca="false">IF(OR(H173="",H173=0),"",I173/H173)</f>
        <v/>
      </c>
      <c r="K173" s="15"/>
      <c r="L173" s="15"/>
      <c r="M173" s="18"/>
      <c r="N173" s="15"/>
      <c r="O173" s="16" t="str">
        <f aca="false">IF(AND(OR(K173="At risk",K173="Late"),L173=""),"Add a reason code",IF(AND(L173="OTH",N173=""),"Explain OTH in notes",IF(AND(K173="Finished",I173&lt;H173,L173=""),"Add a reason code","")))</f>
        <v/>
      </c>
    </row>
    <row r="174" customFormat="false" ht="15" hidden="false" customHeight="false" outlineLevel="0" collapsed="false">
      <c r="A174" s="14"/>
      <c r="B174" s="15"/>
      <c r="C174" s="15"/>
      <c r="D174" s="15"/>
      <c r="E174" s="16" t="str">
        <f aca="false">IF(C174="","",IFERROR(INDEX(Drivers!$B:$B,MATCH(C174,Drivers!$A:$A,0)),"ID not found"))</f>
        <v/>
      </c>
      <c r="F174" s="16" t="str">
        <f aca="false">IF(B174="","",IFERROR(INDEX(Routes!$B:$B,MATCH(B174,Routes!$A:$A,0)),"ID not found"))</f>
        <v/>
      </c>
      <c r="G174" s="16" t="str">
        <f aca="false">IF(OR(B174="",C174="",D174=""),"",IF(OR(ISNA(MATCH(B174,Routes!$A:$A,0)),ISNA(MATCH(C174,Drivers!$A:$A,0)),ISNA(MATCH(D174,Vehicles!$A:$A,0))),"CHECK: ID not found",IF(INDEX(Routes!$C:$C,MATCH(B174,Routes!$A:$A,0))&lt;&gt;INDEX(Vehicles!$B:$B,MATCH(D174,Vehicles!$A:$A,0)),"CHECK: vehicle type does not fit route",IF(INDEX(Routes!$C:$C,MATCH(B174,Routes!$A:$A,0))&lt;&gt;INDEX(Drivers!$D:$D,MATCH(C174,Drivers!$A:$A,0)),"CHECK: driver type does not fit route",IF(OR(INDEX(Vehicles!$E:$E,MATCH(D174,Vehicles!$A:$A,0))="Workshop",INDEX(Vehicles!$E:$E,MATCH(D174,Vehicles!$A:$A,0))="Out of service"),"CHECK: vehicle not available",IF(INDEX(Drivers!$G:$G,MATCH(C174,Drivers!$A:$A,0))&lt;&gt;"Active","CHECK: driver not active",IF(COUNTIFS($A:$A,A174,$C:$C,C174)&gt;1,"CHECK: driver assigned twice",IF(COUNTIFS($A:$A,A174,$D:$D,D174)&gt;1,"CHECK: vehicle assigned twice","OK"))))))))</f>
        <v/>
      </c>
      <c r="H174" s="15"/>
      <c r="I174" s="15"/>
      <c r="J174" s="17" t="str">
        <f aca="false">IF(OR(H174="",H174=0),"",I174/H174)</f>
        <v/>
      </c>
      <c r="K174" s="15"/>
      <c r="L174" s="15"/>
      <c r="M174" s="18"/>
      <c r="N174" s="15"/>
      <c r="O174" s="16" t="str">
        <f aca="false">IF(AND(OR(K174="At risk",K174="Late"),L174=""),"Add a reason code",IF(AND(L174="OTH",N174=""),"Explain OTH in notes",IF(AND(K174="Finished",I174&lt;H174,L174=""),"Add a reason code","")))</f>
        <v/>
      </c>
    </row>
    <row r="175" customFormat="false" ht="15" hidden="false" customHeight="false" outlineLevel="0" collapsed="false">
      <c r="A175" s="14"/>
      <c r="B175" s="15"/>
      <c r="C175" s="15"/>
      <c r="D175" s="15"/>
      <c r="E175" s="16" t="str">
        <f aca="false">IF(C175="","",IFERROR(INDEX(Drivers!$B:$B,MATCH(C175,Drivers!$A:$A,0)),"ID not found"))</f>
        <v/>
      </c>
      <c r="F175" s="16" t="str">
        <f aca="false">IF(B175="","",IFERROR(INDEX(Routes!$B:$B,MATCH(B175,Routes!$A:$A,0)),"ID not found"))</f>
        <v/>
      </c>
      <c r="G175" s="16" t="str">
        <f aca="false">IF(OR(B175="",C175="",D175=""),"",IF(OR(ISNA(MATCH(B175,Routes!$A:$A,0)),ISNA(MATCH(C175,Drivers!$A:$A,0)),ISNA(MATCH(D175,Vehicles!$A:$A,0))),"CHECK: ID not found",IF(INDEX(Routes!$C:$C,MATCH(B175,Routes!$A:$A,0))&lt;&gt;INDEX(Vehicles!$B:$B,MATCH(D175,Vehicles!$A:$A,0)),"CHECK: vehicle type does not fit route",IF(INDEX(Routes!$C:$C,MATCH(B175,Routes!$A:$A,0))&lt;&gt;INDEX(Drivers!$D:$D,MATCH(C175,Drivers!$A:$A,0)),"CHECK: driver type does not fit route",IF(OR(INDEX(Vehicles!$E:$E,MATCH(D175,Vehicles!$A:$A,0))="Workshop",INDEX(Vehicles!$E:$E,MATCH(D175,Vehicles!$A:$A,0))="Out of service"),"CHECK: vehicle not available",IF(INDEX(Drivers!$G:$G,MATCH(C175,Drivers!$A:$A,0))&lt;&gt;"Active","CHECK: driver not active",IF(COUNTIFS($A:$A,A175,$C:$C,C175)&gt;1,"CHECK: driver assigned twice",IF(COUNTIFS($A:$A,A175,$D:$D,D175)&gt;1,"CHECK: vehicle assigned twice","OK"))))))))</f>
        <v/>
      </c>
      <c r="H175" s="15"/>
      <c r="I175" s="15"/>
      <c r="J175" s="17" t="str">
        <f aca="false">IF(OR(H175="",H175=0),"",I175/H175)</f>
        <v/>
      </c>
      <c r="K175" s="15"/>
      <c r="L175" s="15"/>
      <c r="M175" s="18"/>
      <c r="N175" s="15"/>
      <c r="O175" s="16" t="str">
        <f aca="false">IF(AND(OR(K175="At risk",K175="Late"),L175=""),"Add a reason code",IF(AND(L175="OTH",N175=""),"Explain OTH in notes",IF(AND(K175="Finished",I175&lt;H175,L175=""),"Add a reason code","")))</f>
        <v/>
      </c>
    </row>
    <row r="176" customFormat="false" ht="15" hidden="false" customHeight="false" outlineLevel="0" collapsed="false">
      <c r="A176" s="14"/>
      <c r="B176" s="15"/>
      <c r="C176" s="15"/>
      <c r="D176" s="15"/>
      <c r="E176" s="16" t="str">
        <f aca="false">IF(C176="","",IFERROR(INDEX(Drivers!$B:$B,MATCH(C176,Drivers!$A:$A,0)),"ID not found"))</f>
        <v/>
      </c>
      <c r="F176" s="16" t="str">
        <f aca="false">IF(B176="","",IFERROR(INDEX(Routes!$B:$B,MATCH(B176,Routes!$A:$A,0)),"ID not found"))</f>
        <v/>
      </c>
      <c r="G176" s="16" t="str">
        <f aca="false">IF(OR(B176="",C176="",D176=""),"",IF(OR(ISNA(MATCH(B176,Routes!$A:$A,0)),ISNA(MATCH(C176,Drivers!$A:$A,0)),ISNA(MATCH(D176,Vehicles!$A:$A,0))),"CHECK: ID not found",IF(INDEX(Routes!$C:$C,MATCH(B176,Routes!$A:$A,0))&lt;&gt;INDEX(Vehicles!$B:$B,MATCH(D176,Vehicles!$A:$A,0)),"CHECK: vehicle type does not fit route",IF(INDEX(Routes!$C:$C,MATCH(B176,Routes!$A:$A,0))&lt;&gt;INDEX(Drivers!$D:$D,MATCH(C176,Drivers!$A:$A,0)),"CHECK: driver type does not fit route",IF(OR(INDEX(Vehicles!$E:$E,MATCH(D176,Vehicles!$A:$A,0))="Workshop",INDEX(Vehicles!$E:$E,MATCH(D176,Vehicles!$A:$A,0))="Out of service"),"CHECK: vehicle not available",IF(INDEX(Drivers!$G:$G,MATCH(C176,Drivers!$A:$A,0))&lt;&gt;"Active","CHECK: driver not active",IF(COUNTIFS($A:$A,A176,$C:$C,C176)&gt;1,"CHECK: driver assigned twice",IF(COUNTIFS($A:$A,A176,$D:$D,D176)&gt;1,"CHECK: vehicle assigned twice","OK"))))))))</f>
        <v/>
      </c>
      <c r="H176" s="15"/>
      <c r="I176" s="15"/>
      <c r="J176" s="17" t="str">
        <f aca="false">IF(OR(H176="",H176=0),"",I176/H176)</f>
        <v/>
      </c>
      <c r="K176" s="15"/>
      <c r="L176" s="15"/>
      <c r="M176" s="18"/>
      <c r="N176" s="15"/>
      <c r="O176" s="16" t="str">
        <f aca="false">IF(AND(OR(K176="At risk",K176="Late"),L176=""),"Add a reason code",IF(AND(L176="OTH",N176=""),"Explain OTH in notes",IF(AND(K176="Finished",I176&lt;H176,L176=""),"Add a reason code","")))</f>
        <v/>
      </c>
    </row>
    <row r="177" customFormat="false" ht="15" hidden="false" customHeight="false" outlineLevel="0" collapsed="false">
      <c r="A177" s="14"/>
      <c r="B177" s="15"/>
      <c r="C177" s="15"/>
      <c r="D177" s="15"/>
      <c r="E177" s="16" t="str">
        <f aca="false">IF(C177="","",IFERROR(INDEX(Drivers!$B:$B,MATCH(C177,Drivers!$A:$A,0)),"ID not found"))</f>
        <v/>
      </c>
      <c r="F177" s="16" t="str">
        <f aca="false">IF(B177="","",IFERROR(INDEX(Routes!$B:$B,MATCH(B177,Routes!$A:$A,0)),"ID not found"))</f>
        <v/>
      </c>
      <c r="G177" s="16" t="str">
        <f aca="false">IF(OR(B177="",C177="",D177=""),"",IF(OR(ISNA(MATCH(B177,Routes!$A:$A,0)),ISNA(MATCH(C177,Drivers!$A:$A,0)),ISNA(MATCH(D177,Vehicles!$A:$A,0))),"CHECK: ID not found",IF(INDEX(Routes!$C:$C,MATCH(B177,Routes!$A:$A,0))&lt;&gt;INDEX(Vehicles!$B:$B,MATCH(D177,Vehicles!$A:$A,0)),"CHECK: vehicle type does not fit route",IF(INDEX(Routes!$C:$C,MATCH(B177,Routes!$A:$A,0))&lt;&gt;INDEX(Drivers!$D:$D,MATCH(C177,Drivers!$A:$A,0)),"CHECK: driver type does not fit route",IF(OR(INDEX(Vehicles!$E:$E,MATCH(D177,Vehicles!$A:$A,0))="Workshop",INDEX(Vehicles!$E:$E,MATCH(D177,Vehicles!$A:$A,0))="Out of service"),"CHECK: vehicle not available",IF(INDEX(Drivers!$G:$G,MATCH(C177,Drivers!$A:$A,0))&lt;&gt;"Active","CHECK: driver not active",IF(COUNTIFS($A:$A,A177,$C:$C,C177)&gt;1,"CHECK: driver assigned twice",IF(COUNTIFS($A:$A,A177,$D:$D,D177)&gt;1,"CHECK: vehicle assigned twice","OK"))))))))</f>
        <v/>
      </c>
      <c r="H177" s="15"/>
      <c r="I177" s="15"/>
      <c r="J177" s="17" t="str">
        <f aca="false">IF(OR(H177="",H177=0),"",I177/H177)</f>
        <v/>
      </c>
      <c r="K177" s="15"/>
      <c r="L177" s="15"/>
      <c r="M177" s="18"/>
      <c r="N177" s="15"/>
      <c r="O177" s="16" t="str">
        <f aca="false">IF(AND(OR(K177="At risk",K177="Late"),L177=""),"Add a reason code",IF(AND(L177="OTH",N177=""),"Explain OTH in notes",IF(AND(K177="Finished",I177&lt;H177,L177=""),"Add a reason code","")))</f>
        <v/>
      </c>
    </row>
    <row r="178" customFormat="false" ht="15" hidden="false" customHeight="false" outlineLevel="0" collapsed="false">
      <c r="A178" s="14"/>
      <c r="B178" s="15"/>
      <c r="C178" s="15"/>
      <c r="D178" s="15"/>
      <c r="E178" s="16" t="str">
        <f aca="false">IF(C178="","",IFERROR(INDEX(Drivers!$B:$B,MATCH(C178,Drivers!$A:$A,0)),"ID not found"))</f>
        <v/>
      </c>
      <c r="F178" s="16" t="str">
        <f aca="false">IF(B178="","",IFERROR(INDEX(Routes!$B:$B,MATCH(B178,Routes!$A:$A,0)),"ID not found"))</f>
        <v/>
      </c>
      <c r="G178" s="16" t="str">
        <f aca="false">IF(OR(B178="",C178="",D178=""),"",IF(OR(ISNA(MATCH(B178,Routes!$A:$A,0)),ISNA(MATCH(C178,Drivers!$A:$A,0)),ISNA(MATCH(D178,Vehicles!$A:$A,0))),"CHECK: ID not found",IF(INDEX(Routes!$C:$C,MATCH(B178,Routes!$A:$A,0))&lt;&gt;INDEX(Vehicles!$B:$B,MATCH(D178,Vehicles!$A:$A,0)),"CHECK: vehicle type does not fit route",IF(INDEX(Routes!$C:$C,MATCH(B178,Routes!$A:$A,0))&lt;&gt;INDEX(Drivers!$D:$D,MATCH(C178,Drivers!$A:$A,0)),"CHECK: driver type does not fit route",IF(OR(INDEX(Vehicles!$E:$E,MATCH(D178,Vehicles!$A:$A,0))="Workshop",INDEX(Vehicles!$E:$E,MATCH(D178,Vehicles!$A:$A,0))="Out of service"),"CHECK: vehicle not available",IF(INDEX(Drivers!$G:$G,MATCH(C178,Drivers!$A:$A,0))&lt;&gt;"Active","CHECK: driver not active",IF(COUNTIFS($A:$A,A178,$C:$C,C178)&gt;1,"CHECK: driver assigned twice",IF(COUNTIFS($A:$A,A178,$D:$D,D178)&gt;1,"CHECK: vehicle assigned twice","OK"))))))))</f>
        <v/>
      </c>
      <c r="H178" s="15"/>
      <c r="I178" s="15"/>
      <c r="J178" s="17" t="str">
        <f aca="false">IF(OR(H178="",H178=0),"",I178/H178)</f>
        <v/>
      </c>
      <c r="K178" s="15"/>
      <c r="L178" s="15"/>
      <c r="M178" s="18"/>
      <c r="N178" s="15"/>
      <c r="O178" s="16" t="str">
        <f aca="false">IF(AND(OR(K178="At risk",K178="Late"),L178=""),"Add a reason code",IF(AND(L178="OTH",N178=""),"Explain OTH in notes",IF(AND(K178="Finished",I178&lt;H178,L178=""),"Add a reason code","")))</f>
        <v/>
      </c>
    </row>
    <row r="179" customFormat="false" ht="15" hidden="false" customHeight="false" outlineLevel="0" collapsed="false">
      <c r="A179" s="14"/>
      <c r="B179" s="15"/>
      <c r="C179" s="15"/>
      <c r="D179" s="15"/>
      <c r="E179" s="16" t="str">
        <f aca="false">IF(C179="","",IFERROR(INDEX(Drivers!$B:$B,MATCH(C179,Drivers!$A:$A,0)),"ID not found"))</f>
        <v/>
      </c>
      <c r="F179" s="16" t="str">
        <f aca="false">IF(B179="","",IFERROR(INDEX(Routes!$B:$B,MATCH(B179,Routes!$A:$A,0)),"ID not found"))</f>
        <v/>
      </c>
      <c r="G179" s="16" t="str">
        <f aca="false">IF(OR(B179="",C179="",D179=""),"",IF(OR(ISNA(MATCH(B179,Routes!$A:$A,0)),ISNA(MATCH(C179,Drivers!$A:$A,0)),ISNA(MATCH(D179,Vehicles!$A:$A,0))),"CHECK: ID not found",IF(INDEX(Routes!$C:$C,MATCH(B179,Routes!$A:$A,0))&lt;&gt;INDEX(Vehicles!$B:$B,MATCH(D179,Vehicles!$A:$A,0)),"CHECK: vehicle type does not fit route",IF(INDEX(Routes!$C:$C,MATCH(B179,Routes!$A:$A,0))&lt;&gt;INDEX(Drivers!$D:$D,MATCH(C179,Drivers!$A:$A,0)),"CHECK: driver type does not fit route",IF(OR(INDEX(Vehicles!$E:$E,MATCH(D179,Vehicles!$A:$A,0))="Workshop",INDEX(Vehicles!$E:$E,MATCH(D179,Vehicles!$A:$A,0))="Out of service"),"CHECK: vehicle not available",IF(INDEX(Drivers!$G:$G,MATCH(C179,Drivers!$A:$A,0))&lt;&gt;"Active","CHECK: driver not active",IF(COUNTIFS($A:$A,A179,$C:$C,C179)&gt;1,"CHECK: driver assigned twice",IF(COUNTIFS($A:$A,A179,$D:$D,D179)&gt;1,"CHECK: vehicle assigned twice","OK"))))))))</f>
        <v/>
      </c>
      <c r="H179" s="15"/>
      <c r="I179" s="15"/>
      <c r="J179" s="17" t="str">
        <f aca="false">IF(OR(H179="",H179=0),"",I179/H179)</f>
        <v/>
      </c>
      <c r="K179" s="15"/>
      <c r="L179" s="15"/>
      <c r="M179" s="18"/>
      <c r="N179" s="15"/>
      <c r="O179" s="16" t="str">
        <f aca="false">IF(AND(OR(K179="At risk",K179="Late"),L179=""),"Add a reason code",IF(AND(L179="OTH",N179=""),"Explain OTH in notes",IF(AND(K179="Finished",I179&lt;H179,L179=""),"Add a reason code","")))</f>
        <v/>
      </c>
    </row>
    <row r="180" customFormat="false" ht="15" hidden="false" customHeight="false" outlineLevel="0" collapsed="false">
      <c r="A180" s="14"/>
      <c r="B180" s="15"/>
      <c r="C180" s="15"/>
      <c r="D180" s="15"/>
      <c r="E180" s="16" t="str">
        <f aca="false">IF(C180="","",IFERROR(INDEX(Drivers!$B:$B,MATCH(C180,Drivers!$A:$A,0)),"ID not found"))</f>
        <v/>
      </c>
      <c r="F180" s="16" t="str">
        <f aca="false">IF(B180="","",IFERROR(INDEX(Routes!$B:$B,MATCH(B180,Routes!$A:$A,0)),"ID not found"))</f>
        <v/>
      </c>
      <c r="G180" s="16" t="str">
        <f aca="false">IF(OR(B180="",C180="",D180=""),"",IF(OR(ISNA(MATCH(B180,Routes!$A:$A,0)),ISNA(MATCH(C180,Drivers!$A:$A,0)),ISNA(MATCH(D180,Vehicles!$A:$A,0))),"CHECK: ID not found",IF(INDEX(Routes!$C:$C,MATCH(B180,Routes!$A:$A,0))&lt;&gt;INDEX(Vehicles!$B:$B,MATCH(D180,Vehicles!$A:$A,0)),"CHECK: vehicle type does not fit route",IF(INDEX(Routes!$C:$C,MATCH(B180,Routes!$A:$A,0))&lt;&gt;INDEX(Drivers!$D:$D,MATCH(C180,Drivers!$A:$A,0)),"CHECK: driver type does not fit route",IF(OR(INDEX(Vehicles!$E:$E,MATCH(D180,Vehicles!$A:$A,0))="Workshop",INDEX(Vehicles!$E:$E,MATCH(D180,Vehicles!$A:$A,0))="Out of service"),"CHECK: vehicle not available",IF(INDEX(Drivers!$G:$G,MATCH(C180,Drivers!$A:$A,0))&lt;&gt;"Active","CHECK: driver not active",IF(COUNTIFS($A:$A,A180,$C:$C,C180)&gt;1,"CHECK: driver assigned twice",IF(COUNTIFS($A:$A,A180,$D:$D,D180)&gt;1,"CHECK: vehicle assigned twice","OK"))))))))</f>
        <v/>
      </c>
      <c r="H180" s="15"/>
      <c r="I180" s="15"/>
      <c r="J180" s="17" t="str">
        <f aca="false">IF(OR(H180="",H180=0),"",I180/H180)</f>
        <v/>
      </c>
      <c r="K180" s="15"/>
      <c r="L180" s="15"/>
      <c r="M180" s="18"/>
      <c r="N180" s="15"/>
      <c r="O180" s="16" t="str">
        <f aca="false">IF(AND(OR(K180="At risk",K180="Late"),L180=""),"Add a reason code",IF(AND(L180="OTH",N180=""),"Explain OTH in notes",IF(AND(K180="Finished",I180&lt;H180,L180=""),"Add a reason code","")))</f>
        <v/>
      </c>
    </row>
    <row r="181" customFormat="false" ht="15" hidden="false" customHeight="false" outlineLevel="0" collapsed="false">
      <c r="A181" s="14"/>
      <c r="B181" s="15"/>
      <c r="C181" s="15"/>
      <c r="D181" s="15"/>
      <c r="E181" s="16" t="str">
        <f aca="false">IF(C181="","",IFERROR(INDEX(Drivers!$B:$B,MATCH(C181,Drivers!$A:$A,0)),"ID not found"))</f>
        <v/>
      </c>
      <c r="F181" s="16" t="str">
        <f aca="false">IF(B181="","",IFERROR(INDEX(Routes!$B:$B,MATCH(B181,Routes!$A:$A,0)),"ID not found"))</f>
        <v/>
      </c>
      <c r="G181" s="16" t="str">
        <f aca="false">IF(OR(B181="",C181="",D181=""),"",IF(OR(ISNA(MATCH(B181,Routes!$A:$A,0)),ISNA(MATCH(C181,Drivers!$A:$A,0)),ISNA(MATCH(D181,Vehicles!$A:$A,0))),"CHECK: ID not found",IF(INDEX(Routes!$C:$C,MATCH(B181,Routes!$A:$A,0))&lt;&gt;INDEX(Vehicles!$B:$B,MATCH(D181,Vehicles!$A:$A,0)),"CHECK: vehicle type does not fit route",IF(INDEX(Routes!$C:$C,MATCH(B181,Routes!$A:$A,0))&lt;&gt;INDEX(Drivers!$D:$D,MATCH(C181,Drivers!$A:$A,0)),"CHECK: driver type does not fit route",IF(OR(INDEX(Vehicles!$E:$E,MATCH(D181,Vehicles!$A:$A,0))="Workshop",INDEX(Vehicles!$E:$E,MATCH(D181,Vehicles!$A:$A,0))="Out of service"),"CHECK: vehicle not available",IF(INDEX(Drivers!$G:$G,MATCH(C181,Drivers!$A:$A,0))&lt;&gt;"Active","CHECK: driver not active",IF(COUNTIFS($A:$A,A181,$C:$C,C181)&gt;1,"CHECK: driver assigned twice",IF(COUNTIFS($A:$A,A181,$D:$D,D181)&gt;1,"CHECK: vehicle assigned twice","OK"))))))))</f>
        <v/>
      </c>
      <c r="H181" s="15"/>
      <c r="I181" s="15"/>
      <c r="J181" s="17" t="str">
        <f aca="false">IF(OR(H181="",H181=0),"",I181/H181)</f>
        <v/>
      </c>
      <c r="K181" s="15"/>
      <c r="L181" s="15"/>
      <c r="M181" s="18"/>
      <c r="N181" s="15"/>
      <c r="O181" s="16" t="str">
        <f aca="false">IF(AND(OR(K181="At risk",K181="Late"),L181=""),"Add a reason code",IF(AND(L181="OTH",N181=""),"Explain OTH in notes",IF(AND(K181="Finished",I181&lt;H181,L181=""),"Add a reason code","")))</f>
        <v/>
      </c>
    </row>
    <row r="182" customFormat="false" ht="15" hidden="false" customHeight="false" outlineLevel="0" collapsed="false">
      <c r="A182" s="14"/>
      <c r="B182" s="15"/>
      <c r="C182" s="15"/>
      <c r="D182" s="15"/>
      <c r="E182" s="16" t="str">
        <f aca="false">IF(C182="","",IFERROR(INDEX(Drivers!$B:$B,MATCH(C182,Drivers!$A:$A,0)),"ID not found"))</f>
        <v/>
      </c>
      <c r="F182" s="16" t="str">
        <f aca="false">IF(B182="","",IFERROR(INDEX(Routes!$B:$B,MATCH(B182,Routes!$A:$A,0)),"ID not found"))</f>
        <v/>
      </c>
      <c r="G182" s="16" t="str">
        <f aca="false">IF(OR(B182="",C182="",D182=""),"",IF(OR(ISNA(MATCH(B182,Routes!$A:$A,0)),ISNA(MATCH(C182,Drivers!$A:$A,0)),ISNA(MATCH(D182,Vehicles!$A:$A,0))),"CHECK: ID not found",IF(INDEX(Routes!$C:$C,MATCH(B182,Routes!$A:$A,0))&lt;&gt;INDEX(Vehicles!$B:$B,MATCH(D182,Vehicles!$A:$A,0)),"CHECK: vehicle type does not fit route",IF(INDEX(Routes!$C:$C,MATCH(B182,Routes!$A:$A,0))&lt;&gt;INDEX(Drivers!$D:$D,MATCH(C182,Drivers!$A:$A,0)),"CHECK: driver type does not fit route",IF(OR(INDEX(Vehicles!$E:$E,MATCH(D182,Vehicles!$A:$A,0))="Workshop",INDEX(Vehicles!$E:$E,MATCH(D182,Vehicles!$A:$A,0))="Out of service"),"CHECK: vehicle not available",IF(INDEX(Drivers!$G:$G,MATCH(C182,Drivers!$A:$A,0))&lt;&gt;"Active","CHECK: driver not active",IF(COUNTIFS($A:$A,A182,$C:$C,C182)&gt;1,"CHECK: driver assigned twice",IF(COUNTIFS($A:$A,A182,$D:$D,D182)&gt;1,"CHECK: vehicle assigned twice","OK"))))))))</f>
        <v/>
      </c>
      <c r="H182" s="15"/>
      <c r="I182" s="15"/>
      <c r="J182" s="17" t="str">
        <f aca="false">IF(OR(H182="",H182=0),"",I182/H182)</f>
        <v/>
      </c>
      <c r="K182" s="15"/>
      <c r="L182" s="15"/>
      <c r="M182" s="18"/>
      <c r="N182" s="15"/>
      <c r="O182" s="16" t="str">
        <f aca="false">IF(AND(OR(K182="At risk",K182="Late"),L182=""),"Add a reason code",IF(AND(L182="OTH",N182=""),"Explain OTH in notes",IF(AND(K182="Finished",I182&lt;H182,L182=""),"Add a reason code","")))</f>
        <v/>
      </c>
    </row>
    <row r="183" customFormat="false" ht="15" hidden="false" customHeight="false" outlineLevel="0" collapsed="false">
      <c r="A183" s="14"/>
      <c r="B183" s="15"/>
      <c r="C183" s="15"/>
      <c r="D183" s="15"/>
      <c r="E183" s="16" t="str">
        <f aca="false">IF(C183="","",IFERROR(INDEX(Drivers!$B:$B,MATCH(C183,Drivers!$A:$A,0)),"ID not found"))</f>
        <v/>
      </c>
      <c r="F183" s="16" t="str">
        <f aca="false">IF(B183="","",IFERROR(INDEX(Routes!$B:$B,MATCH(B183,Routes!$A:$A,0)),"ID not found"))</f>
        <v/>
      </c>
      <c r="G183" s="16" t="str">
        <f aca="false">IF(OR(B183="",C183="",D183=""),"",IF(OR(ISNA(MATCH(B183,Routes!$A:$A,0)),ISNA(MATCH(C183,Drivers!$A:$A,0)),ISNA(MATCH(D183,Vehicles!$A:$A,0))),"CHECK: ID not found",IF(INDEX(Routes!$C:$C,MATCH(B183,Routes!$A:$A,0))&lt;&gt;INDEX(Vehicles!$B:$B,MATCH(D183,Vehicles!$A:$A,0)),"CHECK: vehicle type does not fit route",IF(INDEX(Routes!$C:$C,MATCH(B183,Routes!$A:$A,0))&lt;&gt;INDEX(Drivers!$D:$D,MATCH(C183,Drivers!$A:$A,0)),"CHECK: driver type does not fit route",IF(OR(INDEX(Vehicles!$E:$E,MATCH(D183,Vehicles!$A:$A,0))="Workshop",INDEX(Vehicles!$E:$E,MATCH(D183,Vehicles!$A:$A,0))="Out of service"),"CHECK: vehicle not available",IF(INDEX(Drivers!$G:$G,MATCH(C183,Drivers!$A:$A,0))&lt;&gt;"Active","CHECK: driver not active",IF(COUNTIFS($A:$A,A183,$C:$C,C183)&gt;1,"CHECK: driver assigned twice",IF(COUNTIFS($A:$A,A183,$D:$D,D183)&gt;1,"CHECK: vehicle assigned twice","OK"))))))))</f>
        <v/>
      </c>
      <c r="H183" s="15"/>
      <c r="I183" s="15"/>
      <c r="J183" s="17" t="str">
        <f aca="false">IF(OR(H183="",H183=0),"",I183/H183)</f>
        <v/>
      </c>
      <c r="K183" s="15"/>
      <c r="L183" s="15"/>
      <c r="M183" s="18"/>
      <c r="N183" s="15"/>
      <c r="O183" s="16" t="str">
        <f aca="false">IF(AND(OR(K183="At risk",K183="Late"),L183=""),"Add a reason code",IF(AND(L183="OTH",N183=""),"Explain OTH in notes",IF(AND(K183="Finished",I183&lt;H183,L183=""),"Add a reason code","")))</f>
        <v/>
      </c>
    </row>
    <row r="184" customFormat="false" ht="15" hidden="false" customHeight="false" outlineLevel="0" collapsed="false">
      <c r="A184" s="14"/>
      <c r="B184" s="15"/>
      <c r="C184" s="15"/>
      <c r="D184" s="15"/>
      <c r="E184" s="16" t="str">
        <f aca="false">IF(C184="","",IFERROR(INDEX(Drivers!$B:$B,MATCH(C184,Drivers!$A:$A,0)),"ID not found"))</f>
        <v/>
      </c>
      <c r="F184" s="16" t="str">
        <f aca="false">IF(B184="","",IFERROR(INDEX(Routes!$B:$B,MATCH(B184,Routes!$A:$A,0)),"ID not found"))</f>
        <v/>
      </c>
      <c r="G184" s="16" t="str">
        <f aca="false">IF(OR(B184="",C184="",D184=""),"",IF(OR(ISNA(MATCH(B184,Routes!$A:$A,0)),ISNA(MATCH(C184,Drivers!$A:$A,0)),ISNA(MATCH(D184,Vehicles!$A:$A,0))),"CHECK: ID not found",IF(INDEX(Routes!$C:$C,MATCH(B184,Routes!$A:$A,0))&lt;&gt;INDEX(Vehicles!$B:$B,MATCH(D184,Vehicles!$A:$A,0)),"CHECK: vehicle type does not fit route",IF(INDEX(Routes!$C:$C,MATCH(B184,Routes!$A:$A,0))&lt;&gt;INDEX(Drivers!$D:$D,MATCH(C184,Drivers!$A:$A,0)),"CHECK: driver type does not fit route",IF(OR(INDEX(Vehicles!$E:$E,MATCH(D184,Vehicles!$A:$A,0))="Workshop",INDEX(Vehicles!$E:$E,MATCH(D184,Vehicles!$A:$A,0))="Out of service"),"CHECK: vehicle not available",IF(INDEX(Drivers!$G:$G,MATCH(C184,Drivers!$A:$A,0))&lt;&gt;"Active","CHECK: driver not active",IF(COUNTIFS($A:$A,A184,$C:$C,C184)&gt;1,"CHECK: driver assigned twice",IF(COUNTIFS($A:$A,A184,$D:$D,D184)&gt;1,"CHECK: vehicle assigned twice","OK"))))))))</f>
        <v/>
      </c>
      <c r="H184" s="15"/>
      <c r="I184" s="15"/>
      <c r="J184" s="17" t="str">
        <f aca="false">IF(OR(H184="",H184=0),"",I184/H184)</f>
        <v/>
      </c>
      <c r="K184" s="15"/>
      <c r="L184" s="15"/>
      <c r="M184" s="18"/>
      <c r="N184" s="15"/>
      <c r="O184" s="16" t="str">
        <f aca="false">IF(AND(OR(K184="At risk",K184="Late"),L184=""),"Add a reason code",IF(AND(L184="OTH",N184=""),"Explain OTH in notes",IF(AND(K184="Finished",I184&lt;H184,L184=""),"Add a reason code","")))</f>
        <v/>
      </c>
    </row>
    <row r="185" customFormat="false" ht="15" hidden="false" customHeight="false" outlineLevel="0" collapsed="false">
      <c r="A185" s="14"/>
      <c r="B185" s="15"/>
      <c r="C185" s="15"/>
      <c r="D185" s="15"/>
      <c r="E185" s="16" t="str">
        <f aca="false">IF(C185="","",IFERROR(INDEX(Drivers!$B:$B,MATCH(C185,Drivers!$A:$A,0)),"ID not found"))</f>
        <v/>
      </c>
      <c r="F185" s="16" t="str">
        <f aca="false">IF(B185="","",IFERROR(INDEX(Routes!$B:$B,MATCH(B185,Routes!$A:$A,0)),"ID not found"))</f>
        <v/>
      </c>
      <c r="G185" s="16" t="str">
        <f aca="false">IF(OR(B185="",C185="",D185=""),"",IF(OR(ISNA(MATCH(B185,Routes!$A:$A,0)),ISNA(MATCH(C185,Drivers!$A:$A,0)),ISNA(MATCH(D185,Vehicles!$A:$A,0))),"CHECK: ID not found",IF(INDEX(Routes!$C:$C,MATCH(B185,Routes!$A:$A,0))&lt;&gt;INDEX(Vehicles!$B:$B,MATCH(D185,Vehicles!$A:$A,0)),"CHECK: vehicle type does not fit route",IF(INDEX(Routes!$C:$C,MATCH(B185,Routes!$A:$A,0))&lt;&gt;INDEX(Drivers!$D:$D,MATCH(C185,Drivers!$A:$A,0)),"CHECK: driver type does not fit route",IF(OR(INDEX(Vehicles!$E:$E,MATCH(D185,Vehicles!$A:$A,0))="Workshop",INDEX(Vehicles!$E:$E,MATCH(D185,Vehicles!$A:$A,0))="Out of service"),"CHECK: vehicle not available",IF(INDEX(Drivers!$G:$G,MATCH(C185,Drivers!$A:$A,0))&lt;&gt;"Active","CHECK: driver not active",IF(COUNTIFS($A:$A,A185,$C:$C,C185)&gt;1,"CHECK: driver assigned twice",IF(COUNTIFS($A:$A,A185,$D:$D,D185)&gt;1,"CHECK: vehicle assigned twice","OK"))))))))</f>
        <v/>
      </c>
      <c r="H185" s="15"/>
      <c r="I185" s="15"/>
      <c r="J185" s="17" t="str">
        <f aca="false">IF(OR(H185="",H185=0),"",I185/H185)</f>
        <v/>
      </c>
      <c r="K185" s="15"/>
      <c r="L185" s="15"/>
      <c r="M185" s="18"/>
      <c r="N185" s="15"/>
      <c r="O185" s="16" t="str">
        <f aca="false">IF(AND(OR(K185="At risk",K185="Late"),L185=""),"Add a reason code",IF(AND(L185="OTH",N185=""),"Explain OTH in notes",IF(AND(K185="Finished",I185&lt;H185,L185=""),"Add a reason code","")))</f>
        <v/>
      </c>
    </row>
    <row r="186" customFormat="false" ht="15" hidden="false" customHeight="false" outlineLevel="0" collapsed="false">
      <c r="A186" s="14"/>
      <c r="B186" s="15"/>
      <c r="C186" s="15"/>
      <c r="D186" s="15"/>
      <c r="E186" s="16" t="str">
        <f aca="false">IF(C186="","",IFERROR(INDEX(Drivers!$B:$B,MATCH(C186,Drivers!$A:$A,0)),"ID not found"))</f>
        <v/>
      </c>
      <c r="F186" s="16" t="str">
        <f aca="false">IF(B186="","",IFERROR(INDEX(Routes!$B:$B,MATCH(B186,Routes!$A:$A,0)),"ID not found"))</f>
        <v/>
      </c>
      <c r="G186" s="16" t="str">
        <f aca="false">IF(OR(B186="",C186="",D186=""),"",IF(OR(ISNA(MATCH(B186,Routes!$A:$A,0)),ISNA(MATCH(C186,Drivers!$A:$A,0)),ISNA(MATCH(D186,Vehicles!$A:$A,0))),"CHECK: ID not found",IF(INDEX(Routes!$C:$C,MATCH(B186,Routes!$A:$A,0))&lt;&gt;INDEX(Vehicles!$B:$B,MATCH(D186,Vehicles!$A:$A,0)),"CHECK: vehicle type does not fit route",IF(INDEX(Routes!$C:$C,MATCH(B186,Routes!$A:$A,0))&lt;&gt;INDEX(Drivers!$D:$D,MATCH(C186,Drivers!$A:$A,0)),"CHECK: driver type does not fit route",IF(OR(INDEX(Vehicles!$E:$E,MATCH(D186,Vehicles!$A:$A,0))="Workshop",INDEX(Vehicles!$E:$E,MATCH(D186,Vehicles!$A:$A,0))="Out of service"),"CHECK: vehicle not available",IF(INDEX(Drivers!$G:$G,MATCH(C186,Drivers!$A:$A,0))&lt;&gt;"Active","CHECK: driver not active",IF(COUNTIFS($A:$A,A186,$C:$C,C186)&gt;1,"CHECK: driver assigned twice",IF(COUNTIFS($A:$A,A186,$D:$D,D186)&gt;1,"CHECK: vehicle assigned twice","OK"))))))))</f>
        <v/>
      </c>
      <c r="H186" s="15"/>
      <c r="I186" s="15"/>
      <c r="J186" s="17" t="str">
        <f aca="false">IF(OR(H186="",H186=0),"",I186/H186)</f>
        <v/>
      </c>
      <c r="K186" s="15"/>
      <c r="L186" s="15"/>
      <c r="M186" s="18"/>
      <c r="N186" s="15"/>
      <c r="O186" s="16" t="str">
        <f aca="false">IF(AND(OR(K186="At risk",K186="Late"),L186=""),"Add a reason code",IF(AND(L186="OTH",N186=""),"Explain OTH in notes",IF(AND(K186="Finished",I186&lt;H186,L186=""),"Add a reason code","")))</f>
        <v/>
      </c>
    </row>
    <row r="187" customFormat="false" ht="15" hidden="false" customHeight="false" outlineLevel="0" collapsed="false">
      <c r="A187" s="14"/>
      <c r="B187" s="15"/>
      <c r="C187" s="15"/>
      <c r="D187" s="15"/>
      <c r="E187" s="16" t="str">
        <f aca="false">IF(C187="","",IFERROR(INDEX(Drivers!$B:$B,MATCH(C187,Drivers!$A:$A,0)),"ID not found"))</f>
        <v/>
      </c>
      <c r="F187" s="16" t="str">
        <f aca="false">IF(B187="","",IFERROR(INDEX(Routes!$B:$B,MATCH(B187,Routes!$A:$A,0)),"ID not found"))</f>
        <v/>
      </c>
      <c r="G187" s="16" t="str">
        <f aca="false">IF(OR(B187="",C187="",D187=""),"",IF(OR(ISNA(MATCH(B187,Routes!$A:$A,0)),ISNA(MATCH(C187,Drivers!$A:$A,0)),ISNA(MATCH(D187,Vehicles!$A:$A,0))),"CHECK: ID not found",IF(INDEX(Routes!$C:$C,MATCH(B187,Routes!$A:$A,0))&lt;&gt;INDEX(Vehicles!$B:$B,MATCH(D187,Vehicles!$A:$A,0)),"CHECK: vehicle type does not fit route",IF(INDEX(Routes!$C:$C,MATCH(B187,Routes!$A:$A,0))&lt;&gt;INDEX(Drivers!$D:$D,MATCH(C187,Drivers!$A:$A,0)),"CHECK: driver type does not fit route",IF(OR(INDEX(Vehicles!$E:$E,MATCH(D187,Vehicles!$A:$A,0))="Workshop",INDEX(Vehicles!$E:$E,MATCH(D187,Vehicles!$A:$A,0))="Out of service"),"CHECK: vehicle not available",IF(INDEX(Drivers!$G:$G,MATCH(C187,Drivers!$A:$A,0))&lt;&gt;"Active","CHECK: driver not active",IF(COUNTIFS($A:$A,A187,$C:$C,C187)&gt;1,"CHECK: driver assigned twice",IF(COUNTIFS($A:$A,A187,$D:$D,D187)&gt;1,"CHECK: vehicle assigned twice","OK"))))))))</f>
        <v/>
      </c>
      <c r="H187" s="15"/>
      <c r="I187" s="15"/>
      <c r="J187" s="17" t="str">
        <f aca="false">IF(OR(H187="",H187=0),"",I187/H187)</f>
        <v/>
      </c>
      <c r="K187" s="15"/>
      <c r="L187" s="15"/>
      <c r="M187" s="18"/>
      <c r="N187" s="15"/>
      <c r="O187" s="16" t="str">
        <f aca="false">IF(AND(OR(K187="At risk",K187="Late"),L187=""),"Add a reason code",IF(AND(L187="OTH",N187=""),"Explain OTH in notes",IF(AND(K187="Finished",I187&lt;H187,L187=""),"Add a reason code","")))</f>
        <v/>
      </c>
    </row>
    <row r="188" customFormat="false" ht="15" hidden="false" customHeight="false" outlineLevel="0" collapsed="false">
      <c r="A188" s="14"/>
      <c r="B188" s="15"/>
      <c r="C188" s="15"/>
      <c r="D188" s="15"/>
      <c r="E188" s="16" t="str">
        <f aca="false">IF(C188="","",IFERROR(INDEX(Drivers!$B:$B,MATCH(C188,Drivers!$A:$A,0)),"ID not found"))</f>
        <v/>
      </c>
      <c r="F188" s="16" t="str">
        <f aca="false">IF(B188="","",IFERROR(INDEX(Routes!$B:$B,MATCH(B188,Routes!$A:$A,0)),"ID not found"))</f>
        <v/>
      </c>
      <c r="G188" s="16" t="str">
        <f aca="false">IF(OR(B188="",C188="",D188=""),"",IF(OR(ISNA(MATCH(B188,Routes!$A:$A,0)),ISNA(MATCH(C188,Drivers!$A:$A,0)),ISNA(MATCH(D188,Vehicles!$A:$A,0))),"CHECK: ID not found",IF(INDEX(Routes!$C:$C,MATCH(B188,Routes!$A:$A,0))&lt;&gt;INDEX(Vehicles!$B:$B,MATCH(D188,Vehicles!$A:$A,0)),"CHECK: vehicle type does not fit route",IF(INDEX(Routes!$C:$C,MATCH(B188,Routes!$A:$A,0))&lt;&gt;INDEX(Drivers!$D:$D,MATCH(C188,Drivers!$A:$A,0)),"CHECK: driver type does not fit route",IF(OR(INDEX(Vehicles!$E:$E,MATCH(D188,Vehicles!$A:$A,0))="Workshop",INDEX(Vehicles!$E:$E,MATCH(D188,Vehicles!$A:$A,0))="Out of service"),"CHECK: vehicle not available",IF(INDEX(Drivers!$G:$G,MATCH(C188,Drivers!$A:$A,0))&lt;&gt;"Active","CHECK: driver not active",IF(COUNTIFS($A:$A,A188,$C:$C,C188)&gt;1,"CHECK: driver assigned twice",IF(COUNTIFS($A:$A,A188,$D:$D,D188)&gt;1,"CHECK: vehicle assigned twice","OK"))))))))</f>
        <v/>
      </c>
      <c r="H188" s="15"/>
      <c r="I188" s="15"/>
      <c r="J188" s="17" t="str">
        <f aca="false">IF(OR(H188="",H188=0),"",I188/H188)</f>
        <v/>
      </c>
      <c r="K188" s="15"/>
      <c r="L188" s="15"/>
      <c r="M188" s="18"/>
      <c r="N188" s="15"/>
      <c r="O188" s="16" t="str">
        <f aca="false">IF(AND(OR(K188="At risk",K188="Late"),L188=""),"Add a reason code",IF(AND(L188="OTH",N188=""),"Explain OTH in notes",IF(AND(K188="Finished",I188&lt;H188,L188=""),"Add a reason code","")))</f>
        <v/>
      </c>
    </row>
    <row r="189" customFormat="false" ht="15" hidden="false" customHeight="false" outlineLevel="0" collapsed="false">
      <c r="A189" s="14"/>
      <c r="B189" s="15"/>
      <c r="C189" s="15"/>
      <c r="D189" s="15"/>
      <c r="E189" s="16" t="str">
        <f aca="false">IF(C189="","",IFERROR(INDEX(Drivers!$B:$B,MATCH(C189,Drivers!$A:$A,0)),"ID not found"))</f>
        <v/>
      </c>
      <c r="F189" s="16" t="str">
        <f aca="false">IF(B189="","",IFERROR(INDEX(Routes!$B:$B,MATCH(B189,Routes!$A:$A,0)),"ID not found"))</f>
        <v/>
      </c>
      <c r="G189" s="16" t="str">
        <f aca="false">IF(OR(B189="",C189="",D189=""),"",IF(OR(ISNA(MATCH(B189,Routes!$A:$A,0)),ISNA(MATCH(C189,Drivers!$A:$A,0)),ISNA(MATCH(D189,Vehicles!$A:$A,0))),"CHECK: ID not found",IF(INDEX(Routes!$C:$C,MATCH(B189,Routes!$A:$A,0))&lt;&gt;INDEX(Vehicles!$B:$B,MATCH(D189,Vehicles!$A:$A,0)),"CHECK: vehicle type does not fit route",IF(INDEX(Routes!$C:$C,MATCH(B189,Routes!$A:$A,0))&lt;&gt;INDEX(Drivers!$D:$D,MATCH(C189,Drivers!$A:$A,0)),"CHECK: driver type does not fit route",IF(OR(INDEX(Vehicles!$E:$E,MATCH(D189,Vehicles!$A:$A,0))="Workshop",INDEX(Vehicles!$E:$E,MATCH(D189,Vehicles!$A:$A,0))="Out of service"),"CHECK: vehicle not available",IF(INDEX(Drivers!$G:$G,MATCH(C189,Drivers!$A:$A,0))&lt;&gt;"Active","CHECK: driver not active",IF(COUNTIFS($A:$A,A189,$C:$C,C189)&gt;1,"CHECK: driver assigned twice",IF(COUNTIFS($A:$A,A189,$D:$D,D189)&gt;1,"CHECK: vehicle assigned twice","OK"))))))))</f>
        <v/>
      </c>
      <c r="H189" s="15"/>
      <c r="I189" s="15"/>
      <c r="J189" s="17" t="str">
        <f aca="false">IF(OR(H189="",H189=0),"",I189/H189)</f>
        <v/>
      </c>
      <c r="K189" s="15"/>
      <c r="L189" s="15"/>
      <c r="M189" s="18"/>
      <c r="N189" s="15"/>
      <c r="O189" s="16" t="str">
        <f aca="false">IF(AND(OR(K189="At risk",K189="Late"),L189=""),"Add a reason code",IF(AND(L189="OTH",N189=""),"Explain OTH in notes",IF(AND(K189="Finished",I189&lt;H189,L189=""),"Add a reason code","")))</f>
        <v/>
      </c>
    </row>
    <row r="190" customFormat="false" ht="15" hidden="false" customHeight="false" outlineLevel="0" collapsed="false">
      <c r="A190" s="14"/>
      <c r="B190" s="15"/>
      <c r="C190" s="15"/>
      <c r="D190" s="15"/>
      <c r="E190" s="16" t="str">
        <f aca="false">IF(C190="","",IFERROR(INDEX(Drivers!$B:$B,MATCH(C190,Drivers!$A:$A,0)),"ID not found"))</f>
        <v/>
      </c>
      <c r="F190" s="16" t="str">
        <f aca="false">IF(B190="","",IFERROR(INDEX(Routes!$B:$B,MATCH(B190,Routes!$A:$A,0)),"ID not found"))</f>
        <v/>
      </c>
      <c r="G190" s="16" t="str">
        <f aca="false">IF(OR(B190="",C190="",D190=""),"",IF(OR(ISNA(MATCH(B190,Routes!$A:$A,0)),ISNA(MATCH(C190,Drivers!$A:$A,0)),ISNA(MATCH(D190,Vehicles!$A:$A,0))),"CHECK: ID not found",IF(INDEX(Routes!$C:$C,MATCH(B190,Routes!$A:$A,0))&lt;&gt;INDEX(Vehicles!$B:$B,MATCH(D190,Vehicles!$A:$A,0)),"CHECK: vehicle type does not fit route",IF(INDEX(Routes!$C:$C,MATCH(B190,Routes!$A:$A,0))&lt;&gt;INDEX(Drivers!$D:$D,MATCH(C190,Drivers!$A:$A,0)),"CHECK: driver type does not fit route",IF(OR(INDEX(Vehicles!$E:$E,MATCH(D190,Vehicles!$A:$A,0))="Workshop",INDEX(Vehicles!$E:$E,MATCH(D190,Vehicles!$A:$A,0))="Out of service"),"CHECK: vehicle not available",IF(INDEX(Drivers!$G:$G,MATCH(C190,Drivers!$A:$A,0))&lt;&gt;"Active","CHECK: driver not active",IF(COUNTIFS($A:$A,A190,$C:$C,C190)&gt;1,"CHECK: driver assigned twice",IF(COUNTIFS($A:$A,A190,$D:$D,D190)&gt;1,"CHECK: vehicle assigned twice","OK"))))))))</f>
        <v/>
      </c>
      <c r="H190" s="15"/>
      <c r="I190" s="15"/>
      <c r="J190" s="17" t="str">
        <f aca="false">IF(OR(H190="",H190=0),"",I190/H190)</f>
        <v/>
      </c>
      <c r="K190" s="15"/>
      <c r="L190" s="15"/>
      <c r="M190" s="18"/>
      <c r="N190" s="15"/>
      <c r="O190" s="16" t="str">
        <f aca="false">IF(AND(OR(K190="At risk",K190="Late"),L190=""),"Add a reason code",IF(AND(L190="OTH",N190=""),"Explain OTH in notes",IF(AND(K190="Finished",I190&lt;H190,L190=""),"Add a reason code","")))</f>
        <v/>
      </c>
    </row>
    <row r="191" customFormat="false" ht="15" hidden="false" customHeight="false" outlineLevel="0" collapsed="false">
      <c r="A191" s="14"/>
      <c r="B191" s="15"/>
      <c r="C191" s="15"/>
      <c r="D191" s="15"/>
      <c r="E191" s="16" t="str">
        <f aca="false">IF(C191="","",IFERROR(INDEX(Drivers!$B:$B,MATCH(C191,Drivers!$A:$A,0)),"ID not found"))</f>
        <v/>
      </c>
      <c r="F191" s="16" t="str">
        <f aca="false">IF(B191="","",IFERROR(INDEX(Routes!$B:$B,MATCH(B191,Routes!$A:$A,0)),"ID not found"))</f>
        <v/>
      </c>
      <c r="G191" s="16" t="str">
        <f aca="false">IF(OR(B191="",C191="",D191=""),"",IF(OR(ISNA(MATCH(B191,Routes!$A:$A,0)),ISNA(MATCH(C191,Drivers!$A:$A,0)),ISNA(MATCH(D191,Vehicles!$A:$A,0))),"CHECK: ID not found",IF(INDEX(Routes!$C:$C,MATCH(B191,Routes!$A:$A,0))&lt;&gt;INDEX(Vehicles!$B:$B,MATCH(D191,Vehicles!$A:$A,0)),"CHECK: vehicle type does not fit route",IF(INDEX(Routes!$C:$C,MATCH(B191,Routes!$A:$A,0))&lt;&gt;INDEX(Drivers!$D:$D,MATCH(C191,Drivers!$A:$A,0)),"CHECK: driver type does not fit route",IF(OR(INDEX(Vehicles!$E:$E,MATCH(D191,Vehicles!$A:$A,0))="Workshop",INDEX(Vehicles!$E:$E,MATCH(D191,Vehicles!$A:$A,0))="Out of service"),"CHECK: vehicle not available",IF(INDEX(Drivers!$G:$G,MATCH(C191,Drivers!$A:$A,0))&lt;&gt;"Active","CHECK: driver not active",IF(COUNTIFS($A:$A,A191,$C:$C,C191)&gt;1,"CHECK: driver assigned twice",IF(COUNTIFS($A:$A,A191,$D:$D,D191)&gt;1,"CHECK: vehicle assigned twice","OK"))))))))</f>
        <v/>
      </c>
      <c r="H191" s="15"/>
      <c r="I191" s="15"/>
      <c r="J191" s="17" t="str">
        <f aca="false">IF(OR(H191="",H191=0),"",I191/H191)</f>
        <v/>
      </c>
      <c r="K191" s="15"/>
      <c r="L191" s="15"/>
      <c r="M191" s="18"/>
      <c r="N191" s="15"/>
      <c r="O191" s="16" t="str">
        <f aca="false">IF(AND(OR(K191="At risk",K191="Late"),L191=""),"Add a reason code",IF(AND(L191="OTH",N191=""),"Explain OTH in notes",IF(AND(K191="Finished",I191&lt;H191,L191=""),"Add a reason code","")))</f>
        <v/>
      </c>
    </row>
    <row r="192" customFormat="false" ht="15" hidden="false" customHeight="false" outlineLevel="0" collapsed="false">
      <c r="A192" s="14"/>
      <c r="B192" s="15"/>
      <c r="C192" s="15"/>
      <c r="D192" s="15"/>
      <c r="E192" s="16" t="str">
        <f aca="false">IF(C192="","",IFERROR(INDEX(Drivers!$B:$B,MATCH(C192,Drivers!$A:$A,0)),"ID not found"))</f>
        <v/>
      </c>
      <c r="F192" s="16" t="str">
        <f aca="false">IF(B192="","",IFERROR(INDEX(Routes!$B:$B,MATCH(B192,Routes!$A:$A,0)),"ID not found"))</f>
        <v/>
      </c>
      <c r="G192" s="16" t="str">
        <f aca="false">IF(OR(B192="",C192="",D192=""),"",IF(OR(ISNA(MATCH(B192,Routes!$A:$A,0)),ISNA(MATCH(C192,Drivers!$A:$A,0)),ISNA(MATCH(D192,Vehicles!$A:$A,0))),"CHECK: ID not found",IF(INDEX(Routes!$C:$C,MATCH(B192,Routes!$A:$A,0))&lt;&gt;INDEX(Vehicles!$B:$B,MATCH(D192,Vehicles!$A:$A,0)),"CHECK: vehicle type does not fit route",IF(INDEX(Routes!$C:$C,MATCH(B192,Routes!$A:$A,0))&lt;&gt;INDEX(Drivers!$D:$D,MATCH(C192,Drivers!$A:$A,0)),"CHECK: driver type does not fit route",IF(OR(INDEX(Vehicles!$E:$E,MATCH(D192,Vehicles!$A:$A,0))="Workshop",INDEX(Vehicles!$E:$E,MATCH(D192,Vehicles!$A:$A,0))="Out of service"),"CHECK: vehicle not available",IF(INDEX(Drivers!$G:$G,MATCH(C192,Drivers!$A:$A,0))&lt;&gt;"Active","CHECK: driver not active",IF(COUNTIFS($A:$A,A192,$C:$C,C192)&gt;1,"CHECK: driver assigned twice",IF(COUNTIFS($A:$A,A192,$D:$D,D192)&gt;1,"CHECK: vehicle assigned twice","OK"))))))))</f>
        <v/>
      </c>
      <c r="H192" s="15"/>
      <c r="I192" s="15"/>
      <c r="J192" s="17" t="str">
        <f aca="false">IF(OR(H192="",H192=0),"",I192/H192)</f>
        <v/>
      </c>
      <c r="K192" s="15"/>
      <c r="L192" s="15"/>
      <c r="M192" s="18"/>
      <c r="N192" s="15"/>
      <c r="O192" s="16" t="str">
        <f aca="false">IF(AND(OR(K192="At risk",K192="Late"),L192=""),"Add a reason code",IF(AND(L192="OTH",N192=""),"Explain OTH in notes",IF(AND(K192="Finished",I192&lt;H192,L192=""),"Add a reason code","")))</f>
        <v/>
      </c>
    </row>
    <row r="193" customFormat="false" ht="15" hidden="false" customHeight="false" outlineLevel="0" collapsed="false">
      <c r="A193" s="14"/>
      <c r="B193" s="15"/>
      <c r="C193" s="15"/>
      <c r="D193" s="15"/>
      <c r="E193" s="16" t="str">
        <f aca="false">IF(C193="","",IFERROR(INDEX(Drivers!$B:$B,MATCH(C193,Drivers!$A:$A,0)),"ID not found"))</f>
        <v/>
      </c>
      <c r="F193" s="16" t="str">
        <f aca="false">IF(B193="","",IFERROR(INDEX(Routes!$B:$B,MATCH(B193,Routes!$A:$A,0)),"ID not found"))</f>
        <v/>
      </c>
      <c r="G193" s="16" t="str">
        <f aca="false">IF(OR(B193="",C193="",D193=""),"",IF(OR(ISNA(MATCH(B193,Routes!$A:$A,0)),ISNA(MATCH(C193,Drivers!$A:$A,0)),ISNA(MATCH(D193,Vehicles!$A:$A,0))),"CHECK: ID not found",IF(INDEX(Routes!$C:$C,MATCH(B193,Routes!$A:$A,0))&lt;&gt;INDEX(Vehicles!$B:$B,MATCH(D193,Vehicles!$A:$A,0)),"CHECK: vehicle type does not fit route",IF(INDEX(Routes!$C:$C,MATCH(B193,Routes!$A:$A,0))&lt;&gt;INDEX(Drivers!$D:$D,MATCH(C193,Drivers!$A:$A,0)),"CHECK: driver type does not fit route",IF(OR(INDEX(Vehicles!$E:$E,MATCH(D193,Vehicles!$A:$A,0))="Workshop",INDEX(Vehicles!$E:$E,MATCH(D193,Vehicles!$A:$A,0))="Out of service"),"CHECK: vehicle not available",IF(INDEX(Drivers!$G:$G,MATCH(C193,Drivers!$A:$A,0))&lt;&gt;"Active","CHECK: driver not active",IF(COUNTIFS($A:$A,A193,$C:$C,C193)&gt;1,"CHECK: driver assigned twice",IF(COUNTIFS($A:$A,A193,$D:$D,D193)&gt;1,"CHECK: vehicle assigned twice","OK"))))))))</f>
        <v/>
      </c>
      <c r="H193" s="15"/>
      <c r="I193" s="15"/>
      <c r="J193" s="17" t="str">
        <f aca="false">IF(OR(H193="",H193=0),"",I193/H193)</f>
        <v/>
      </c>
      <c r="K193" s="15"/>
      <c r="L193" s="15"/>
      <c r="M193" s="18"/>
      <c r="N193" s="15"/>
      <c r="O193" s="16" t="str">
        <f aca="false">IF(AND(OR(K193="At risk",K193="Late"),L193=""),"Add a reason code",IF(AND(L193="OTH",N193=""),"Explain OTH in notes",IF(AND(K193="Finished",I193&lt;H193,L193=""),"Add a reason code","")))</f>
        <v/>
      </c>
    </row>
    <row r="194" customFormat="false" ht="15" hidden="false" customHeight="false" outlineLevel="0" collapsed="false">
      <c r="A194" s="14"/>
      <c r="B194" s="15"/>
      <c r="C194" s="15"/>
      <c r="D194" s="15"/>
      <c r="E194" s="16" t="str">
        <f aca="false">IF(C194="","",IFERROR(INDEX(Drivers!$B:$B,MATCH(C194,Drivers!$A:$A,0)),"ID not found"))</f>
        <v/>
      </c>
      <c r="F194" s="16" t="str">
        <f aca="false">IF(B194="","",IFERROR(INDEX(Routes!$B:$B,MATCH(B194,Routes!$A:$A,0)),"ID not found"))</f>
        <v/>
      </c>
      <c r="G194" s="16" t="str">
        <f aca="false">IF(OR(B194="",C194="",D194=""),"",IF(OR(ISNA(MATCH(B194,Routes!$A:$A,0)),ISNA(MATCH(C194,Drivers!$A:$A,0)),ISNA(MATCH(D194,Vehicles!$A:$A,0))),"CHECK: ID not found",IF(INDEX(Routes!$C:$C,MATCH(B194,Routes!$A:$A,0))&lt;&gt;INDEX(Vehicles!$B:$B,MATCH(D194,Vehicles!$A:$A,0)),"CHECK: vehicle type does not fit route",IF(INDEX(Routes!$C:$C,MATCH(B194,Routes!$A:$A,0))&lt;&gt;INDEX(Drivers!$D:$D,MATCH(C194,Drivers!$A:$A,0)),"CHECK: driver type does not fit route",IF(OR(INDEX(Vehicles!$E:$E,MATCH(D194,Vehicles!$A:$A,0))="Workshop",INDEX(Vehicles!$E:$E,MATCH(D194,Vehicles!$A:$A,0))="Out of service"),"CHECK: vehicle not available",IF(INDEX(Drivers!$G:$G,MATCH(C194,Drivers!$A:$A,0))&lt;&gt;"Active","CHECK: driver not active",IF(COUNTIFS($A:$A,A194,$C:$C,C194)&gt;1,"CHECK: driver assigned twice",IF(COUNTIFS($A:$A,A194,$D:$D,D194)&gt;1,"CHECK: vehicle assigned twice","OK"))))))))</f>
        <v/>
      </c>
      <c r="H194" s="15"/>
      <c r="I194" s="15"/>
      <c r="J194" s="17" t="str">
        <f aca="false">IF(OR(H194="",H194=0),"",I194/H194)</f>
        <v/>
      </c>
      <c r="K194" s="15"/>
      <c r="L194" s="15"/>
      <c r="M194" s="18"/>
      <c r="N194" s="15"/>
      <c r="O194" s="16" t="str">
        <f aca="false">IF(AND(OR(K194="At risk",K194="Late"),L194=""),"Add a reason code",IF(AND(L194="OTH",N194=""),"Explain OTH in notes",IF(AND(K194="Finished",I194&lt;H194,L194=""),"Add a reason code","")))</f>
        <v/>
      </c>
    </row>
    <row r="195" customFormat="false" ht="15" hidden="false" customHeight="false" outlineLevel="0" collapsed="false">
      <c r="A195" s="14"/>
      <c r="B195" s="15"/>
      <c r="C195" s="15"/>
      <c r="D195" s="15"/>
      <c r="E195" s="16" t="str">
        <f aca="false">IF(C195="","",IFERROR(INDEX(Drivers!$B:$B,MATCH(C195,Drivers!$A:$A,0)),"ID not found"))</f>
        <v/>
      </c>
      <c r="F195" s="16" t="str">
        <f aca="false">IF(B195="","",IFERROR(INDEX(Routes!$B:$B,MATCH(B195,Routes!$A:$A,0)),"ID not found"))</f>
        <v/>
      </c>
      <c r="G195" s="16" t="str">
        <f aca="false">IF(OR(B195="",C195="",D195=""),"",IF(OR(ISNA(MATCH(B195,Routes!$A:$A,0)),ISNA(MATCH(C195,Drivers!$A:$A,0)),ISNA(MATCH(D195,Vehicles!$A:$A,0))),"CHECK: ID not found",IF(INDEX(Routes!$C:$C,MATCH(B195,Routes!$A:$A,0))&lt;&gt;INDEX(Vehicles!$B:$B,MATCH(D195,Vehicles!$A:$A,0)),"CHECK: vehicle type does not fit route",IF(INDEX(Routes!$C:$C,MATCH(B195,Routes!$A:$A,0))&lt;&gt;INDEX(Drivers!$D:$D,MATCH(C195,Drivers!$A:$A,0)),"CHECK: driver type does not fit route",IF(OR(INDEX(Vehicles!$E:$E,MATCH(D195,Vehicles!$A:$A,0))="Workshop",INDEX(Vehicles!$E:$E,MATCH(D195,Vehicles!$A:$A,0))="Out of service"),"CHECK: vehicle not available",IF(INDEX(Drivers!$G:$G,MATCH(C195,Drivers!$A:$A,0))&lt;&gt;"Active","CHECK: driver not active",IF(COUNTIFS($A:$A,A195,$C:$C,C195)&gt;1,"CHECK: driver assigned twice",IF(COUNTIFS($A:$A,A195,$D:$D,D195)&gt;1,"CHECK: vehicle assigned twice","OK"))))))))</f>
        <v/>
      </c>
      <c r="H195" s="15"/>
      <c r="I195" s="15"/>
      <c r="J195" s="17" t="str">
        <f aca="false">IF(OR(H195="",H195=0),"",I195/H195)</f>
        <v/>
      </c>
      <c r="K195" s="15"/>
      <c r="L195" s="15"/>
      <c r="M195" s="18"/>
      <c r="N195" s="15"/>
      <c r="O195" s="16" t="str">
        <f aca="false">IF(AND(OR(K195="At risk",K195="Late"),L195=""),"Add a reason code",IF(AND(L195="OTH",N195=""),"Explain OTH in notes",IF(AND(K195="Finished",I195&lt;H195,L195=""),"Add a reason code","")))</f>
        <v/>
      </c>
    </row>
    <row r="196" customFormat="false" ht="15" hidden="false" customHeight="false" outlineLevel="0" collapsed="false">
      <c r="A196" s="14"/>
      <c r="B196" s="15"/>
      <c r="C196" s="15"/>
      <c r="D196" s="15"/>
      <c r="E196" s="16" t="str">
        <f aca="false">IF(C196="","",IFERROR(INDEX(Drivers!$B:$B,MATCH(C196,Drivers!$A:$A,0)),"ID not found"))</f>
        <v/>
      </c>
      <c r="F196" s="16" t="str">
        <f aca="false">IF(B196="","",IFERROR(INDEX(Routes!$B:$B,MATCH(B196,Routes!$A:$A,0)),"ID not found"))</f>
        <v/>
      </c>
      <c r="G196" s="16" t="str">
        <f aca="false">IF(OR(B196="",C196="",D196=""),"",IF(OR(ISNA(MATCH(B196,Routes!$A:$A,0)),ISNA(MATCH(C196,Drivers!$A:$A,0)),ISNA(MATCH(D196,Vehicles!$A:$A,0))),"CHECK: ID not found",IF(INDEX(Routes!$C:$C,MATCH(B196,Routes!$A:$A,0))&lt;&gt;INDEX(Vehicles!$B:$B,MATCH(D196,Vehicles!$A:$A,0)),"CHECK: vehicle type does not fit route",IF(INDEX(Routes!$C:$C,MATCH(B196,Routes!$A:$A,0))&lt;&gt;INDEX(Drivers!$D:$D,MATCH(C196,Drivers!$A:$A,0)),"CHECK: driver type does not fit route",IF(OR(INDEX(Vehicles!$E:$E,MATCH(D196,Vehicles!$A:$A,0))="Workshop",INDEX(Vehicles!$E:$E,MATCH(D196,Vehicles!$A:$A,0))="Out of service"),"CHECK: vehicle not available",IF(INDEX(Drivers!$G:$G,MATCH(C196,Drivers!$A:$A,0))&lt;&gt;"Active","CHECK: driver not active",IF(COUNTIFS($A:$A,A196,$C:$C,C196)&gt;1,"CHECK: driver assigned twice",IF(COUNTIFS($A:$A,A196,$D:$D,D196)&gt;1,"CHECK: vehicle assigned twice","OK"))))))))</f>
        <v/>
      </c>
      <c r="H196" s="15"/>
      <c r="I196" s="15"/>
      <c r="J196" s="17" t="str">
        <f aca="false">IF(OR(H196="",H196=0),"",I196/H196)</f>
        <v/>
      </c>
      <c r="K196" s="15"/>
      <c r="L196" s="15"/>
      <c r="M196" s="18"/>
      <c r="N196" s="15"/>
      <c r="O196" s="16" t="str">
        <f aca="false">IF(AND(OR(K196="At risk",K196="Late"),L196=""),"Add a reason code",IF(AND(L196="OTH",N196=""),"Explain OTH in notes",IF(AND(K196="Finished",I196&lt;H196,L196=""),"Add a reason code","")))</f>
        <v/>
      </c>
    </row>
    <row r="197" customFormat="false" ht="15" hidden="false" customHeight="false" outlineLevel="0" collapsed="false">
      <c r="A197" s="14"/>
      <c r="B197" s="15"/>
      <c r="C197" s="15"/>
      <c r="D197" s="15"/>
      <c r="E197" s="16" t="str">
        <f aca="false">IF(C197="","",IFERROR(INDEX(Drivers!$B:$B,MATCH(C197,Drivers!$A:$A,0)),"ID not found"))</f>
        <v/>
      </c>
      <c r="F197" s="16" t="str">
        <f aca="false">IF(B197="","",IFERROR(INDEX(Routes!$B:$B,MATCH(B197,Routes!$A:$A,0)),"ID not found"))</f>
        <v/>
      </c>
      <c r="G197" s="16" t="str">
        <f aca="false">IF(OR(B197="",C197="",D197=""),"",IF(OR(ISNA(MATCH(B197,Routes!$A:$A,0)),ISNA(MATCH(C197,Drivers!$A:$A,0)),ISNA(MATCH(D197,Vehicles!$A:$A,0))),"CHECK: ID not found",IF(INDEX(Routes!$C:$C,MATCH(B197,Routes!$A:$A,0))&lt;&gt;INDEX(Vehicles!$B:$B,MATCH(D197,Vehicles!$A:$A,0)),"CHECK: vehicle type does not fit route",IF(INDEX(Routes!$C:$C,MATCH(B197,Routes!$A:$A,0))&lt;&gt;INDEX(Drivers!$D:$D,MATCH(C197,Drivers!$A:$A,0)),"CHECK: driver type does not fit route",IF(OR(INDEX(Vehicles!$E:$E,MATCH(D197,Vehicles!$A:$A,0))="Workshop",INDEX(Vehicles!$E:$E,MATCH(D197,Vehicles!$A:$A,0))="Out of service"),"CHECK: vehicle not available",IF(INDEX(Drivers!$G:$G,MATCH(C197,Drivers!$A:$A,0))&lt;&gt;"Active","CHECK: driver not active",IF(COUNTIFS($A:$A,A197,$C:$C,C197)&gt;1,"CHECK: driver assigned twice",IF(COUNTIFS($A:$A,A197,$D:$D,D197)&gt;1,"CHECK: vehicle assigned twice","OK"))))))))</f>
        <v/>
      </c>
      <c r="H197" s="15"/>
      <c r="I197" s="15"/>
      <c r="J197" s="17" t="str">
        <f aca="false">IF(OR(H197="",H197=0),"",I197/H197)</f>
        <v/>
      </c>
      <c r="K197" s="15"/>
      <c r="L197" s="15"/>
      <c r="M197" s="18"/>
      <c r="N197" s="15"/>
      <c r="O197" s="16" t="str">
        <f aca="false">IF(AND(OR(K197="At risk",K197="Late"),L197=""),"Add a reason code",IF(AND(L197="OTH",N197=""),"Explain OTH in notes",IF(AND(K197="Finished",I197&lt;H197,L197=""),"Add a reason code","")))</f>
        <v/>
      </c>
    </row>
    <row r="198" customFormat="false" ht="15" hidden="false" customHeight="false" outlineLevel="0" collapsed="false">
      <c r="A198" s="14"/>
      <c r="B198" s="15"/>
      <c r="C198" s="15"/>
      <c r="D198" s="15"/>
      <c r="E198" s="16" t="str">
        <f aca="false">IF(C198="","",IFERROR(INDEX(Drivers!$B:$B,MATCH(C198,Drivers!$A:$A,0)),"ID not found"))</f>
        <v/>
      </c>
      <c r="F198" s="16" t="str">
        <f aca="false">IF(B198="","",IFERROR(INDEX(Routes!$B:$B,MATCH(B198,Routes!$A:$A,0)),"ID not found"))</f>
        <v/>
      </c>
      <c r="G198" s="16" t="str">
        <f aca="false">IF(OR(B198="",C198="",D198=""),"",IF(OR(ISNA(MATCH(B198,Routes!$A:$A,0)),ISNA(MATCH(C198,Drivers!$A:$A,0)),ISNA(MATCH(D198,Vehicles!$A:$A,0))),"CHECK: ID not found",IF(INDEX(Routes!$C:$C,MATCH(B198,Routes!$A:$A,0))&lt;&gt;INDEX(Vehicles!$B:$B,MATCH(D198,Vehicles!$A:$A,0)),"CHECK: vehicle type does not fit route",IF(INDEX(Routes!$C:$C,MATCH(B198,Routes!$A:$A,0))&lt;&gt;INDEX(Drivers!$D:$D,MATCH(C198,Drivers!$A:$A,0)),"CHECK: driver type does not fit route",IF(OR(INDEX(Vehicles!$E:$E,MATCH(D198,Vehicles!$A:$A,0))="Workshop",INDEX(Vehicles!$E:$E,MATCH(D198,Vehicles!$A:$A,0))="Out of service"),"CHECK: vehicle not available",IF(INDEX(Drivers!$G:$G,MATCH(C198,Drivers!$A:$A,0))&lt;&gt;"Active","CHECK: driver not active",IF(COUNTIFS($A:$A,A198,$C:$C,C198)&gt;1,"CHECK: driver assigned twice",IF(COUNTIFS($A:$A,A198,$D:$D,D198)&gt;1,"CHECK: vehicle assigned twice","OK"))))))))</f>
        <v/>
      </c>
      <c r="H198" s="15"/>
      <c r="I198" s="15"/>
      <c r="J198" s="17" t="str">
        <f aca="false">IF(OR(H198="",H198=0),"",I198/H198)</f>
        <v/>
      </c>
      <c r="K198" s="15"/>
      <c r="L198" s="15"/>
      <c r="M198" s="18"/>
      <c r="N198" s="15"/>
      <c r="O198" s="16" t="str">
        <f aca="false">IF(AND(OR(K198="At risk",K198="Late"),L198=""),"Add a reason code",IF(AND(L198="OTH",N198=""),"Explain OTH in notes",IF(AND(K198="Finished",I198&lt;H198,L198=""),"Add a reason code","")))</f>
        <v/>
      </c>
    </row>
    <row r="199" customFormat="false" ht="15" hidden="false" customHeight="false" outlineLevel="0" collapsed="false">
      <c r="A199" s="14"/>
      <c r="B199" s="15"/>
      <c r="C199" s="15"/>
      <c r="D199" s="15"/>
      <c r="E199" s="16" t="str">
        <f aca="false">IF(C199="","",IFERROR(INDEX(Drivers!$B:$B,MATCH(C199,Drivers!$A:$A,0)),"ID not found"))</f>
        <v/>
      </c>
      <c r="F199" s="16" t="str">
        <f aca="false">IF(B199="","",IFERROR(INDEX(Routes!$B:$B,MATCH(B199,Routes!$A:$A,0)),"ID not found"))</f>
        <v/>
      </c>
      <c r="G199" s="16" t="str">
        <f aca="false">IF(OR(B199="",C199="",D199=""),"",IF(OR(ISNA(MATCH(B199,Routes!$A:$A,0)),ISNA(MATCH(C199,Drivers!$A:$A,0)),ISNA(MATCH(D199,Vehicles!$A:$A,0))),"CHECK: ID not found",IF(INDEX(Routes!$C:$C,MATCH(B199,Routes!$A:$A,0))&lt;&gt;INDEX(Vehicles!$B:$B,MATCH(D199,Vehicles!$A:$A,0)),"CHECK: vehicle type does not fit route",IF(INDEX(Routes!$C:$C,MATCH(B199,Routes!$A:$A,0))&lt;&gt;INDEX(Drivers!$D:$D,MATCH(C199,Drivers!$A:$A,0)),"CHECK: driver type does not fit route",IF(OR(INDEX(Vehicles!$E:$E,MATCH(D199,Vehicles!$A:$A,0))="Workshop",INDEX(Vehicles!$E:$E,MATCH(D199,Vehicles!$A:$A,0))="Out of service"),"CHECK: vehicle not available",IF(INDEX(Drivers!$G:$G,MATCH(C199,Drivers!$A:$A,0))&lt;&gt;"Active","CHECK: driver not active",IF(COUNTIFS($A:$A,A199,$C:$C,C199)&gt;1,"CHECK: driver assigned twice",IF(COUNTIFS($A:$A,A199,$D:$D,D199)&gt;1,"CHECK: vehicle assigned twice","OK"))))))))</f>
        <v/>
      </c>
      <c r="H199" s="15"/>
      <c r="I199" s="15"/>
      <c r="J199" s="17" t="str">
        <f aca="false">IF(OR(H199="",H199=0),"",I199/H199)</f>
        <v/>
      </c>
      <c r="K199" s="15"/>
      <c r="L199" s="15"/>
      <c r="M199" s="18"/>
      <c r="N199" s="15"/>
      <c r="O199" s="16" t="str">
        <f aca="false">IF(AND(OR(K199="At risk",K199="Late"),L199=""),"Add a reason code",IF(AND(L199="OTH",N199=""),"Explain OTH in notes",IF(AND(K199="Finished",I199&lt;H199,L199=""),"Add a reason code","")))</f>
        <v/>
      </c>
    </row>
    <row r="200" customFormat="false" ht="15" hidden="false" customHeight="false" outlineLevel="0" collapsed="false">
      <c r="A200" s="14"/>
      <c r="B200" s="15"/>
      <c r="C200" s="15"/>
      <c r="D200" s="15"/>
      <c r="E200" s="16" t="str">
        <f aca="false">IF(C200="","",IFERROR(INDEX(Drivers!$B:$B,MATCH(C200,Drivers!$A:$A,0)),"ID not found"))</f>
        <v/>
      </c>
      <c r="F200" s="16" t="str">
        <f aca="false">IF(B200="","",IFERROR(INDEX(Routes!$B:$B,MATCH(B200,Routes!$A:$A,0)),"ID not found"))</f>
        <v/>
      </c>
      <c r="G200" s="16" t="str">
        <f aca="false">IF(OR(B200="",C200="",D200=""),"",IF(OR(ISNA(MATCH(B200,Routes!$A:$A,0)),ISNA(MATCH(C200,Drivers!$A:$A,0)),ISNA(MATCH(D200,Vehicles!$A:$A,0))),"CHECK: ID not found",IF(INDEX(Routes!$C:$C,MATCH(B200,Routes!$A:$A,0))&lt;&gt;INDEX(Vehicles!$B:$B,MATCH(D200,Vehicles!$A:$A,0)),"CHECK: vehicle type does not fit route",IF(INDEX(Routes!$C:$C,MATCH(B200,Routes!$A:$A,0))&lt;&gt;INDEX(Drivers!$D:$D,MATCH(C200,Drivers!$A:$A,0)),"CHECK: driver type does not fit route",IF(OR(INDEX(Vehicles!$E:$E,MATCH(D200,Vehicles!$A:$A,0))="Workshop",INDEX(Vehicles!$E:$E,MATCH(D200,Vehicles!$A:$A,0))="Out of service"),"CHECK: vehicle not available",IF(INDEX(Drivers!$G:$G,MATCH(C200,Drivers!$A:$A,0))&lt;&gt;"Active","CHECK: driver not active",IF(COUNTIFS($A:$A,A200,$C:$C,C200)&gt;1,"CHECK: driver assigned twice",IF(COUNTIFS($A:$A,A200,$D:$D,D200)&gt;1,"CHECK: vehicle assigned twice","OK"))))))))</f>
        <v/>
      </c>
      <c r="H200" s="15"/>
      <c r="I200" s="15"/>
      <c r="J200" s="17" t="str">
        <f aca="false">IF(OR(H200="",H200=0),"",I200/H200)</f>
        <v/>
      </c>
      <c r="K200" s="15"/>
      <c r="L200" s="15"/>
      <c r="M200" s="18"/>
      <c r="N200" s="15"/>
      <c r="O200" s="16" t="str">
        <f aca="false">IF(AND(OR(K200="At risk",K200="Late"),L200=""),"Add a reason code",IF(AND(L200="OTH",N200=""),"Explain OTH in notes",IF(AND(K200="Finished",I200&lt;H200,L200=""),"Add a reason code","")))</f>
        <v/>
      </c>
    </row>
    <row r="201" customFormat="false" ht="15" hidden="false" customHeight="false" outlineLevel="0" collapsed="false">
      <c r="A201" s="14"/>
      <c r="B201" s="15"/>
      <c r="C201" s="15"/>
      <c r="D201" s="15"/>
      <c r="E201" s="16" t="str">
        <f aca="false">IF(C201="","",IFERROR(INDEX(Drivers!$B:$B,MATCH(C201,Drivers!$A:$A,0)),"ID not found"))</f>
        <v/>
      </c>
      <c r="F201" s="16" t="str">
        <f aca="false">IF(B201="","",IFERROR(INDEX(Routes!$B:$B,MATCH(B201,Routes!$A:$A,0)),"ID not found"))</f>
        <v/>
      </c>
      <c r="G201" s="16" t="str">
        <f aca="false">IF(OR(B201="",C201="",D201=""),"",IF(OR(ISNA(MATCH(B201,Routes!$A:$A,0)),ISNA(MATCH(C201,Drivers!$A:$A,0)),ISNA(MATCH(D201,Vehicles!$A:$A,0))),"CHECK: ID not found",IF(INDEX(Routes!$C:$C,MATCH(B201,Routes!$A:$A,0))&lt;&gt;INDEX(Vehicles!$B:$B,MATCH(D201,Vehicles!$A:$A,0)),"CHECK: vehicle type does not fit route",IF(INDEX(Routes!$C:$C,MATCH(B201,Routes!$A:$A,0))&lt;&gt;INDEX(Drivers!$D:$D,MATCH(C201,Drivers!$A:$A,0)),"CHECK: driver type does not fit route",IF(OR(INDEX(Vehicles!$E:$E,MATCH(D201,Vehicles!$A:$A,0))="Workshop",INDEX(Vehicles!$E:$E,MATCH(D201,Vehicles!$A:$A,0))="Out of service"),"CHECK: vehicle not available",IF(INDEX(Drivers!$G:$G,MATCH(C201,Drivers!$A:$A,0))&lt;&gt;"Active","CHECK: driver not active",IF(COUNTIFS($A:$A,A201,$C:$C,C201)&gt;1,"CHECK: driver assigned twice",IF(COUNTIFS($A:$A,A201,$D:$D,D201)&gt;1,"CHECK: vehicle assigned twice","OK"))))))))</f>
        <v/>
      </c>
      <c r="H201" s="15"/>
      <c r="I201" s="15"/>
      <c r="J201" s="17" t="str">
        <f aca="false">IF(OR(H201="",H201=0),"",I201/H201)</f>
        <v/>
      </c>
      <c r="K201" s="15"/>
      <c r="L201" s="15"/>
      <c r="M201" s="18"/>
      <c r="N201" s="15"/>
      <c r="O201" s="16" t="str">
        <f aca="false">IF(AND(OR(K201="At risk",K201="Late"),L201=""),"Add a reason code",IF(AND(L201="OTH",N201=""),"Explain OTH in notes",IF(AND(K201="Finished",I201&lt;H201,L201=""),"Add a reason code","")))</f>
        <v/>
      </c>
    </row>
    <row r="202" customFormat="false" ht="15" hidden="false" customHeight="false" outlineLevel="0" collapsed="false">
      <c r="A202" s="14"/>
      <c r="B202" s="15"/>
      <c r="C202" s="15"/>
      <c r="D202" s="15"/>
      <c r="E202" s="16" t="str">
        <f aca="false">IF(C202="","",IFERROR(INDEX(Drivers!$B:$B,MATCH(C202,Drivers!$A:$A,0)),"ID not found"))</f>
        <v/>
      </c>
      <c r="F202" s="16" t="str">
        <f aca="false">IF(B202="","",IFERROR(INDEX(Routes!$B:$B,MATCH(B202,Routes!$A:$A,0)),"ID not found"))</f>
        <v/>
      </c>
      <c r="G202" s="16" t="str">
        <f aca="false">IF(OR(B202="",C202="",D202=""),"",IF(OR(ISNA(MATCH(B202,Routes!$A:$A,0)),ISNA(MATCH(C202,Drivers!$A:$A,0)),ISNA(MATCH(D202,Vehicles!$A:$A,0))),"CHECK: ID not found",IF(INDEX(Routes!$C:$C,MATCH(B202,Routes!$A:$A,0))&lt;&gt;INDEX(Vehicles!$B:$B,MATCH(D202,Vehicles!$A:$A,0)),"CHECK: vehicle type does not fit route",IF(INDEX(Routes!$C:$C,MATCH(B202,Routes!$A:$A,0))&lt;&gt;INDEX(Drivers!$D:$D,MATCH(C202,Drivers!$A:$A,0)),"CHECK: driver type does not fit route",IF(OR(INDEX(Vehicles!$E:$E,MATCH(D202,Vehicles!$A:$A,0))="Workshop",INDEX(Vehicles!$E:$E,MATCH(D202,Vehicles!$A:$A,0))="Out of service"),"CHECK: vehicle not available",IF(INDEX(Drivers!$G:$G,MATCH(C202,Drivers!$A:$A,0))&lt;&gt;"Active","CHECK: driver not active",IF(COUNTIFS($A:$A,A202,$C:$C,C202)&gt;1,"CHECK: driver assigned twice",IF(COUNTIFS($A:$A,A202,$D:$D,D202)&gt;1,"CHECK: vehicle assigned twice","OK"))))))))</f>
        <v/>
      </c>
      <c r="H202" s="15"/>
      <c r="I202" s="15"/>
      <c r="J202" s="17" t="str">
        <f aca="false">IF(OR(H202="",H202=0),"",I202/H202)</f>
        <v/>
      </c>
      <c r="K202" s="15"/>
      <c r="L202" s="15"/>
      <c r="M202" s="18"/>
      <c r="N202" s="15"/>
      <c r="O202" s="16" t="str">
        <f aca="false">IF(AND(OR(K202="At risk",K202="Late"),L202=""),"Add a reason code",IF(AND(L202="OTH",N202=""),"Explain OTH in notes",IF(AND(K202="Finished",I202&lt;H202,L202=""),"Add a reason code","")))</f>
        <v/>
      </c>
    </row>
    <row r="203" customFormat="false" ht="15" hidden="false" customHeight="false" outlineLevel="0" collapsed="false">
      <c r="A203" s="14"/>
      <c r="B203" s="15"/>
      <c r="C203" s="15"/>
      <c r="D203" s="15"/>
      <c r="E203" s="16" t="str">
        <f aca="false">IF(C203="","",IFERROR(INDEX(Drivers!$B:$B,MATCH(C203,Drivers!$A:$A,0)),"ID not found"))</f>
        <v/>
      </c>
      <c r="F203" s="16" t="str">
        <f aca="false">IF(B203="","",IFERROR(INDEX(Routes!$B:$B,MATCH(B203,Routes!$A:$A,0)),"ID not found"))</f>
        <v/>
      </c>
      <c r="G203" s="16" t="str">
        <f aca="false">IF(OR(B203="",C203="",D203=""),"",IF(OR(ISNA(MATCH(B203,Routes!$A:$A,0)),ISNA(MATCH(C203,Drivers!$A:$A,0)),ISNA(MATCH(D203,Vehicles!$A:$A,0))),"CHECK: ID not found",IF(INDEX(Routes!$C:$C,MATCH(B203,Routes!$A:$A,0))&lt;&gt;INDEX(Vehicles!$B:$B,MATCH(D203,Vehicles!$A:$A,0)),"CHECK: vehicle type does not fit route",IF(INDEX(Routes!$C:$C,MATCH(B203,Routes!$A:$A,0))&lt;&gt;INDEX(Drivers!$D:$D,MATCH(C203,Drivers!$A:$A,0)),"CHECK: driver type does not fit route",IF(OR(INDEX(Vehicles!$E:$E,MATCH(D203,Vehicles!$A:$A,0))="Workshop",INDEX(Vehicles!$E:$E,MATCH(D203,Vehicles!$A:$A,0))="Out of service"),"CHECK: vehicle not available",IF(INDEX(Drivers!$G:$G,MATCH(C203,Drivers!$A:$A,0))&lt;&gt;"Active","CHECK: driver not active",IF(COUNTIFS($A:$A,A203,$C:$C,C203)&gt;1,"CHECK: driver assigned twice",IF(COUNTIFS($A:$A,A203,$D:$D,D203)&gt;1,"CHECK: vehicle assigned twice","OK"))))))))</f>
        <v/>
      </c>
      <c r="H203" s="15"/>
      <c r="I203" s="15"/>
      <c r="J203" s="17" t="str">
        <f aca="false">IF(OR(H203="",H203=0),"",I203/H203)</f>
        <v/>
      </c>
      <c r="K203" s="15"/>
      <c r="L203" s="15"/>
      <c r="M203" s="18"/>
      <c r="N203" s="15"/>
      <c r="O203" s="16" t="str">
        <f aca="false">IF(AND(OR(K203="At risk",K203="Late"),L203=""),"Add a reason code",IF(AND(L203="OTH",N203=""),"Explain OTH in notes",IF(AND(K203="Finished",I203&lt;H203,L203=""),"Add a reason code","")))</f>
        <v/>
      </c>
    </row>
    <row r="204" customFormat="false" ht="15" hidden="false" customHeight="false" outlineLevel="0" collapsed="false">
      <c r="A204" s="14"/>
      <c r="B204" s="15"/>
      <c r="C204" s="15"/>
      <c r="D204" s="15"/>
      <c r="E204" s="16" t="str">
        <f aca="false">IF(C204="","",IFERROR(INDEX(Drivers!$B:$B,MATCH(C204,Drivers!$A:$A,0)),"ID not found"))</f>
        <v/>
      </c>
      <c r="F204" s="16" t="str">
        <f aca="false">IF(B204="","",IFERROR(INDEX(Routes!$B:$B,MATCH(B204,Routes!$A:$A,0)),"ID not found"))</f>
        <v/>
      </c>
      <c r="G204" s="16" t="str">
        <f aca="false">IF(OR(B204="",C204="",D204=""),"",IF(OR(ISNA(MATCH(B204,Routes!$A:$A,0)),ISNA(MATCH(C204,Drivers!$A:$A,0)),ISNA(MATCH(D204,Vehicles!$A:$A,0))),"CHECK: ID not found",IF(INDEX(Routes!$C:$C,MATCH(B204,Routes!$A:$A,0))&lt;&gt;INDEX(Vehicles!$B:$B,MATCH(D204,Vehicles!$A:$A,0)),"CHECK: vehicle type does not fit route",IF(INDEX(Routes!$C:$C,MATCH(B204,Routes!$A:$A,0))&lt;&gt;INDEX(Drivers!$D:$D,MATCH(C204,Drivers!$A:$A,0)),"CHECK: driver type does not fit route",IF(OR(INDEX(Vehicles!$E:$E,MATCH(D204,Vehicles!$A:$A,0))="Workshop",INDEX(Vehicles!$E:$E,MATCH(D204,Vehicles!$A:$A,0))="Out of service"),"CHECK: vehicle not available",IF(INDEX(Drivers!$G:$G,MATCH(C204,Drivers!$A:$A,0))&lt;&gt;"Active","CHECK: driver not active",IF(COUNTIFS($A:$A,A204,$C:$C,C204)&gt;1,"CHECK: driver assigned twice",IF(COUNTIFS($A:$A,A204,$D:$D,D204)&gt;1,"CHECK: vehicle assigned twice","OK"))))))))</f>
        <v/>
      </c>
      <c r="H204" s="15"/>
      <c r="I204" s="15"/>
      <c r="J204" s="17" t="str">
        <f aca="false">IF(OR(H204="",H204=0),"",I204/H204)</f>
        <v/>
      </c>
      <c r="K204" s="15"/>
      <c r="L204" s="15"/>
      <c r="M204" s="18"/>
      <c r="N204" s="15"/>
      <c r="O204" s="16" t="str">
        <f aca="false">IF(AND(OR(K204="At risk",K204="Late"),L204=""),"Add a reason code",IF(AND(L204="OTH",N204=""),"Explain OTH in notes",IF(AND(K204="Finished",I204&lt;H204,L204=""),"Add a reason code","")))</f>
        <v/>
      </c>
    </row>
    <row r="205" customFormat="false" ht="15" hidden="false" customHeight="false" outlineLevel="0" collapsed="false">
      <c r="A205" s="14"/>
      <c r="B205" s="15"/>
      <c r="C205" s="15"/>
      <c r="D205" s="15"/>
      <c r="E205" s="16" t="str">
        <f aca="false">IF(C205="","",IFERROR(INDEX(Drivers!$B:$B,MATCH(C205,Drivers!$A:$A,0)),"ID not found"))</f>
        <v/>
      </c>
      <c r="F205" s="16" t="str">
        <f aca="false">IF(B205="","",IFERROR(INDEX(Routes!$B:$B,MATCH(B205,Routes!$A:$A,0)),"ID not found"))</f>
        <v/>
      </c>
      <c r="G205" s="16" t="str">
        <f aca="false">IF(OR(B205="",C205="",D205=""),"",IF(OR(ISNA(MATCH(B205,Routes!$A:$A,0)),ISNA(MATCH(C205,Drivers!$A:$A,0)),ISNA(MATCH(D205,Vehicles!$A:$A,0))),"CHECK: ID not found",IF(INDEX(Routes!$C:$C,MATCH(B205,Routes!$A:$A,0))&lt;&gt;INDEX(Vehicles!$B:$B,MATCH(D205,Vehicles!$A:$A,0)),"CHECK: vehicle type does not fit route",IF(INDEX(Routes!$C:$C,MATCH(B205,Routes!$A:$A,0))&lt;&gt;INDEX(Drivers!$D:$D,MATCH(C205,Drivers!$A:$A,0)),"CHECK: driver type does not fit route",IF(OR(INDEX(Vehicles!$E:$E,MATCH(D205,Vehicles!$A:$A,0))="Workshop",INDEX(Vehicles!$E:$E,MATCH(D205,Vehicles!$A:$A,0))="Out of service"),"CHECK: vehicle not available",IF(INDEX(Drivers!$G:$G,MATCH(C205,Drivers!$A:$A,0))&lt;&gt;"Active","CHECK: driver not active",IF(COUNTIFS($A:$A,A205,$C:$C,C205)&gt;1,"CHECK: driver assigned twice",IF(COUNTIFS($A:$A,A205,$D:$D,D205)&gt;1,"CHECK: vehicle assigned twice","OK"))))))))</f>
        <v/>
      </c>
      <c r="H205" s="15"/>
      <c r="I205" s="15"/>
      <c r="J205" s="17" t="str">
        <f aca="false">IF(OR(H205="",H205=0),"",I205/H205)</f>
        <v/>
      </c>
      <c r="K205" s="15"/>
      <c r="L205" s="15"/>
      <c r="M205" s="18"/>
      <c r="N205" s="15"/>
      <c r="O205" s="16" t="str">
        <f aca="false">IF(AND(OR(K205="At risk",K205="Late"),L205=""),"Add a reason code",IF(AND(L205="OTH",N205=""),"Explain OTH in notes",IF(AND(K205="Finished",I205&lt;H205,L205=""),"Add a reason code","")))</f>
        <v/>
      </c>
    </row>
    <row r="206" customFormat="false" ht="15" hidden="false" customHeight="false" outlineLevel="0" collapsed="false">
      <c r="A206" s="14"/>
      <c r="B206" s="15"/>
      <c r="C206" s="15"/>
      <c r="D206" s="15"/>
      <c r="E206" s="16" t="str">
        <f aca="false">IF(C206="","",IFERROR(INDEX(Drivers!$B:$B,MATCH(C206,Drivers!$A:$A,0)),"ID not found"))</f>
        <v/>
      </c>
      <c r="F206" s="16" t="str">
        <f aca="false">IF(B206="","",IFERROR(INDEX(Routes!$B:$B,MATCH(B206,Routes!$A:$A,0)),"ID not found"))</f>
        <v/>
      </c>
      <c r="G206" s="16" t="str">
        <f aca="false">IF(OR(B206="",C206="",D206=""),"",IF(OR(ISNA(MATCH(B206,Routes!$A:$A,0)),ISNA(MATCH(C206,Drivers!$A:$A,0)),ISNA(MATCH(D206,Vehicles!$A:$A,0))),"CHECK: ID not found",IF(INDEX(Routes!$C:$C,MATCH(B206,Routes!$A:$A,0))&lt;&gt;INDEX(Vehicles!$B:$B,MATCH(D206,Vehicles!$A:$A,0)),"CHECK: vehicle type does not fit route",IF(INDEX(Routes!$C:$C,MATCH(B206,Routes!$A:$A,0))&lt;&gt;INDEX(Drivers!$D:$D,MATCH(C206,Drivers!$A:$A,0)),"CHECK: driver type does not fit route",IF(OR(INDEX(Vehicles!$E:$E,MATCH(D206,Vehicles!$A:$A,0))="Workshop",INDEX(Vehicles!$E:$E,MATCH(D206,Vehicles!$A:$A,0))="Out of service"),"CHECK: vehicle not available",IF(INDEX(Drivers!$G:$G,MATCH(C206,Drivers!$A:$A,0))&lt;&gt;"Active","CHECK: driver not active",IF(COUNTIFS($A:$A,A206,$C:$C,C206)&gt;1,"CHECK: driver assigned twice",IF(COUNTIFS($A:$A,A206,$D:$D,D206)&gt;1,"CHECK: vehicle assigned twice","OK"))))))))</f>
        <v/>
      </c>
      <c r="H206" s="15"/>
      <c r="I206" s="15"/>
      <c r="J206" s="17" t="str">
        <f aca="false">IF(OR(H206="",H206=0),"",I206/H206)</f>
        <v/>
      </c>
      <c r="K206" s="15"/>
      <c r="L206" s="15"/>
      <c r="M206" s="18"/>
      <c r="N206" s="15"/>
      <c r="O206" s="16" t="str">
        <f aca="false">IF(AND(OR(K206="At risk",K206="Late"),L206=""),"Add a reason code",IF(AND(L206="OTH",N206=""),"Explain OTH in notes",IF(AND(K206="Finished",I206&lt;H206,L206=""),"Add a reason code","")))</f>
        <v/>
      </c>
    </row>
    <row r="207" customFormat="false" ht="15" hidden="false" customHeight="false" outlineLevel="0" collapsed="false">
      <c r="A207" s="14"/>
      <c r="B207" s="15"/>
      <c r="C207" s="15"/>
      <c r="D207" s="15"/>
      <c r="E207" s="16" t="str">
        <f aca="false">IF(C207="","",IFERROR(INDEX(Drivers!$B:$B,MATCH(C207,Drivers!$A:$A,0)),"ID not found"))</f>
        <v/>
      </c>
      <c r="F207" s="16" t="str">
        <f aca="false">IF(B207="","",IFERROR(INDEX(Routes!$B:$B,MATCH(B207,Routes!$A:$A,0)),"ID not found"))</f>
        <v/>
      </c>
      <c r="G207" s="16" t="str">
        <f aca="false">IF(OR(B207="",C207="",D207=""),"",IF(OR(ISNA(MATCH(B207,Routes!$A:$A,0)),ISNA(MATCH(C207,Drivers!$A:$A,0)),ISNA(MATCH(D207,Vehicles!$A:$A,0))),"CHECK: ID not found",IF(INDEX(Routes!$C:$C,MATCH(B207,Routes!$A:$A,0))&lt;&gt;INDEX(Vehicles!$B:$B,MATCH(D207,Vehicles!$A:$A,0)),"CHECK: vehicle type does not fit route",IF(INDEX(Routes!$C:$C,MATCH(B207,Routes!$A:$A,0))&lt;&gt;INDEX(Drivers!$D:$D,MATCH(C207,Drivers!$A:$A,0)),"CHECK: driver type does not fit route",IF(OR(INDEX(Vehicles!$E:$E,MATCH(D207,Vehicles!$A:$A,0))="Workshop",INDEX(Vehicles!$E:$E,MATCH(D207,Vehicles!$A:$A,0))="Out of service"),"CHECK: vehicle not available",IF(INDEX(Drivers!$G:$G,MATCH(C207,Drivers!$A:$A,0))&lt;&gt;"Active","CHECK: driver not active",IF(COUNTIFS($A:$A,A207,$C:$C,C207)&gt;1,"CHECK: driver assigned twice",IF(COUNTIFS($A:$A,A207,$D:$D,D207)&gt;1,"CHECK: vehicle assigned twice","OK"))))))))</f>
        <v/>
      </c>
      <c r="H207" s="15"/>
      <c r="I207" s="15"/>
      <c r="J207" s="17" t="str">
        <f aca="false">IF(OR(H207="",H207=0),"",I207/H207)</f>
        <v/>
      </c>
      <c r="K207" s="15"/>
      <c r="L207" s="15"/>
      <c r="M207" s="18"/>
      <c r="N207" s="15"/>
      <c r="O207" s="16" t="str">
        <f aca="false">IF(AND(OR(K207="At risk",K207="Late"),L207=""),"Add a reason code",IF(AND(L207="OTH",N207=""),"Explain OTH in notes",IF(AND(K207="Finished",I207&lt;H207,L207=""),"Add a reason code","")))</f>
        <v/>
      </c>
    </row>
    <row r="208" customFormat="false" ht="15" hidden="false" customHeight="false" outlineLevel="0" collapsed="false">
      <c r="A208" s="14"/>
      <c r="B208" s="15"/>
      <c r="C208" s="15"/>
      <c r="D208" s="15"/>
      <c r="E208" s="16" t="str">
        <f aca="false">IF(C208="","",IFERROR(INDEX(Drivers!$B:$B,MATCH(C208,Drivers!$A:$A,0)),"ID not found"))</f>
        <v/>
      </c>
      <c r="F208" s="16" t="str">
        <f aca="false">IF(B208="","",IFERROR(INDEX(Routes!$B:$B,MATCH(B208,Routes!$A:$A,0)),"ID not found"))</f>
        <v/>
      </c>
      <c r="G208" s="16" t="str">
        <f aca="false">IF(OR(B208="",C208="",D208=""),"",IF(OR(ISNA(MATCH(B208,Routes!$A:$A,0)),ISNA(MATCH(C208,Drivers!$A:$A,0)),ISNA(MATCH(D208,Vehicles!$A:$A,0))),"CHECK: ID not found",IF(INDEX(Routes!$C:$C,MATCH(B208,Routes!$A:$A,0))&lt;&gt;INDEX(Vehicles!$B:$B,MATCH(D208,Vehicles!$A:$A,0)),"CHECK: vehicle type does not fit route",IF(INDEX(Routes!$C:$C,MATCH(B208,Routes!$A:$A,0))&lt;&gt;INDEX(Drivers!$D:$D,MATCH(C208,Drivers!$A:$A,0)),"CHECK: driver type does not fit route",IF(OR(INDEX(Vehicles!$E:$E,MATCH(D208,Vehicles!$A:$A,0))="Workshop",INDEX(Vehicles!$E:$E,MATCH(D208,Vehicles!$A:$A,0))="Out of service"),"CHECK: vehicle not available",IF(INDEX(Drivers!$G:$G,MATCH(C208,Drivers!$A:$A,0))&lt;&gt;"Active","CHECK: driver not active",IF(COUNTIFS($A:$A,A208,$C:$C,C208)&gt;1,"CHECK: driver assigned twice",IF(COUNTIFS($A:$A,A208,$D:$D,D208)&gt;1,"CHECK: vehicle assigned twice","OK"))))))))</f>
        <v/>
      </c>
      <c r="H208" s="15"/>
      <c r="I208" s="15"/>
      <c r="J208" s="17" t="str">
        <f aca="false">IF(OR(H208="",H208=0),"",I208/H208)</f>
        <v/>
      </c>
      <c r="K208" s="15"/>
      <c r="L208" s="15"/>
      <c r="M208" s="18"/>
      <c r="N208" s="15"/>
      <c r="O208" s="16" t="str">
        <f aca="false">IF(AND(OR(K208="At risk",K208="Late"),L208=""),"Add a reason code",IF(AND(L208="OTH",N208=""),"Explain OTH in notes",IF(AND(K208="Finished",I208&lt;H208,L208=""),"Add a reason code","")))</f>
        <v/>
      </c>
    </row>
    <row r="209" customFormat="false" ht="15" hidden="false" customHeight="false" outlineLevel="0" collapsed="false">
      <c r="A209" s="14"/>
      <c r="B209" s="15"/>
      <c r="C209" s="15"/>
      <c r="D209" s="15"/>
      <c r="E209" s="16" t="str">
        <f aca="false">IF(C209="","",IFERROR(INDEX(Drivers!$B:$B,MATCH(C209,Drivers!$A:$A,0)),"ID not found"))</f>
        <v/>
      </c>
      <c r="F209" s="16" t="str">
        <f aca="false">IF(B209="","",IFERROR(INDEX(Routes!$B:$B,MATCH(B209,Routes!$A:$A,0)),"ID not found"))</f>
        <v/>
      </c>
      <c r="G209" s="16" t="str">
        <f aca="false">IF(OR(B209="",C209="",D209=""),"",IF(OR(ISNA(MATCH(B209,Routes!$A:$A,0)),ISNA(MATCH(C209,Drivers!$A:$A,0)),ISNA(MATCH(D209,Vehicles!$A:$A,0))),"CHECK: ID not found",IF(INDEX(Routes!$C:$C,MATCH(B209,Routes!$A:$A,0))&lt;&gt;INDEX(Vehicles!$B:$B,MATCH(D209,Vehicles!$A:$A,0)),"CHECK: vehicle type does not fit route",IF(INDEX(Routes!$C:$C,MATCH(B209,Routes!$A:$A,0))&lt;&gt;INDEX(Drivers!$D:$D,MATCH(C209,Drivers!$A:$A,0)),"CHECK: driver type does not fit route",IF(OR(INDEX(Vehicles!$E:$E,MATCH(D209,Vehicles!$A:$A,0))="Workshop",INDEX(Vehicles!$E:$E,MATCH(D209,Vehicles!$A:$A,0))="Out of service"),"CHECK: vehicle not available",IF(INDEX(Drivers!$G:$G,MATCH(C209,Drivers!$A:$A,0))&lt;&gt;"Active","CHECK: driver not active",IF(COUNTIFS($A:$A,A209,$C:$C,C209)&gt;1,"CHECK: driver assigned twice",IF(COUNTIFS($A:$A,A209,$D:$D,D209)&gt;1,"CHECK: vehicle assigned twice","OK"))))))))</f>
        <v/>
      </c>
      <c r="H209" s="15"/>
      <c r="I209" s="15"/>
      <c r="J209" s="17" t="str">
        <f aca="false">IF(OR(H209="",H209=0),"",I209/H209)</f>
        <v/>
      </c>
      <c r="K209" s="15"/>
      <c r="L209" s="15"/>
      <c r="M209" s="18"/>
      <c r="N209" s="15"/>
      <c r="O209" s="16" t="str">
        <f aca="false">IF(AND(OR(K209="At risk",K209="Late"),L209=""),"Add a reason code",IF(AND(L209="OTH",N209=""),"Explain OTH in notes",IF(AND(K209="Finished",I209&lt;H209,L209=""),"Add a reason code","")))</f>
        <v/>
      </c>
    </row>
    <row r="210" customFormat="false" ht="15" hidden="false" customHeight="false" outlineLevel="0" collapsed="false">
      <c r="A210" s="14"/>
      <c r="B210" s="15"/>
      <c r="C210" s="15"/>
      <c r="D210" s="15"/>
      <c r="E210" s="16" t="str">
        <f aca="false">IF(C210="","",IFERROR(INDEX(Drivers!$B:$B,MATCH(C210,Drivers!$A:$A,0)),"ID not found"))</f>
        <v/>
      </c>
      <c r="F210" s="16" t="str">
        <f aca="false">IF(B210="","",IFERROR(INDEX(Routes!$B:$B,MATCH(B210,Routes!$A:$A,0)),"ID not found"))</f>
        <v/>
      </c>
      <c r="G210" s="16" t="str">
        <f aca="false">IF(OR(B210="",C210="",D210=""),"",IF(OR(ISNA(MATCH(B210,Routes!$A:$A,0)),ISNA(MATCH(C210,Drivers!$A:$A,0)),ISNA(MATCH(D210,Vehicles!$A:$A,0))),"CHECK: ID not found",IF(INDEX(Routes!$C:$C,MATCH(B210,Routes!$A:$A,0))&lt;&gt;INDEX(Vehicles!$B:$B,MATCH(D210,Vehicles!$A:$A,0)),"CHECK: vehicle type does not fit route",IF(INDEX(Routes!$C:$C,MATCH(B210,Routes!$A:$A,0))&lt;&gt;INDEX(Drivers!$D:$D,MATCH(C210,Drivers!$A:$A,0)),"CHECK: driver type does not fit route",IF(OR(INDEX(Vehicles!$E:$E,MATCH(D210,Vehicles!$A:$A,0))="Workshop",INDEX(Vehicles!$E:$E,MATCH(D210,Vehicles!$A:$A,0))="Out of service"),"CHECK: vehicle not available",IF(INDEX(Drivers!$G:$G,MATCH(C210,Drivers!$A:$A,0))&lt;&gt;"Active","CHECK: driver not active",IF(COUNTIFS($A:$A,A210,$C:$C,C210)&gt;1,"CHECK: driver assigned twice",IF(COUNTIFS($A:$A,A210,$D:$D,D210)&gt;1,"CHECK: vehicle assigned twice","OK"))))))))</f>
        <v/>
      </c>
      <c r="H210" s="15"/>
      <c r="I210" s="15"/>
      <c r="J210" s="17" t="str">
        <f aca="false">IF(OR(H210="",H210=0),"",I210/H210)</f>
        <v/>
      </c>
      <c r="K210" s="15"/>
      <c r="L210" s="15"/>
      <c r="M210" s="18"/>
      <c r="N210" s="15"/>
      <c r="O210" s="16" t="str">
        <f aca="false">IF(AND(OR(K210="At risk",K210="Late"),L210=""),"Add a reason code",IF(AND(L210="OTH",N210=""),"Explain OTH in notes",IF(AND(K210="Finished",I210&lt;H210,L210=""),"Add a reason code","")))</f>
        <v/>
      </c>
    </row>
    <row r="211" customFormat="false" ht="15" hidden="false" customHeight="false" outlineLevel="0" collapsed="false">
      <c r="A211" s="14"/>
      <c r="B211" s="15"/>
      <c r="C211" s="15"/>
      <c r="D211" s="15"/>
      <c r="E211" s="16" t="str">
        <f aca="false">IF(C211="","",IFERROR(INDEX(Drivers!$B:$B,MATCH(C211,Drivers!$A:$A,0)),"ID not found"))</f>
        <v/>
      </c>
      <c r="F211" s="16" t="str">
        <f aca="false">IF(B211="","",IFERROR(INDEX(Routes!$B:$B,MATCH(B211,Routes!$A:$A,0)),"ID not found"))</f>
        <v/>
      </c>
      <c r="G211" s="16" t="str">
        <f aca="false">IF(OR(B211="",C211="",D211=""),"",IF(OR(ISNA(MATCH(B211,Routes!$A:$A,0)),ISNA(MATCH(C211,Drivers!$A:$A,0)),ISNA(MATCH(D211,Vehicles!$A:$A,0))),"CHECK: ID not found",IF(INDEX(Routes!$C:$C,MATCH(B211,Routes!$A:$A,0))&lt;&gt;INDEX(Vehicles!$B:$B,MATCH(D211,Vehicles!$A:$A,0)),"CHECK: vehicle type does not fit route",IF(INDEX(Routes!$C:$C,MATCH(B211,Routes!$A:$A,0))&lt;&gt;INDEX(Drivers!$D:$D,MATCH(C211,Drivers!$A:$A,0)),"CHECK: driver type does not fit route",IF(OR(INDEX(Vehicles!$E:$E,MATCH(D211,Vehicles!$A:$A,0))="Workshop",INDEX(Vehicles!$E:$E,MATCH(D211,Vehicles!$A:$A,0))="Out of service"),"CHECK: vehicle not available",IF(INDEX(Drivers!$G:$G,MATCH(C211,Drivers!$A:$A,0))&lt;&gt;"Active","CHECK: driver not active",IF(COUNTIFS($A:$A,A211,$C:$C,C211)&gt;1,"CHECK: driver assigned twice",IF(COUNTIFS($A:$A,A211,$D:$D,D211)&gt;1,"CHECK: vehicle assigned twice","OK"))))))))</f>
        <v/>
      </c>
      <c r="H211" s="15"/>
      <c r="I211" s="15"/>
      <c r="J211" s="17" t="str">
        <f aca="false">IF(OR(H211="",H211=0),"",I211/H211)</f>
        <v/>
      </c>
      <c r="K211" s="15"/>
      <c r="L211" s="15"/>
      <c r="M211" s="18"/>
      <c r="N211" s="15"/>
      <c r="O211" s="16" t="str">
        <f aca="false">IF(AND(OR(K211="At risk",K211="Late"),L211=""),"Add a reason code",IF(AND(L211="OTH",N211=""),"Explain OTH in notes",IF(AND(K211="Finished",I211&lt;H211,L211=""),"Add a reason code","")))</f>
        <v/>
      </c>
    </row>
    <row r="212" customFormat="false" ht="15" hidden="false" customHeight="false" outlineLevel="0" collapsed="false">
      <c r="A212" s="14"/>
      <c r="B212" s="15"/>
      <c r="C212" s="15"/>
      <c r="D212" s="15"/>
      <c r="E212" s="16" t="str">
        <f aca="false">IF(C212="","",IFERROR(INDEX(Drivers!$B:$B,MATCH(C212,Drivers!$A:$A,0)),"ID not found"))</f>
        <v/>
      </c>
      <c r="F212" s="16" t="str">
        <f aca="false">IF(B212="","",IFERROR(INDEX(Routes!$B:$B,MATCH(B212,Routes!$A:$A,0)),"ID not found"))</f>
        <v/>
      </c>
      <c r="G212" s="16" t="str">
        <f aca="false">IF(OR(B212="",C212="",D212=""),"",IF(OR(ISNA(MATCH(B212,Routes!$A:$A,0)),ISNA(MATCH(C212,Drivers!$A:$A,0)),ISNA(MATCH(D212,Vehicles!$A:$A,0))),"CHECK: ID not found",IF(INDEX(Routes!$C:$C,MATCH(B212,Routes!$A:$A,0))&lt;&gt;INDEX(Vehicles!$B:$B,MATCH(D212,Vehicles!$A:$A,0)),"CHECK: vehicle type does not fit route",IF(INDEX(Routes!$C:$C,MATCH(B212,Routes!$A:$A,0))&lt;&gt;INDEX(Drivers!$D:$D,MATCH(C212,Drivers!$A:$A,0)),"CHECK: driver type does not fit route",IF(OR(INDEX(Vehicles!$E:$E,MATCH(D212,Vehicles!$A:$A,0))="Workshop",INDEX(Vehicles!$E:$E,MATCH(D212,Vehicles!$A:$A,0))="Out of service"),"CHECK: vehicle not available",IF(INDEX(Drivers!$G:$G,MATCH(C212,Drivers!$A:$A,0))&lt;&gt;"Active","CHECK: driver not active",IF(COUNTIFS($A:$A,A212,$C:$C,C212)&gt;1,"CHECK: driver assigned twice",IF(COUNTIFS($A:$A,A212,$D:$D,D212)&gt;1,"CHECK: vehicle assigned twice","OK"))))))))</f>
        <v/>
      </c>
      <c r="H212" s="15"/>
      <c r="I212" s="15"/>
      <c r="J212" s="17" t="str">
        <f aca="false">IF(OR(H212="",H212=0),"",I212/H212)</f>
        <v/>
      </c>
      <c r="K212" s="15"/>
      <c r="L212" s="15"/>
      <c r="M212" s="18"/>
      <c r="N212" s="15"/>
      <c r="O212" s="16" t="str">
        <f aca="false">IF(AND(OR(K212="At risk",K212="Late"),L212=""),"Add a reason code",IF(AND(L212="OTH",N212=""),"Explain OTH in notes",IF(AND(K212="Finished",I212&lt;H212,L212=""),"Add a reason code","")))</f>
        <v/>
      </c>
    </row>
    <row r="213" customFormat="false" ht="15" hidden="false" customHeight="false" outlineLevel="0" collapsed="false">
      <c r="A213" s="14"/>
      <c r="B213" s="15"/>
      <c r="C213" s="15"/>
      <c r="D213" s="15"/>
      <c r="E213" s="16" t="str">
        <f aca="false">IF(C213="","",IFERROR(INDEX(Drivers!$B:$B,MATCH(C213,Drivers!$A:$A,0)),"ID not found"))</f>
        <v/>
      </c>
      <c r="F213" s="16" t="str">
        <f aca="false">IF(B213="","",IFERROR(INDEX(Routes!$B:$B,MATCH(B213,Routes!$A:$A,0)),"ID not found"))</f>
        <v/>
      </c>
      <c r="G213" s="16" t="str">
        <f aca="false">IF(OR(B213="",C213="",D213=""),"",IF(OR(ISNA(MATCH(B213,Routes!$A:$A,0)),ISNA(MATCH(C213,Drivers!$A:$A,0)),ISNA(MATCH(D213,Vehicles!$A:$A,0))),"CHECK: ID not found",IF(INDEX(Routes!$C:$C,MATCH(B213,Routes!$A:$A,0))&lt;&gt;INDEX(Vehicles!$B:$B,MATCH(D213,Vehicles!$A:$A,0)),"CHECK: vehicle type does not fit route",IF(INDEX(Routes!$C:$C,MATCH(B213,Routes!$A:$A,0))&lt;&gt;INDEX(Drivers!$D:$D,MATCH(C213,Drivers!$A:$A,0)),"CHECK: driver type does not fit route",IF(OR(INDEX(Vehicles!$E:$E,MATCH(D213,Vehicles!$A:$A,0))="Workshop",INDEX(Vehicles!$E:$E,MATCH(D213,Vehicles!$A:$A,0))="Out of service"),"CHECK: vehicle not available",IF(INDEX(Drivers!$G:$G,MATCH(C213,Drivers!$A:$A,0))&lt;&gt;"Active","CHECK: driver not active",IF(COUNTIFS($A:$A,A213,$C:$C,C213)&gt;1,"CHECK: driver assigned twice",IF(COUNTIFS($A:$A,A213,$D:$D,D213)&gt;1,"CHECK: vehicle assigned twice","OK"))))))))</f>
        <v/>
      </c>
      <c r="H213" s="15"/>
      <c r="I213" s="15"/>
      <c r="J213" s="17" t="str">
        <f aca="false">IF(OR(H213="",H213=0),"",I213/H213)</f>
        <v/>
      </c>
      <c r="K213" s="15"/>
      <c r="L213" s="15"/>
      <c r="M213" s="18"/>
      <c r="N213" s="15"/>
      <c r="O213" s="16" t="str">
        <f aca="false">IF(AND(OR(K213="At risk",K213="Late"),L213=""),"Add a reason code",IF(AND(L213="OTH",N213=""),"Explain OTH in notes",IF(AND(K213="Finished",I213&lt;H213,L213=""),"Add a reason code","")))</f>
        <v/>
      </c>
    </row>
    <row r="214" customFormat="false" ht="15" hidden="false" customHeight="false" outlineLevel="0" collapsed="false">
      <c r="A214" s="14"/>
      <c r="B214" s="15"/>
      <c r="C214" s="15"/>
      <c r="D214" s="15"/>
      <c r="E214" s="16" t="str">
        <f aca="false">IF(C214="","",IFERROR(INDEX(Drivers!$B:$B,MATCH(C214,Drivers!$A:$A,0)),"ID not found"))</f>
        <v/>
      </c>
      <c r="F214" s="16" t="str">
        <f aca="false">IF(B214="","",IFERROR(INDEX(Routes!$B:$B,MATCH(B214,Routes!$A:$A,0)),"ID not found"))</f>
        <v/>
      </c>
      <c r="G214" s="16" t="str">
        <f aca="false">IF(OR(B214="",C214="",D214=""),"",IF(OR(ISNA(MATCH(B214,Routes!$A:$A,0)),ISNA(MATCH(C214,Drivers!$A:$A,0)),ISNA(MATCH(D214,Vehicles!$A:$A,0))),"CHECK: ID not found",IF(INDEX(Routes!$C:$C,MATCH(B214,Routes!$A:$A,0))&lt;&gt;INDEX(Vehicles!$B:$B,MATCH(D214,Vehicles!$A:$A,0)),"CHECK: vehicle type does not fit route",IF(INDEX(Routes!$C:$C,MATCH(B214,Routes!$A:$A,0))&lt;&gt;INDEX(Drivers!$D:$D,MATCH(C214,Drivers!$A:$A,0)),"CHECK: driver type does not fit route",IF(OR(INDEX(Vehicles!$E:$E,MATCH(D214,Vehicles!$A:$A,0))="Workshop",INDEX(Vehicles!$E:$E,MATCH(D214,Vehicles!$A:$A,0))="Out of service"),"CHECK: vehicle not available",IF(INDEX(Drivers!$G:$G,MATCH(C214,Drivers!$A:$A,0))&lt;&gt;"Active","CHECK: driver not active",IF(COUNTIFS($A:$A,A214,$C:$C,C214)&gt;1,"CHECK: driver assigned twice",IF(COUNTIFS($A:$A,A214,$D:$D,D214)&gt;1,"CHECK: vehicle assigned twice","OK"))))))))</f>
        <v/>
      </c>
      <c r="H214" s="15"/>
      <c r="I214" s="15"/>
      <c r="J214" s="17" t="str">
        <f aca="false">IF(OR(H214="",H214=0),"",I214/H214)</f>
        <v/>
      </c>
      <c r="K214" s="15"/>
      <c r="L214" s="15"/>
      <c r="M214" s="18"/>
      <c r="N214" s="15"/>
      <c r="O214" s="16" t="str">
        <f aca="false">IF(AND(OR(K214="At risk",K214="Late"),L214=""),"Add a reason code",IF(AND(L214="OTH",N214=""),"Explain OTH in notes",IF(AND(K214="Finished",I214&lt;H214,L214=""),"Add a reason code","")))</f>
        <v/>
      </c>
    </row>
    <row r="215" customFormat="false" ht="15" hidden="false" customHeight="false" outlineLevel="0" collapsed="false">
      <c r="A215" s="14"/>
      <c r="B215" s="15"/>
      <c r="C215" s="15"/>
      <c r="D215" s="15"/>
      <c r="E215" s="16" t="str">
        <f aca="false">IF(C215="","",IFERROR(INDEX(Drivers!$B:$B,MATCH(C215,Drivers!$A:$A,0)),"ID not found"))</f>
        <v/>
      </c>
      <c r="F215" s="16" t="str">
        <f aca="false">IF(B215="","",IFERROR(INDEX(Routes!$B:$B,MATCH(B215,Routes!$A:$A,0)),"ID not found"))</f>
        <v/>
      </c>
      <c r="G215" s="16" t="str">
        <f aca="false">IF(OR(B215="",C215="",D215=""),"",IF(OR(ISNA(MATCH(B215,Routes!$A:$A,0)),ISNA(MATCH(C215,Drivers!$A:$A,0)),ISNA(MATCH(D215,Vehicles!$A:$A,0))),"CHECK: ID not found",IF(INDEX(Routes!$C:$C,MATCH(B215,Routes!$A:$A,0))&lt;&gt;INDEX(Vehicles!$B:$B,MATCH(D215,Vehicles!$A:$A,0)),"CHECK: vehicle type does not fit route",IF(INDEX(Routes!$C:$C,MATCH(B215,Routes!$A:$A,0))&lt;&gt;INDEX(Drivers!$D:$D,MATCH(C215,Drivers!$A:$A,0)),"CHECK: driver type does not fit route",IF(OR(INDEX(Vehicles!$E:$E,MATCH(D215,Vehicles!$A:$A,0))="Workshop",INDEX(Vehicles!$E:$E,MATCH(D215,Vehicles!$A:$A,0))="Out of service"),"CHECK: vehicle not available",IF(INDEX(Drivers!$G:$G,MATCH(C215,Drivers!$A:$A,0))&lt;&gt;"Active","CHECK: driver not active",IF(COUNTIFS($A:$A,A215,$C:$C,C215)&gt;1,"CHECK: driver assigned twice",IF(COUNTIFS($A:$A,A215,$D:$D,D215)&gt;1,"CHECK: vehicle assigned twice","OK"))))))))</f>
        <v/>
      </c>
      <c r="H215" s="15"/>
      <c r="I215" s="15"/>
      <c r="J215" s="17" t="str">
        <f aca="false">IF(OR(H215="",H215=0),"",I215/H215)</f>
        <v/>
      </c>
      <c r="K215" s="15"/>
      <c r="L215" s="15"/>
      <c r="M215" s="18"/>
      <c r="N215" s="15"/>
      <c r="O215" s="16" t="str">
        <f aca="false">IF(AND(OR(K215="At risk",K215="Late"),L215=""),"Add a reason code",IF(AND(L215="OTH",N215=""),"Explain OTH in notes",IF(AND(K215="Finished",I215&lt;H215,L215=""),"Add a reason code","")))</f>
        <v/>
      </c>
    </row>
    <row r="216" customFormat="false" ht="15" hidden="false" customHeight="false" outlineLevel="0" collapsed="false">
      <c r="A216" s="14"/>
      <c r="B216" s="15"/>
      <c r="C216" s="15"/>
      <c r="D216" s="15"/>
      <c r="E216" s="16" t="str">
        <f aca="false">IF(C216="","",IFERROR(INDEX(Drivers!$B:$B,MATCH(C216,Drivers!$A:$A,0)),"ID not found"))</f>
        <v/>
      </c>
      <c r="F216" s="16" t="str">
        <f aca="false">IF(B216="","",IFERROR(INDEX(Routes!$B:$B,MATCH(B216,Routes!$A:$A,0)),"ID not found"))</f>
        <v/>
      </c>
      <c r="G216" s="16" t="str">
        <f aca="false">IF(OR(B216="",C216="",D216=""),"",IF(OR(ISNA(MATCH(B216,Routes!$A:$A,0)),ISNA(MATCH(C216,Drivers!$A:$A,0)),ISNA(MATCH(D216,Vehicles!$A:$A,0))),"CHECK: ID not found",IF(INDEX(Routes!$C:$C,MATCH(B216,Routes!$A:$A,0))&lt;&gt;INDEX(Vehicles!$B:$B,MATCH(D216,Vehicles!$A:$A,0)),"CHECK: vehicle type does not fit route",IF(INDEX(Routes!$C:$C,MATCH(B216,Routes!$A:$A,0))&lt;&gt;INDEX(Drivers!$D:$D,MATCH(C216,Drivers!$A:$A,0)),"CHECK: driver type does not fit route",IF(OR(INDEX(Vehicles!$E:$E,MATCH(D216,Vehicles!$A:$A,0))="Workshop",INDEX(Vehicles!$E:$E,MATCH(D216,Vehicles!$A:$A,0))="Out of service"),"CHECK: vehicle not available",IF(INDEX(Drivers!$G:$G,MATCH(C216,Drivers!$A:$A,0))&lt;&gt;"Active","CHECK: driver not active",IF(COUNTIFS($A:$A,A216,$C:$C,C216)&gt;1,"CHECK: driver assigned twice",IF(COUNTIFS($A:$A,A216,$D:$D,D216)&gt;1,"CHECK: vehicle assigned twice","OK"))))))))</f>
        <v/>
      </c>
      <c r="H216" s="15"/>
      <c r="I216" s="15"/>
      <c r="J216" s="17" t="str">
        <f aca="false">IF(OR(H216="",H216=0),"",I216/H216)</f>
        <v/>
      </c>
      <c r="K216" s="15"/>
      <c r="L216" s="15"/>
      <c r="M216" s="18"/>
      <c r="N216" s="15"/>
      <c r="O216" s="16" t="str">
        <f aca="false">IF(AND(OR(K216="At risk",K216="Late"),L216=""),"Add a reason code",IF(AND(L216="OTH",N216=""),"Explain OTH in notes",IF(AND(K216="Finished",I216&lt;H216,L216=""),"Add a reason code","")))</f>
        <v/>
      </c>
    </row>
    <row r="217" customFormat="false" ht="15" hidden="false" customHeight="false" outlineLevel="0" collapsed="false">
      <c r="A217" s="14"/>
      <c r="B217" s="15"/>
      <c r="C217" s="15"/>
      <c r="D217" s="15"/>
      <c r="E217" s="16" t="str">
        <f aca="false">IF(C217="","",IFERROR(INDEX(Drivers!$B:$B,MATCH(C217,Drivers!$A:$A,0)),"ID not found"))</f>
        <v/>
      </c>
      <c r="F217" s="16" t="str">
        <f aca="false">IF(B217="","",IFERROR(INDEX(Routes!$B:$B,MATCH(B217,Routes!$A:$A,0)),"ID not found"))</f>
        <v/>
      </c>
      <c r="G217" s="16" t="str">
        <f aca="false">IF(OR(B217="",C217="",D217=""),"",IF(OR(ISNA(MATCH(B217,Routes!$A:$A,0)),ISNA(MATCH(C217,Drivers!$A:$A,0)),ISNA(MATCH(D217,Vehicles!$A:$A,0))),"CHECK: ID not found",IF(INDEX(Routes!$C:$C,MATCH(B217,Routes!$A:$A,0))&lt;&gt;INDEX(Vehicles!$B:$B,MATCH(D217,Vehicles!$A:$A,0)),"CHECK: vehicle type does not fit route",IF(INDEX(Routes!$C:$C,MATCH(B217,Routes!$A:$A,0))&lt;&gt;INDEX(Drivers!$D:$D,MATCH(C217,Drivers!$A:$A,0)),"CHECK: driver type does not fit route",IF(OR(INDEX(Vehicles!$E:$E,MATCH(D217,Vehicles!$A:$A,0))="Workshop",INDEX(Vehicles!$E:$E,MATCH(D217,Vehicles!$A:$A,0))="Out of service"),"CHECK: vehicle not available",IF(INDEX(Drivers!$G:$G,MATCH(C217,Drivers!$A:$A,0))&lt;&gt;"Active","CHECK: driver not active",IF(COUNTIFS($A:$A,A217,$C:$C,C217)&gt;1,"CHECK: driver assigned twice",IF(COUNTIFS($A:$A,A217,$D:$D,D217)&gt;1,"CHECK: vehicle assigned twice","OK"))))))))</f>
        <v/>
      </c>
      <c r="H217" s="15"/>
      <c r="I217" s="15"/>
      <c r="J217" s="17" t="str">
        <f aca="false">IF(OR(H217="",H217=0),"",I217/H217)</f>
        <v/>
      </c>
      <c r="K217" s="15"/>
      <c r="L217" s="15"/>
      <c r="M217" s="18"/>
      <c r="N217" s="15"/>
      <c r="O217" s="16" t="str">
        <f aca="false">IF(AND(OR(K217="At risk",K217="Late"),L217=""),"Add a reason code",IF(AND(L217="OTH",N217=""),"Explain OTH in notes",IF(AND(K217="Finished",I217&lt;H217,L217=""),"Add a reason code","")))</f>
        <v/>
      </c>
    </row>
    <row r="218" customFormat="false" ht="15" hidden="false" customHeight="false" outlineLevel="0" collapsed="false">
      <c r="A218" s="14"/>
      <c r="B218" s="15"/>
      <c r="C218" s="15"/>
      <c r="D218" s="15"/>
      <c r="E218" s="16" t="str">
        <f aca="false">IF(C218="","",IFERROR(INDEX(Drivers!$B:$B,MATCH(C218,Drivers!$A:$A,0)),"ID not found"))</f>
        <v/>
      </c>
      <c r="F218" s="16" t="str">
        <f aca="false">IF(B218="","",IFERROR(INDEX(Routes!$B:$B,MATCH(B218,Routes!$A:$A,0)),"ID not found"))</f>
        <v/>
      </c>
      <c r="G218" s="16" t="str">
        <f aca="false">IF(OR(B218="",C218="",D218=""),"",IF(OR(ISNA(MATCH(B218,Routes!$A:$A,0)),ISNA(MATCH(C218,Drivers!$A:$A,0)),ISNA(MATCH(D218,Vehicles!$A:$A,0))),"CHECK: ID not found",IF(INDEX(Routes!$C:$C,MATCH(B218,Routes!$A:$A,0))&lt;&gt;INDEX(Vehicles!$B:$B,MATCH(D218,Vehicles!$A:$A,0)),"CHECK: vehicle type does not fit route",IF(INDEX(Routes!$C:$C,MATCH(B218,Routes!$A:$A,0))&lt;&gt;INDEX(Drivers!$D:$D,MATCH(C218,Drivers!$A:$A,0)),"CHECK: driver type does not fit route",IF(OR(INDEX(Vehicles!$E:$E,MATCH(D218,Vehicles!$A:$A,0))="Workshop",INDEX(Vehicles!$E:$E,MATCH(D218,Vehicles!$A:$A,0))="Out of service"),"CHECK: vehicle not available",IF(INDEX(Drivers!$G:$G,MATCH(C218,Drivers!$A:$A,0))&lt;&gt;"Active","CHECK: driver not active",IF(COUNTIFS($A:$A,A218,$C:$C,C218)&gt;1,"CHECK: driver assigned twice",IF(COUNTIFS($A:$A,A218,$D:$D,D218)&gt;1,"CHECK: vehicle assigned twice","OK"))))))))</f>
        <v/>
      </c>
      <c r="H218" s="15"/>
      <c r="I218" s="15"/>
      <c r="J218" s="17" t="str">
        <f aca="false">IF(OR(H218="",H218=0),"",I218/H218)</f>
        <v/>
      </c>
      <c r="K218" s="15"/>
      <c r="L218" s="15"/>
      <c r="M218" s="18"/>
      <c r="N218" s="15"/>
      <c r="O218" s="16" t="str">
        <f aca="false">IF(AND(OR(K218="At risk",K218="Late"),L218=""),"Add a reason code",IF(AND(L218="OTH",N218=""),"Explain OTH in notes",IF(AND(K218="Finished",I218&lt;H218,L218=""),"Add a reason code","")))</f>
        <v/>
      </c>
    </row>
    <row r="219" customFormat="false" ht="15" hidden="false" customHeight="false" outlineLevel="0" collapsed="false">
      <c r="A219" s="14"/>
      <c r="B219" s="15"/>
      <c r="C219" s="15"/>
      <c r="D219" s="15"/>
      <c r="E219" s="16" t="str">
        <f aca="false">IF(C219="","",IFERROR(INDEX(Drivers!$B:$B,MATCH(C219,Drivers!$A:$A,0)),"ID not found"))</f>
        <v/>
      </c>
      <c r="F219" s="16" t="str">
        <f aca="false">IF(B219="","",IFERROR(INDEX(Routes!$B:$B,MATCH(B219,Routes!$A:$A,0)),"ID not found"))</f>
        <v/>
      </c>
      <c r="G219" s="16" t="str">
        <f aca="false">IF(OR(B219="",C219="",D219=""),"",IF(OR(ISNA(MATCH(B219,Routes!$A:$A,0)),ISNA(MATCH(C219,Drivers!$A:$A,0)),ISNA(MATCH(D219,Vehicles!$A:$A,0))),"CHECK: ID not found",IF(INDEX(Routes!$C:$C,MATCH(B219,Routes!$A:$A,0))&lt;&gt;INDEX(Vehicles!$B:$B,MATCH(D219,Vehicles!$A:$A,0)),"CHECK: vehicle type does not fit route",IF(INDEX(Routes!$C:$C,MATCH(B219,Routes!$A:$A,0))&lt;&gt;INDEX(Drivers!$D:$D,MATCH(C219,Drivers!$A:$A,0)),"CHECK: driver type does not fit route",IF(OR(INDEX(Vehicles!$E:$E,MATCH(D219,Vehicles!$A:$A,0))="Workshop",INDEX(Vehicles!$E:$E,MATCH(D219,Vehicles!$A:$A,0))="Out of service"),"CHECK: vehicle not available",IF(INDEX(Drivers!$G:$G,MATCH(C219,Drivers!$A:$A,0))&lt;&gt;"Active","CHECK: driver not active",IF(COUNTIFS($A:$A,A219,$C:$C,C219)&gt;1,"CHECK: driver assigned twice",IF(COUNTIFS($A:$A,A219,$D:$D,D219)&gt;1,"CHECK: vehicle assigned twice","OK"))))))))</f>
        <v/>
      </c>
      <c r="H219" s="15"/>
      <c r="I219" s="15"/>
      <c r="J219" s="17" t="str">
        <f aca="false">IF(OR(H219="",H219=0),"",I219/H219)</f>
        <v/>
      </c>
      <c r="K219" s="15"/>
      <c r="L219" s="15"/>
      <c r="M219" s="18"/>
      <c r="N219" s="15"/>
      <c r="O219" s="16" t="str">
        <f aca="false">IF(AND(OR(K219="At risk",K219="Late"),L219=""),"Add a reason code",IF(AND(L219="OTH",N219=""),"Explain OTH in notes",IF(AND(K219="Finished",I219&lt;H219,L219=""),"Add a reason code","")))</f>
        <v/>
      </c>
    </row>
    <row r="220" customFormat="false" ht="15" hidden="false" customHeight="false" outlineLevel="0" collapsed="false">
      <c r="A220" s="14"/>
      <c r="B220" s="15"/>
      <c r="C220" s="15"/>
      <c r="D220" s="15"/>
      <c r="E220" s="16" t="str">
        <f aca="false">IF(C220="","",IFERROR(INDEX(Drivers!$B:$B,MATCH(C220,Drivers!$A:$A,0)),"ID not found"))</f>
        <v/>
      </c>
      <c r="F220" s="16" t="str">
        <f aca="false">IF(B220="","",IFERROR(INDEX(Routes!$B:$B,MATCH(B220,Routes!$A:$A,0)),"ID not found"))</f>
        <v/>
      </c>
      <c r="G220" s="16" t="str">
        <f aca="false">IF(OR(B220="",C220="",D220=""),"",IF(OR(ISNA(MATCH(B220,Routes!$A:$A,0)),ISNA(MATCH(C220,Drivers!$A:$A,0)),ISNA(MATCH(D220,Vehicles!$A:$A,0))),"CHECK: ID not found",IF(INDEX(Routes!$C:$C,MATCH(B220,Routes!$A:$A,0))&lt;&gt;INDEX(Vehicles!$B:$B,MATCH(D220,Vehicles!$A:$A,0)),"CHECK: vehicle type does not fit route",IF(INDEX(Routes!$C:$C,MATCH(B220,Routes!$A:$A,0))&lt;&gt;INDEX(Drivers!$D:$D,MATCH(C220,Drivers!$A:$A,0)),"CHECK: driver type does not fit route",IF(OR(INDEX(Vehicles!$E:$E,MATCH(D220,Vehicles!$A:$A,0))="Workshop",INDEX(Vehicles!$E:$E,MATCH(D220,Vehicles!$A:$A,0))="Out of service"),"CHECK: vehicle not available",IF(INDEX(Drivers!$G:$G,MATCH(C220,Drivers!$A:$A,0))&lt;&gt;"Active","CHECK: driver not active",IF(COUNTIFS($A:$A,A220,$C:$C,C220)&gt;1,"CHECK: driver assigned twice",IF(COUNTIFS($A:$A,A220,$D:$D,D220)&gt;1,"CHECK: vehicle assigned twice","OK"))))))))</f>
        <v/>
      </c>
      <c r="H220" s="15"/>
      <c r="I220" s="15"/>
      <c r="J220" s="17" t="str">
        <f aca="false">IF(OR(H220="",H220=0),"",I220/H220)</f>
        <v/>
      </c>
      <c r="K220" s="15"/>
      <c r="L220" s="15"/>
      <c r="M220" s="18"/>
      <c r="N220" s="15"/>
      <c r="O220" s="16" t="str">
        <f aca="false">IF(AND(OR(K220="At risk",K220="Late"),L220=""),"Add a reason code",IF(AND(L220="OTH",N220=""),"Explain OTH in notes",IF(AND(K220="Finished",I220&lt;H220,L220=""),"Add a reason code","")))</f>
        <v/>
      </c>
    </row>
    <row r="221" customFormat="false" ht="15" hidden="false" customHeight="false" outlineLevel="0" collapsed="false">
      <c r="A221" s="14"/>
      <c r="B221" s="15"/>
      <c r="C221" s="15"/>
      <c r="D221" s="15"/>
      <c r="E221" s="16" t="str">
        <f aca="false">IF(C221="","",IFERROR(INDEX(Drivers!$B:$B,MATCH(C221,Drivers!$A:$A,0)),"ID not found"))</f>
        <v/>
      </c>
      <c r="F221" s="16" t="str">
        <f aca="false">IF(B221="","",IFERROR(INDEX(Routes!$B:$B,MATCH(B221,Routes!$A:$A,0)),"ID not found"))</f>
        <v/>
      </c>
      <c r="G221" s="16" t="str">
        <f aca="false">IF(OR(B221="",C221="",D221=""),"",IF(OR(ISNA(MATCH(B221,Routes!$A:$A,0)),ISNA(MATCH(C221,Drivers!$A:$A,0)),ISNA(MATCH(D221,Vehicles!$A:$A,0))),"CHECK: ID not found",IF(INDEX(Routes!$C:$C,MATCH(B221,Routes!$A:$A,0))&lt;&gt;INDEX(Vehicles!$B:$B,MATCH(D221,Vehicles!$A:$A,0)),"CHECK: vehicle type does not fit route",IF(INDEX(Routes!$C:$C,MATCH(B221,Routes!$A:$A,0))&lt;&gt;INDEX(Drivers!$D:$D,MATCH(C221,Drivers!$A:$A,0)),"CHECK: driver type does not fit route",IF(OR(INDEX(Vehicles!$E:$E,MATCH(D221,Vehicles!$A:$A,0))="Workshop",INDEX(Vehicles!$E:$E,MATCH(D221,Vehicles!$A:$A,0))="Out of service"),"CHECK: vehicle not available",IF(INDEX(Drivers!$G:$G,MATCH(C221,Drivers!$A:$A,0))&lt;&gt;"Active","CHECK: driver not active",IF(COUNTIFS($A:$A,A221,$C:$C,C221)&gt;1,"CHECK: driver assigned twice",IF(COUNTIFS($A:$A,A221,$D:$D,D221)&gt;1,"CHECK: vehicle assigned twice","OK"))))))))</f>
        <v/>
      </c>
      <c r="H221" s="15"/>
      <c r="I221" s="15"/>
      <c r="J221" s="17" t="str">
        <f aca="false">IF(OR(H221="",H221=0),"",I221/H221)</f>
        <v/>
      </c>
      <c r="K221" s="15"/>
      <c r="L221" s="15"/>
      <c r="M221" s="18"/>
      <c r="N221" s="15"/>
      <c r="O221" s="16" t="str">
        <f aca="false">IF(AND(OR(K221="At risk",K221="Late"),L221=""),"Add a reason code",IF(AND(L221="OTH",N221=""),"Explain OTH in notes",IF(AND(K221="Finished",I221&lt;H221,L221=""),"Add a reason code","")))</f>
        <v/>
      </c>
    </row>
    <row r="222" customFormat="false" ht="15" hidden="false" customHeight="false" outlineLevel="0" collapsed="false">
      <c r="A222" s="14"/>
      <c r="B222" s="15"/>
      <c r="C222" s="15"/>
      <c r="D222" s="15"/>
      <c r="E222" s="16" t="str">
        <f aca="false">IF(C222="","",IFERROR(INDEX(Drivers!$B:$B,MATCH(C222,Drivers!$A:$A,0)),"ID not found"))</f>
        <v/>
      </c>
      <c r="F222" s="16" t="str">
        <f aca="false">IF(B222="","",IFERROR(INDEX(Routes!$B:$B,MATCH(B222,Routes!$A:$A,0)),"ID not found"))</f>
        <v/>
      </c>
      <c r="G222" s="16" t="str">
        <f aca="false">IF(OR(B222="",C222="",D222=""),"",IF(OR(ISNA(MATCH(B222,Routes!$A:$A,0)),ISNA(MATCH(C222,Drivers!$A:$A,0)),ISNA(MATCH(D222,Vehicles!$A:$A,0))),"CHECK: ID not found",IF(INDEX(Routes!$C:$C,MATCH(B222,Routes!$A:$A,0))&lt;&gt;INDEX(Vehicles!$B:$B,MATCH(D222,Vehicles!$A:$A,0)),"CHECK: vehicle type does not fit route",IF(INDEX(Routes!$C:$C,MATCH(B222,Routes!$A:$A,0))&lt;&gt;INDEX(Drivers!$D:$D,MATCH(C222,Drivers!$A:$A,0)),"CHECK: driver type does not fit route",IF(OR(INDEX(Vehicles!$E:$E,MATCH(D222,Vehicles!$A:$A,0))="Workshop",INDEX(Vehicles!$E:$E,MATCH(D222,Vehicles!$A:$A,0))="Out of service"),"CHECK: vehicle not available",IF(INDEX(Drivers!$G:$G,MATCH(C222,Drivers!$A:$A,0))&lt;&gt;"Active","CHECK: driver not active",IF(COUNTIFS($A:$A,A222,$C:$C,C222)&gt;1,"CHECK: driver assigned twice",IF(COUNTIFS($A:$A,A222,$D:$D,D222)&gt;1,"CHECK: vehicle assigned twice","OK"))))))))</f>
        <v/>
      </c>
      <c r="H222" s="15"/>
      <c r="I222" s="15"/>
      <c r="J222" s="17" t="str">
        <f aca="false">IF(OR(H222="",H222=0),"",I222/H222)</f>
        <v/>
      </c>
      <c r="K222" s="15"/>
      <c r="L222" s="15"/>
      <c r="M222" s="18"/>
      <c r="N222" s="15"/>
      <c r="O222" s="16" t="str">
        <f aca="false">IF(AND(OR(K222="At risk",K222="Late"),L222=""),"Add a reason code",IF(AND(L222="OTH",N222=""),"Explain OTH in notes",IF(AND(K222="Finished",I222&lt;H222,L222=""),"Add a reason code","")))</f>
        <v/>
      </c>
    </row>
    <row r="223" customFormat="false" ht="15" hidden="false" customHeight="false" outlineLevel="0" collapsed="false">
      <c r="A223" s="14"/>
      <c r="B223" s="15"/>
      <c r="C223" s="15"/>
      <c r="D223" s="15"/>
      <c r="E223" s="16" t="str">
        <f aca="false">IF(C223="","",IFERROR(INDEX(Drivers!$B:$B,MATCH(C223,Drivers!$A:$A,0)),"ID not found"))</f>
        <v/>
      </c>
      <c r="F223" s="16" t="str">
        <f aca="false">IF(B223="","",IFERROR(INDEX(Routes!$B:$B,MATCH(B223,Routes!$A:$A,0)),"ID not found"))</f>
        <v/>
      </c>
      <c r="G223" s="16" t="str">
        <f aca="false">IF(OR(B223="",C223="",D223=""),"",IF(OR(ISNA(MATCH(B223,Routes!$A:$A,0)),ISNA(MATCH(C223,Drivers!$A:$A,0)),ISNA(MATCH(D223,Vehicles!$A:$A,0))),"CHECK: ID not found",IF(INDEX(Routes!$C:$C,MATCH(B223,Routes!$A:$A,0))&lt;&gt;INDEX(Vehicles!$B:$B,MATCH(D223,Vehicles!$A:$A,0)),"CHECK: vehicle type does not fit route",IF(INDEX(Routes!$C:$C,MATCH(B223,Routes!$A:$A,0))&lt;&gt;INDEX(Drivers!$D:$D,MATCH(C223,Drivers!$A:$A,0)),"CHECK: driver type does not fit route",IF(OR(INDEX(Vehicles!$E:$E,MATCH(D223,Vehicles!$A:$A,0))="Workshop",INDEX(Vehicles!$E:$E,MATCH(D223,Vehicles!$A:$A,0))="Out of service"),"CHECK: vehicle not available",IF(INDEX(Drivers!$G:$G,MATCH(C223,Drivers!$A:$A,0))&lt;&gt;"Active","CHECK: driver not active",IF(COUNTIFS($A:$A,A223,$C:$C,C223)&gt;1,"CHECK: driver assigned twice",IF(COUNTIFS($A:$A,A223,$D:$D,D223)&gt;1,"CHECK: vehicle assigned twice","OK"))))))))</f>
        <v/>
      </c>
      <c r="H223" s="15"/>
      <c r="I223" s="15"/>
      <c r="J223" s="17" t="str">
        <f aca="false">IF(OR(H223="",H223=0),"",I223/H223)</f>
        <v/>
      </c>
      <c r="K223" s="15"/>
      <c r="L223" s="15"/>
      <c r="M223" s="18"/>
      <c r="N223" s="15"/>
      <c r="O223" s="16" t="str">
        <f aca="false">IF(AND(OR(K223="At risk",K223="Late"),L223=""),"Add a reason code",IF(AND(L223="OTH",N223=""),"Explain OTH in notes",IF(AND(K223="Finished",I223&lt;H223,L223=""),"Add a reason code","")))</f>
        <v/>
      </c>
    </row>
    <row r="224" customFormat="false" ht="15" hidden="false" customHeight="false" outlineLevel="0" collapsed="false">
      <c r="A224" s="14"/>
      <c r="B224" s="15"/>
      <c r="C224" s="15"/>
      <c r="D224" s="15"/>
      <c r="E224" s="16" t="str">
        <f aca="false">IF(C224="","",IFERROR(INDEX(Drivers!$B:$B,MATCH(C224,Drivers!$A:$A,0)),"ID not found"))</f>
        <v/>
      </c>
      <c r="F224" s="16" t="str">
        <f aca="false">IF(B224="","",IFERROR(INDEX(Routes!$B:$B,MATCH(B224,Routes!$A:$A,0)),"ID not found"))</f>
        <v/>
      </c>
      <c r="G224" s="16" t="str">
        <f aca="false">IF(OR(B224="",C224="",D224=""),"",IF(OR(ISNA(MATCH(B224,Routes!$A:$A,0)),ISNA(MATCH(C224,Drivers!$A:$A,0)),ISNA(MATCH(D224,Vehicles!$A:$A,0))),"CHECK: ID not found",IF(INDEX(Routes!$C:$C,MATCH(B224,Routes!$A:$A,0))&lt;&gt;INDEX(Vehicles!$B:$B,MATCH(D224,Vehicles!$A:$A,0)),"CHECK: vehicle type does not fit route",IF(INDEX(Routes!$C:$C,MATCH(B224,Routes!$A:$A,0))&lt;&gt;INDEX(Drivers!$D:$D,MATCH(C224,Drivers!$A:$A,0)),"CHECK: driver type does not fit route",IF(OR(INDEX(Vehicles!$E:$E,MATCH(D224,Vehicles!$A:$A,0))="Workshop",INDEX(Vehicles!$E:$E,MATCH(D224,Vehicles!$A:$A,0))="Out of service"),"CHECK: vehicle not available",IF(INDEX(Drivers!$G:$G,MATCH(C224,Drivers!$A:$A,0))&lt;&gt;"Active","CHECK: driver not active",IF(COUNTIFS($A:$A,A224,$C:$C,C224)&gt;1,"CHECK: driver assigned twice",IF(COUNTIFS($A:$A,A224,$D:$D,D224)&gt;1,"CHECK: vehicle assigned twice","OK"))))))))</f>
        <v/>
      </c>
      <c r="H224" s="15"/>
      <c r="I224" s="15"/>
      <c r="J224" s="17" t="str">
        <f aca="false">IF(OR(H224="",H224=0),"",I224/H224)</f>
        <v/>
      </c>
      <c r="K224" s="15"/>
      <c r="L224" s="15"/>
      <c r="M224" s="18"/>
      <c r="N224" s="15"/>
      <c r="O224" s="16" t="str">
        <f aca="false">IF(AND(OR(K224="At risk",K224="Late"),L224=""),"Add a reason code",IF(AND(L224="OTH",N224=""),"Explain OTH in notes",IF(AND(K224="Finished",I224&lt;H224,L224=""),"Add a reason code","")))</f>
        <v/>
      </c>
    </row>
    <row r="225" customFormat="false" ht="15" hidden="false" customHeight="false" outlineLevel="0" collapsed="false">
      <c r="A225" s="14"/>
      <c r="B225" s="15"/>
      <c r="C225" s="15"/>
      <c r="D225" s="15"/>
      <c r="E225" s="16" t="str">
        <f aca="false">IF(C225="","",IFERROR(INDEX(Drivers!$B:$B,MATCH(C225,Drivers!$A:$A,0)),"ID not found"))</f>
        <v/>
      </c>
      <c r="F225" s="16" t="str">
        <f aca="false">IF(B225="","",IFERROR(INDEX(Routes!$B:$B,MATCH(B225,Routes!$A:$A,0)),"ID not found"))</f>
        <v/>
      </c>
      <c r="G225" s="16" t="str">
        <f aca="false">IF(OR(B225="",C225="",D225=""),"",IF(OR(ISNA(MATCH(B225,Routes!$A:$A,0)),ISNA(MATCH(C225,Drivers!$A:$A,0)),ISNA(MATCH(D225,Vehicles!$A:$A,0))),"CHECK: ID not found",IF(INDEX(Routes!$C:$C,MATCH(B225,Routes!$A:$A,0))&lt;&gt;INDEX(Vehicles!$B:$B,MATCH(D225,Vehicles!$A:$A,0)),"CHECK: vehicle type does not fit route",IF(INDEX(Routes!$C:$C,MATCH(B225,Routes!$A:$A,0))&lt;&gt;INDEX(Drivers!$D:$D,MATCH(C225,Drivers!$A:$A,0)),"CHECK: driver type does not fit route",IF(OR(INDEX(Vehicles!$E:$E,MATCH(D225,Vehicles!$A:$A,0))="Workshop",INDEX(Vehicles!$E:$E,MATCH(D225,Vehicles!$A:$A,0))="Out of service"),"CHECK: vehicle not available",IF(INDEX(Drivers!$G:$G,MATCH(C225,Drivers!$A:$A,0))&lt;&gt;"Active","CHECK: driver not active",IF(COUNTIFS($A:$A,A225,$C:$C,C225)&gt;1,"CHECK: driver assigned twice",IF(COUNTIFS($A:$A,A225,$D:$D,D225)&gt;1,"CHECK: vehicle assigned twice","OK"))))))))</f>
        <v/>
      </c>
      <c r="H225" s="15"/>
      <c r="I225" s="15"/>
      <c r="J225" s="17" t="str">
        <f aca="false">IF(OR(H225="",H225=0),"",I225/H225)</f>
        <v/>
      </c>
      <c r="K225" s="15"/>
      <c r="L225" s="15"/>
      <c r="M225" s="18"/>
      <c r="N225" s="15"/>
      <c r="O225" s="16" t="str">
        <f aca="false">IF(AND(OR(K225="At risk",K225="Late"),L225=""),"Add a reason code",IF(AND(L225="OTH",N225=""),"Explain OTH in notes",IF(AND(K225="Finished",I225&lt;H225,L225=""),"Add a reason code","")))</f>
        <v/>
      </c>
    </row>
    <row r="226" customFormat="false" ht="15" hidden="false" customHeight="false" outlineLevel="0" collapsed="false">
      <c r="A226" s="14"/>
      <c r="B226" s="15"/>
      <c r="C226" s="15"/>
      <c r="D226" s="15"/>
      <c r="E226" s="16" t="str">
        <f aca="false">IF(C226="","",IFERROR(INDEX(Drivers!$B:$B,MATCH(C226,Drivers!$A:$A,0)),"ID not found"))</f>
        <v/>
      </c>
      <c r="F226" s="16" t="str">
        <f aca="false">IF(B226="","",IFERROR(INDEX(Routes!$B:$B,MATCH(B226,Routes!$A:$A,0)),"ID not found"))</f>
        <v/>
      </c>
      <c r="G226" s="16" t="str">
        <f aca="false">IF(OR(B226="",C226="",D226=""),"",IF(OR(ISNA(MATCH(B226,Routes!$A:$A,0)),ISNA(MATCH(C226,Drivers!$A:$A,0)),ISNA(MATCH(D226,Vehicles!$A:$A,0))),"CHECK: ID not found",IF(INDEX(Routes!$C:$C,MATCH(B226,Routes!$A:$A,0))&lt;&gt;INDEX(Vehicles!$B:$B,MATCH(D226,Vehicles!$A:$A,0)),"CHECK: vehicle type does not fit route",IF(INDEX(Routes!$C:$C,MATCH(B226,Routes!$A:$A,0))&lt;&gt;INDEX(Drivers!$D:$D,MATCH(C226,Drivers!$A:$A,0)),"CHECK: driver type does not fit route",IF(OR(INDEX(Vehicles!$E:$E,MATCH(D226,Vehicles!$A:$A,0))="Workshop",INDEX(Vehicles!$E:$E,MATCH(D226,Vehicles!$A:$A,0))="Out of service"),"CHECK: vehicle not available",IF(INDEX(Drivers!$G:$G,MATCH(C226,Drivers!$A:$A,0))&lt;&gt;"Active","CHECK: driver not active",IF(COUNTIFS($A:$A,A226,$C:$C,C226)&gt;1,"CHECK: driver assigned twice",IF(COUNTIFS($A:$A,A226,$D:$D,D226)&gt;1,"CHECK: vehicle assigned twice","OK"))))))))</f>
        <v/>
      </c>
      <c r="H226" s="15"/>
      <c r="I226" s="15"/>
      <c r="J226" s="17" t="str">
        <f aca="false">IF(OR(H226="",H226=0),"",I226/H226)</f>
        <v/>
      </c>
      <c r="K226" s="15"/>
      <c r="L226" s="15"/>
      <c r="M226" s="18"/>
      <c r="N226" s="15"/>
      <c r="O226" s="16" t="str">
        <f aca="false">IF(AND(OR(K226="At risk",K226="Late"),L226=""),"Add a reason code",IF(AND(L226="OTH",N226=""),"Explain OTH in notes",IF(AND(K226="Finished",I226&lt;H226,L226=""),"Add a reason code","")))</f>
        <v/>
      </c>
    </row>
    <row r="227" customFormat="false" ht="15" hidden="false" customHeight="false" outlineLevel="0" collapsed="false">
      <c r="A227" s="14"/>
      <c r="B227" s="15"/>
      <c r="C227" s="15"/>
      <c r="D227" s="15"/>
      <c r="E227" s="16" t="str">
        <f aca="false">IF(C227="","",IFERROR(INDEX(Drivers!$B:$B,MATCH(C227,Drivers!$A:$A,0)),"ID not found"))</f>
        <v/>
      </c>
      <c r="F227" s="16" t="str">
        <f aca="false">IF(B227="","",IFERROR(INDEX(Routes!$B:$B,MATCH(B227,Routes!$A:$A,0)),"ID not found"))</f>
        <v/>
      </c>
      <c r="G227" s="16" t="str">
        <f aca="false">IF(OR(B227="",C227="",D227=""),"",IF(OR(ISNA(MATCH(B227,Routes!$A:$A,0)),ISNA(MATCH(C227,Drivers!$A:$A,0)),ISNA(MATCH(D227,Vehicles!$A:$A,0))),"CHECK: ID not found",IF(INDEX(Routes!$C:$C,MATCH(B227,Routes!$A:$A,0))&lt;&gt;INDEX(Vehicles!$B:$B,MATCH(D227,Vehicles!$A:$A,0)),"CHECK: vehicle type does not fit route",IF(INDEX(Routes!$C:$C,MATCH(B227,Routes!$A:$A,0))&lt;&gt;INDEX(Drivers!$D:$D,MATCH(C227,Drivers!$A:$A,0)),"CHECK: driver type does not fit route",IF(OR(INDEX(Vehicles!$E:$E,MATCH(D227,Vehicles!$A:$A,0))="Workshop",INDEX(Vehicles!$E:$E,MATCH(D227,Vehicles!$A:$A,0))="Out of service"),"CHECK: vehicle not available",IF(INDEX(Drivers!$G:$G,MATCH(C227,Drivers!$A:$A,0))&lt;&gt;"Active","CHECK: driver not active",IF(COUNTIFS($A:$A,A227,$C:$C,C227)&gt;1,"CHECK: driver assigned twice",IF(COUNTIFS($A:$A,A227,$D:$D,D227)&gt;1,"CHECK: vehicle assigned twice","OK"))))))))</f>
        <v/>
      </c>
      <c r="H227" s="15"/>
      <c r="I227" s="15"/>
      <c r="J227" s="17" t="str">
        <f aca="false">IF(OR(H227="",H227=0),"",I227/H227)</f>
        <v/>
      </c>
      <c r="K227" s="15"/>
      <c r="L227" s="15"/>
      <c r="M227" s="18"/>
      <c r="N227" s="15"/>
      <c r="O227" s="16" t="str">
        <f aca="false">IF(AND(OR(K227="At risk",K227="Late"),L227=""),"Add a reason code",IF(AND(L227="OTH",N227=""),"Explain OTH in notes",IF(AND(K227="Finished",I227&lt;H227,L227=""),"Add a reason code","")))</f>
        <v/>
      </c>
    </row>
    <row r="228" customFormat="false" ht="15" hidden="false" customHeight="false" outlineLevel="0" collapsed="false">
      <c r="A228" s="14"/>
      <c r="B228" s="15"/>
      <c r="C228" s="15"/>
      <c r="D228" s="15"/>
      <c r="E228" s="16" t="str">
        <f aca="false">IF(C228="","",IFERROR(INDEX(Drivers!$B:$B,MATCH(C228,Drivers!$A:$A,0)),"ID not found"))</f>
        <v/>
      </c>
      <c r="F228" s="16" t="str">
        <f aca="false">IF(B228="","",IFERROR(INDEX(Routes!$B:$B,MATCH(B228,Routes!$A:$A,0)),"ID not found"))</f>
        <v/>
      </c>
      <c r="G228" s="16" t="str">
        <f aca="false">IF(OR(B228="",C228="",D228=""),"",IF(OR(ISNA(MATCH(B228,Routes!$A:$A,0)),ISNA(MATCH(C228,Drivers!$A:$A,0)),ISNA(MATCH(D228,Vehicles!$A:$A,0))),"CHECK: ID not found",IF(INDEX(Routes!$C:$C,MATCH(B228,Routes!$A:$A,0))&lt;&gt;INDEX(Vehicles!$B:$B,MATCH(D228,Vehicles!$A:$A,0)),"CHECK: vehicle type does not fit route",IF(INDEX(Routes!$C:$C,MATCH(B228,Routes!$A:$A,0))&lt;&gt;INDEX(Drivers!$D:$D,MATCH(C228,Drivers!$A:$A,0)),"CHECK: driver type does not fit route",IF(OR(INDEX(Vehicles!$E:$E,MATCH(D228,Vehicles!$A:$A,0))="Workshop",INDEX(Vehicles!$E:$E,MATCH(D228,Vehicles!$A:$A,0))="Out of service"),"CHECK: vehicle not available",IF(INDEX(Drivers!$G:$G,MATCH(C228,Drivers!$A:$A,0))&lt;&gt;"Active","CHECK: driver not active",IF(COUNTIFS($A:$A,A228,$C:$C,C228)&gt;1,"CHECK: driver assigned twice",IF(COUNTIFS($A:$A,A228,$D:$D,D228)&gt;1,"CHECK: vehicle assigned twice","OK"))))))))</f>
        <v/>
      </c>
      <c r="H228" s="15"/>
      <c r="I228" s="15"/>
      <c r="J228" s="17" t="str">
        <f aca="false">IF(OR(H228="",H228=0),"",I228/H228)</f>
        <v/>
      </c>
      <c r="K228" s="15"/>
      <c r="L228" s="15"/>
      <c r="M228" s="18"/>
      <c r="N228" s="15"/>
      <c r="O228" s="16" t="str">
        <f aca="false">IF(AND(OR(K228="At risk",K228="Late"),L228=""),"Add a reason code",IF(AND(L228="OTH",N228=""),"Explain OTH in notes",IF(AND(K228="Finished",I228&lt;H228,L228=""),"Add a reason code","")))</f>
        <v/>
      </c>
    </row>
    <row r="229" customFormat="false" ht="15" hidden="false" customHeight="false" outlineLevel="0" collapsed="false">
      <c r="A229" s="14"/>
      <c r="B229" s="15"/>
      <c r="C229" s="15"/>
      <c r="D229" s="15"/>
      <c r="E229" s="16" t="str">
        <f aca="false">IF(C229="","",IFERROR(INDEX(Drivers!$B:$B,MATCH(C229,Drivers!$A:$A,0)),"ID not found"))</f>
        <v/>
      </c>
      <c r="F229" s="16" t="str">
        <f aca="false">IF(B229="","",IFERROR(INDEX(Routes!$B:$B,MATCH(B229,Routes!$A:$A,0)),"ID not found"))</f>
        <v/>
      </c>
      <c r="G229" s="16" t="str">
        <f aca="false">IF(OR(B229="",C229="",D229=""),"",IF(OR(ISNA(MATCH(B229,Routes!$A:$A,0)),ISNA(MATCH(C229,Drivers!$A:$A,0)),ISNA(MATCH(D229,Vehicles!$A:$A,0))),"CHECK: ID not found",IF(INDEX(Routes!$C:$C,MATCH(B229,Routes!$A:$A,0))&lt;&gt;INDEX(Vehicles!$B:$B,MATCH(D229,Vehicles!$A:$A,0)),"CHECK: vehicle type does not fit route",IF(INDEX(Routes!$C:$C,MATCH(B229,Routes!$A:$A,0))&lt;&gt;INDEX(Drivers!$D:$D,MATCH(C229,Drivers!$A:$A,0)),"CHECK: driver type does not fit route",IF(OR(INDEX(Vehicles!$E:$E,MATCH(D229,Vehicles!$A:$A,0))="Workshop",INDEX(Vehicles!$E:$E,MATCH(D229,Vehicles!$A:$A,0))="Out of service"),"CHECK: vehicle not available",IF(INDEX(Drivers!$G:$G,MATCH(C229,Drivers!$A:$A,0))&lt;&gt;"Active","CHECK: driver not active",IF(COUNTIFS($A:$A,A229,$C:$C,C229)&gt;1,"CHECK: driver assigned twice",IF(COUNTIFS($A:$A,A229,$D:$D,D229)&gt;1,"CHECK: vehicle assigned twice","OK"))))))))</f>
        <v/>
      </c>
      <c r="H229" s="15"/>
      <c r="I229" s="15"/>
      <c r="J229" s="17" t="str">
        <f aca="false">IF(OR(H229="",H229=0),"",I229/H229)</f>
        <v/>
      </c>
      <c r="K229" s="15"/>
      <c r="L229" s="15"/>
      <c r="M229" s="18"/>
      <c r="N229" s="15"/>
      <c r="O229" s="16" t="str">
        <f aca="false">IF(AND(OR(K229="At risk",K229="Late"),L229=""),"Add a reason code",IF(AND(L229="OTH",N229=""),"Explain OTH in notes",IF(AND(K229="Finished",I229&lt;H229,L229=""),"Add a reason code","")))</f>
        <v/>
      </c>
    </row>
    <row r="230" customFormat="false" ht="15" hidden="false" customHeight="false" outlineLevel="0" collapsed="false">
      <c r="A230" s="14"/>
      <c r="B230" s="15"/>
      <c r="C230" s="15"/>
      <c r="D230" s="15"/>
      <c r="E230" s="16" t="str">
        <f aca="false">IF(C230="","",IFERROR(INDEX(Drivers!$B:$B,MATCH(C230,Drivers!$A:$A,0)),"ID not found"))</f>
        <v/>
      </c>
      <c r="F230" s="16" t="str">
        <f aca="false">IF(B230="","",IFERROR(INDEX(Routes!$B:$B,MATCH(B230,Routes!$A:$A,0)),"ID not found"))</f>
        <v/>
      </c>
      <c r="G230" s="16" t="str">
        <f aca="false">IF(OR(B230="",C230="",D230=""),"",IF(OR(ISNA(MATCH(B230,Routes!$A:$A,0)),ISNA(MATCH(C230,Drivers!$A:$A,0)),ISNA(MATCH(D230,Vehicles!$A:$A,0))),"CHECK: ID not found",IF(INDEX(Routes!$C:$C,MATCH(B230,Routes!$A:$A,0))&lt;&gt;INDEX(Vehicles!$B:$B,MATCH(D230,Vehicles!$A:$A,0)),"CHECK: vehicle type does not fit route",IF(INDEX(Routes!$C:$C,MATCH(B230,Routes!$A:$A,0))&lt;&gt;INDEX(Drivers!$D:$D,MATCH(C230,Drivers!$A:$A,0)),"CHECK: driver type does not fit route",IF(OR(INDEX(Vehicles!$E:$E,MATCH(D230,Vehicles!$A:$A,0))="Workshop",INDEX(Vehicles!$E:$E,MATCH(D230,Vehicles!$A:$A,0))="Out of service"),"CHECK: vehicle not available",IF(INDEX(Drivers!$G:$G,MATCH(C230,Drivers!$A:$A,0))&lt;&gt;"Active","CHECK: driver not active",IF(COUNTIFS($A:$A,A230,$C:$C,C230)&gt;1,"CHECK: driver assigned twice",IF(COUNTIFS($A:$A,A230,$D:$D,D230)&gt;1,"CHECK: vehicle assigned twice","OK"))))))))</f>
        <v/>
      </c>
      <c r="H230" s="15"/>
      <c r="I230" s="15"/>
      <c r="J230" s="17" t="str">
        <f aca="false">IF(OR(H230="",H230=0),"",I230/H230)</f>
        <v/>
      </c>
      <c r="K230" s="15"/>
      <c r="L230" s="15"/>
      <c r="M230" s="18"/>
      <c r="N230" s="15"/>
      <c r="O230" s="16" t="str">
        <f aca="false">IF(AND(OR(K230="At risk",K230="Late"),L230=""),"Add a reason code",IF(AND(L230="OTH",N230=""),"Explain OTH in notes",IF(AND(K230="Finished",I230&lt;H230,L230=""),"Add a reason code","")))</f>
        <v/>
      </c>
    </row>
    <row r="231" customFormat="false" ht="15" hidden="false" customHeight="false" outlineLevel="0" collapsed="false">
      <c r="A231" s="14"/>
      <c r="B231" s="15"/>
      <c r="C231" s="15"/>
      <c r="D231" s="15"/>
      <c r="E231" s="16" t="str">
        <f aca="false">IF(C231="","",IFERROR(INDEX(Drivers!$B:$B,MATCH(C231,Drivers!$A:$A,0)),"ID not found"))</f>
        <v/>
      </c>
      <c r="F231" s="16" t="str">
        <f aca="false">IF(B231="","",IFERROR(INDEX(Routes!$B:$B,MATCH(B231,Routes!$A:$A,0)),"ID not found"))</f>
        <v/>
      </c>
      <c r="G231" s="16" t="str">
        <f aca="false">IF(OR(B231="",C231="",D231=""),"",IF(OR(ISNA(MATCH(B231,Routes!$A:$A,0)),ISNA(MATCH(C231,Drivers!$A:$A,0)),ISNA(MATCH(D231,Vehicles!$A:$A,0))),"CHECK: ID not found",IF(INDEX(Routes!$C:$C,MATCH(B231,Routes!$A:$A,0))&lt;&gt;INDEX(Vehicles!$B:$B,MATCH(D231,Vehicles!$A:$A,0)),"CHECK: vehicle type does not fit route",IF(INDEX(Routes!$C:$C,MATCH(B231,Routes!$A:$A,0))&lt;&gt;INDEX(Drivers!$D:$D,MATCH(C231,Drivers!$A:$A,0)),"CHECK: driver type does not fit route",IF(OR(INDEX(Vehicles!$E:$E,MATCH(D231,Vehicles!$A:$A,0))="Workshop",INDEX(Vehicles!$E:$E,MATCH(D231,Vehicles!$A:$A,0))="Out of service"),"CHECK: vehicle not available",IF(INDEX(Drivers!$G:$G,MATCH(C231,Drivers!$A:$A,0))&lt;&gt;"Active","CHECK: driver not active",IF(COUNTIFS($A:$A,A231,$C:$C,C231)&gt;1,"CHECK: driver assigned twice",IF(COUNTIFS($A:$A,A231,$D:$D,D231)&gt;1,"CHECK: vehicle assigned twice","OK"))))))))</f>
        <v/>
      </c>
      <c r="H231" s="15"/>
      <c r="I231" s="15"/>
      <c r="J231" s="17" t="str">
        <f aca="false">IF(OR(H231="",H231=0),"",I231/H231)</f>
        <v/>
      </c>
      <c r="K231" s="15"/>
      <c r="L231" s="15"/>
      <c r="M231" s="18"/>
      <c r="N231" s="15"/>
      <c r="O231" s="16" t="str">
        <f aca="false">IF(AND(OR(K231="At risk",K231="Late"),L231=""),"Add a reason code",IF(AND(L231="OTH",N231=""),"Explain OTH in notes",IF(AND(K231="Finished",I231&lt;H231,L231=""),"Add a reason code","")))</f>
        <v/>
      </c>
    </row>
    <row r="232" customFormat="false" ht="15" hidden="false" customHeight="false" outlineLevel="0" collapsed="false">
      <c r="A232" s="14"/>
      <c r="B232" s="15"/>
      <c r="C232" s="15"/>
      <c r="D232" s="15"/>
      <c r="E232" s="16" t="str">
        <f aca="false">IF(C232="","",IFERROR(INDEX(Drivers!$B:$B,MATCH(C232,Drivers!$A:$A,0)),"ID not found"))</f>
        <v/>
      </c>
      <c r="F232" s="16" t="str">
        <f aca="false">IF(B232="","",IFERROR(INDEX(Routes!$B:$B,MATCH(B232,Routes!$A:$A,0)),"ID not found"))</f>
        <v/>
      </c>
      <c r="G232" s="16" t="str">
        <f aca="false">IF(OR(B232="",C232="",D232=""),"",IF(OR(ISNA(MATCH(B232,Routes!$A:$A,0)),ISNA(MATCH(C232,Drivers!$A:$A,0)),ISNA(MATCH(D232,Vehicles!$A:$A,0))),"CHECK: ID not found",IF(INDEX(Routes!$C:$C,MATCH(B232,Routes!$A:$A,0))&lt;&gt;INDEX(Vehicles!$B:$B,MATCH(D232,Vehicles!$A:$A,0)),"CHECK: vehicle type does not fit route",IF(INDEX(Routes!$C:$C,MATCH(B232,Routes!$A:$A,0))&lt;&gt;INDEX(Drivers!$D:$D,MATCH(C232,Drivers!$A:$A,0)),"CHECK: driver type does not fit route",IF(OR(INDEX(Vehicles!$E:$E,MATCH(D232,Vehicles!$A:$A,0))="Workshop",INDEX(Vehicles!$E:$E,MATCH(D232,Vehicles!$A:$A,0))="Out of service"),"CHECK: vehicle not available",IF(INDEX(Drivers!$G:$G,MATCH(C232,Drivers!$A:$A,0))&lt;&gt;"Active","CHECK: driver not active",IF(COUNTIFS($A:$A,A232,$C:$C,C232)&gt;1,"CHECK: driver assigned twice",IF(COUNTIFS($A:$A,A232,$D:$D,D232)&gt;1,"CHECK: vehicle assigned twice","OK"))))))))</f>
        <v/>
      </c>
      <c r="H232" s="15"/>
      <c r="I232" s="15"/>
      <c r="J232" s="17" t="str">
        <f aca="false">IF(OR(H232="",H232=0),"",I232/H232)</f>
        <v/>
      </c>
      <c r="K232" s="15"/>
      <c r="L232" s="15"/>
      <c r="M232" s="18"/>
      <c r="N232" s="15"/>
      <c r="O232" s="16" t="str">
        <f aca="false">IF(AND(OR(K232="At risk",K232="Late"),L232=""),"Add a reason code",IF(AND(L232="OTH",N232=""),"Explain OTH in notes",IF(AND(K232="Finished",I232&lt;H232,L232=""),"Add a reason code","")))</f>
        <v/>
      </c>
    </row>
    <row r="233" customFormat="false" ht="15" hidden="false" customHeight="false" outlineLevel="0" collapsed="false">
      <c r="A233" s="14"/>
      <c r="B233" s="15"/>
      <c r="C233" s="15"/>
      <c r="D233" s="15"/>
      <c r="E233" s="16" t="str">
        <f aca="false">IF(C233="","",IFERROR(INDEX(Drivers!$B:$B,MATCH(C233,Drivers!$A:$A,0)),"ID not found"))</f>
        <v/>
      </c>
      <c r="F233" s="16" t="str">
        <f aca="false">IF(B233="","",IFERROR(INDEX(Routes!$B:$B,MATCH(B233,Routes!$A:$A,0)),"ID not found"))</f>
        <v/>
      </c>
      <c r="G233" s="16" t="str">
        <f aca="false">IF(OR(B233="",C233="",D233=""),"",IF(OR(ISNA(MATCH(B233,Routes!$A:$A,0)),ISNA(MATCH(C233,Drivers!$A:$A,0)),ISNA(MATCH(D233,Vehicles!$A:$A,0))),"CHECK: ID not found",IF(INDEX(Routes!$C:$C,MATCH(B233,Routes!$A:$A,0))&lt;&gt;INDEX(Vehicles!$B:$B,MATCH(D233,Vehicles!$A:$A,0)),"CHECK: vehicle type does not fit route",IF(INDEX(Routes!$C:$C,MATCH(B233,Routes!$A:$A,0))&lt;&gt;INDEX(Drivers!$D:$D,MATCH(C233,Drivers!$A:$A,0)),"CHECK: driver type does not fit route",IF(OR(INDEX(Vehicles!$E:$E,MATCH(D233,Vehicles!$A:$A,0))="Workshop",INDEX(Vehicles!$E:$E,MATCH(D233,Vehicles!$A:$A,0))="Out of service"),"CHECK: vehicle not available",IF(INDEX(Drivers!$G:$G,MATCH(C233,Drivers!$A:$A,0))&lt;&gt;"Active","CHECK: driver not active",IF(COUNTIFS($A:$A,A233,$C:$C,C233)&gt;1,"CHECK: driver assigned twice",IF(COUNTIFS($A:$A,A233,$D:$D,D233)&gt;1,"CHECK: vehicle assigned twice","OK"))))))))</f>
        <v/>
      </c>
      <c r="H233" s="15"/>
      <c r="I233" s="15"/>
      <c r="J233" s="17" t="str">
        <f aca="false">IF(OR(H233="",H233=0),"",I233/H233)</f>
        <v/>
      </c>
      <c r="K233" s="15"/>
      <c r="L233" s="15"/>
      <c r="M233" s="18"/>
      <c r="N233" s="15"/>
      <c r="O233" s="16" t="str">
        <f aca="false">IF(AND(OR(K233="At risk",K233="Late"),L233=""),"Add a reason code",IF(AND(L233="OTH",N233=""),"Explain OTH in notes",IF(AND(K233="Finished",I233&lt;H233,L233=""),"Add a reason code","")))</f>
        <v/>
      </c>
    </row>
    <row r="234" customFormat="false" ht="15" hidden="false" customHeight="false" outlineLevel="0" collapsed="false">
      <c r="A234" s="14"/>
      <c r="B234" s="15"/>
      <c r="C234" s="15"/>
      <c r="D234" s="15"/>
      <c r="E234" s="16" t="str">
        <f aca="false">IF(C234="","",IFERROR(INDEX(Drivers!$B:$B,MATCH(C234,Drivers!$A:$A,0)),"ID not found"))</f>
        <v/>
      </c>
      <c r="F234" s="16" t="str">
        <f aca="false">IF(B234="","",IFERROR(INDEX(Routes!$B:$B,MATCH(B234,Routes!$A:$A,0)),"ID not found"))</f>
        <v/>
      </c>
      <c r="G234" s="16" t="str">
        <f aca="false">IF(OR(B234="",C234="",D234=""),"",IF(OR(ISNA(MATCH(B234,Routes!$A:$A,0)),ISNA(MATCH(C234,Drivers!$A:$A,0)),ISNA(MATCH(D234,Vehicles!$A:$A,0))),"CHECK: ID not found",IF(INDEX(Routes!$C:$C,MATCH(B234,Routes!$A:$A,0))&lt;&gt;INDEX(Vehicles!$B:$B,MATCH(D234,Vehicles!$A:$A,0)),"CHECK: vehicle type does not fit route",IF(INDEX(Routes!$C:$C,MATCH(B234,Routes!$A:$A,0))&lt;&gt;INDEX(Drivers!$D:$D,MATCH(C234,Drivers!$A:$A,0)),"CHECK: driver type does not fit route",IF(OR(INDEX(Vehicles!$E:$E,MATCH(D234,Vehicles!$A:$A,0))="Workshop",INDEX(Vehicles!$E:$E,MATCH(D234,Vehicles!$A:$A,0))="Out of service"),"CHECK: vehicle not available",IF(INDEX(Drivers!$G:$G,MATCH(C234,Drivers!$A:$A,0))&lt;&gt;"Active","CHECK: driver not active",IF(COUNTIFS($A:$A,A234,$C:$C,C234)&gt;1,"CHECK: driver assigned twice",IF(COUNTIFS($A:$A,A234,$D:$D,D234)&gt;1,"CHECK: vehicle assigned twice","OK"))))))))</f>
        <v/>
      </c>
      <c r="H234" s="15"/>
      <c r="I234" s="15"/>
      <c r="J234" s="17" t="str">
        <f aca="false">IF(OR(H234="",H234=0),"",I234/H234)</f>
        <v/>
      </c>
      <c r="K234" s="15"/>
      <c r="L234" s="15"/>
      <c r="M234" s="18"/>
      <c r="N234" s="15"/>
      <c r="O234" s="16" t="str">
        <f aca="false">IF(AND(OR(K234="At risk",K234="Late"),L234=""),"Add a reason code",IF(AND(L234="OTH",N234=""),"Explain OTH in notes",IF(AND(K234="Finished",I234&lt;H234,L234=""),"Add a reason code","")))</f>
        <v/>
      </c>
    </row>
    <row r="235" customFormat="false" ht="15" hidden="false" customHeight="false" outlineLevel="0" collapsed="false">
      <c r="A235" s="14"/>
      <c r="B235" s="15"/>
      <c r="C235" s="15"/>
      <c r="D235" s="15"/>
      <c r="E235" s="16" t="str">
        <f aca="false">IF(C235="","",IFERROR(INDEX(Drivers!$B:$B,MATCH(C235,Drivers!$A:$A,0)),"ID not found"))</f>
        <v/>
      </c>
      <c r="F235" s="16" t="str">
        <f aca="false">IF(B235="","",IFERROR(INDEX(Routes!$B:$B,MATCH(B235,Routes!$A:$A,0)),"ID not found"))</f>
        <v/>
      </c>
      <c r="G235" s="16" t="str">
        <f aca="false">IF(OR(B235="",C235="",D235=""),"",IF(OR(ISNA(MATCH(B235,Routes!$A:$A,0)),ISNA(MATCH(C235,Drivers!$A:$A,0)),ISNA(MATCH(D235,Vehicles!$A:$A,0))),"CHECK: ID not found",IF(INDEX(Routes!$C:$C,MATCH(B235,Routes!$A:$A,0))&lt;&gt;INDEX(Vehicles!$B:$B,MATCH(D235,Vehicles!$A:$A,0)),"CHECK: vehicle type does not fit route",IF(INDEX(Routes!$C:$C,MATCH(B235,Routes!$A:$A,0))&lt;&gt;INDEX(Drivers!$D:$D,MATCH(C235,Drivers!$A:$A,0)),"CHECK: driver type does not fit route",IF(OR(INDEX(Vehicles!$E:$E,MATCH(D235,Vehicles!$A:$A,0))="Workshop",INDEX(Vehicles!$E:$E,MATCH(D235,Vehicles!$A:$A,0))="Out of service"),"CHECK: vehicle not available",IF(INDEX(Drivers!$G:$G,MATCH(C235,Drivers!$A:$A,0))&lt;&gt;"Active","CHECK: driver not active",IF(COUNTIFS($A:$A,A235,$C:$C,C235)&gt;1,"CHECK: driver assigned twice",IF(COUNTIFS($A:$A,A235,$D:$D,D235)&gt;1,"CHECK: vehicle assigned twice","OK"))))))))</f>
        <v/>
      </c>
      <c r="H235" s="15"/>
      <c r="I235" s="15"/>
      <c r="J235" s="17" t="str">
        <f aca="false">IF(OR(H235="",H235=0),"",I235/H235)</f>
        <v/>
      </c>
      <c r="K235" s="15"/>
      <c r="L235" s="15"/>
      <c r="M235" s="18"/>
      <c r="N235" s="15"/>
      <c r="O235" s="16" t="str">
        <f aca="false">IF(AND(OR(K235="At risk",K235="Late"),L235=""),"Add a reason code",IF(AND(L235="OTH",N235=""),"Explain OTH in notes",IF(AND(K235="Finished",I235&lt;H235,L235=""),"Add a reason code","")))</f>
        <v/>
      </c>
    </row>
    <row r="236" customFormat="false" ht="15" hidden="false" customHeight="false" outlineLevel="0" collapsed="false">
      <c r="A236" s="14"/>
      <c r="B236" s="15"/>
      <c r="C236" s="15"/>
      <c r="D236" s="15"/>
      <c r="E236" s="16" t="str">
        <f aca="false">IF(C236="","",IFERROR(INDEX(Drivers!$B:$B,MATCH(C236,Drivers!$A:$A,0)),"ID not found"))</f>
        <v/>
      </c>
      <c r="F236" s="16" t="str">
        <f aca="false">IF(B236="","",IFERROR(INDEX(Routes!$B:$B,MATCH(B236,Routes!$A:$A,0)),"ID not found"))</f>
        <v/>
      </c>
      <c r="G236" s="16" t="str">
        <f aca="false">IF(OR(B236="",C236="",D236=""),"",IF(OR(ISNA(MATCH(B236,Routes!$A:$A,0)),ISNA(MATCH(C236,Drivers!$A:$A,0)),ISNA(MATCH(D236,Vehicles!$A:$A,0))),"CHECK: ID not found",IF(INDEX(Routes!$C:$C,MATCH(B236,Routes!$A:$A,0))&lt;&gt;INDEX(Vehicles!$B:$B,MATCH(D236,Vehicles!$A:$A,0)),"CHECK: vehicle type does not fit route",IF(INDEX(Routes!$C:$C,MATCH(B236,Routes!$A:$A,0))&lt;&gt;INDEX(Drivers!$D:$D,MATCH(C236,Drivers!$A:$A,0)),"CHECK: driver type does not fit route",IF(OR(INDEX(Vehicles!$E:$E,MATCH(D236,Vehicles!$A:$A,0))="Workshop",INDEX(Vehicles!$E:$E,MATCH(D236,Vehicles!$A:$A,0))="Out of service"),"CHECK: vehicle not available",IF(INDEX(Drivers!$G:$G,MATCH(C236,Drivers!$A:$A,0))&lt;&gt;"Active","CHECK: driver not active",IF(COUNTIFS($A:$A,A236,$C:$C,C236)&gt;1,"CHECK: driver assigned twice",IF(COUNTIFS($A:$A,A236,$D:$D,D236)&gt;1,"CHECK: vehicle assigned twice","OK"))))))))</f>
        <v/>
      </c>
      <c r="H236" s="15"/>
      <c r="I236" s="15"/>
      <c r="J236" s="17" t="str">
        <f aca="false">IF(OR(H236="",H236=0),"",I236/H236)</f>
        <v/>
      </c>
      <c r="K236" s="15"/>
      <c r="L236" s="15"/>
      <c r="M236" s="18"/>
      <c r="N236" s="15"/>
      <c r="O236" s="16" t="str">
        <f aca="false">IF(AND(OR(K236="At risk",K236="Late"),L236=""),"Add a reason code",IF(AND(L236="OTH",N236=""),"Explain OTH in notes",IF(AND(K236="Finished",I236&lt;H236,L236=""),"Add a reason code","")))</f>
        <v/>
      </c>
    </row>
    <row r="237" customFormat="false" ht="15" hidden="false" customHeight="false" outlineLevel="0" collapsed="false">
      <c r="A237" s="14"/>
      <c r="B237" s="15"/>
      <c r="C237" s="15"/>
      <c r="D237" s="15"/>
      <c r="E237" s="16" t="str">
        <f aca="false">IF(C237="","",IFERROR(INDEX(Drivers!$B:$B,MATCH(C237,Drivers!$A:$A,0)),"ID not found"))</f>
        <v/>
      </c>
      <c r="F237" s="16" t="str">
        <f aca="false">IF(B237="","",IFERROR(INDEX(Routes!$B:$B,MATCH(B237,Routes!$A:$A,0)),"ID not found"))</f>
        <v/>
      </c>
      <c r="G237" s="16" t="str">
        <f aca="false">IF(OR(B237="",C237="",D237=""),"",IF(OR(ISNA(MATCH(B237,Routes!$A:$A,0)),ISNA(MATCH(C237,Drivers!$A:$A,0)),ISNA(MATCH(D237,Vehicles!$A:$A,0))),"CHECK: ID not found",IF(INDEX(Routes!$C:$C,MATCH(B237,Routes!$A:$A,0))&lt;&gt;INDEX(Vehicles!$B:$B,MATCH(D237,Vehicles!$A:$A,0)),"CHECK: vehicle type does not fit route",IF(INDEX(Routes!$C:$C,MATCH(B237,Routes!$A:$A,0))&lt;&gt;INDEX(Drivers!$D:$D,MATCH(C237,Drivers!$A:$A,0)),"CHECK: driver type does not fit route",IF(OR(INDEX(Vehicles!$E:$E,MATCH(D237,Vehicles!$A:$A,0))="Workshop",INDEX(Vehicles!$E:$E,MATCH(D237,Vehicles!$A:$A,0))="Out of service"),"CHECK: vehicle not available",IF(INDEX(Drivers!$G:$G,MATCH(C237,Drivers!$A:$A,0))&lt;&gt;"Active","CHECK: driver not active",IF(COUNTIFS($A:$A,A237,$C:$C,C237)&gt;1,"CHECK: driver assigned twice",IF(COUNTIFS($A:$A,A237,$D:$D,D237)&gt;1,"CHECK: vehicle assigned twice","OK"))))))))</f>
        <v/>
      </c>
      <c r="H237" s="15"/>
      <c r="I237" s="15"/>
      <c r="J237" s="17" t="str">
        <f aca="false">IF(OR(H237="",H237=0),"",I237/H237)</f>
        <v/>
      </c>
      <c r="K237" s="15"/>
      <c r="L237" s="15"/>
      <c r="M237" s="18"/>
      <c r="N237" s="15"/>
      <c r="O237" s="16" t="str">
        <f aca="false">IF(AND(OR(K237="At risk",K237="Late"),L237=""),"Add a reason code",IF(AND(L237="OTH",N237=""),"Explain OTH in notes",IF(AND(K237="Finished",I237&lt;H237,L237=""),"Add a reason code","")))</f>
        <v/>
      </c>
    </row>
    <row r="238" customFormat="false" ht="15" hidden="false" customHeight="false" outlineLevel="0" collapsed="false">
      <c r="A238" s="14"/>
      <c r="B238" s="15"/>
      <c r="C238" s="15"/>
      <c r="D238" s="15"/>
      <c r="E238" s="16" t="str">
        <f aca="false">IF(C238="","",IFERROR(INDEX(Drivers!$B:$B,MATCH(C238,Drivers!$A:$A,0)),"ID not found"))</f>
        <v/>
      </c>
      <c r="F238" s="16" t="str">
        <f aca="false">IF(B238="","",IFERROR(INDEX(Routes!$B:$B,MATCH(B238,Routes!$A:$A,0)),"ID not found"))</f>
        <v/>
      </c>
      <c r="G238" s="16" t="str">
        <f aca="false">IF(OR(B238="",C238="",D238=""),"",IF(OR(ISNA(MATCH(B238,Routes!$A:$A,0)),ISNA(MATCH(C238,Drivers!$A:$A,0)),ISNA(MATCH(D238,Vehicles!$A:$A,0))),"CHECK: ID not found",IF(INDEX(Routes!$C:$C,MATCH(B238,Routes!$A:$A,0))&lt;&gt;INDEX(Vehicles!$B:$B,MATCH(D238,Vehicles!$A:$A,0)),"CHECK: vehicle type does not fit route",IF(INDEX(Routes!$C:$C,MATCH(B238,Routes!$A:$A,0))&lt;&gt;INDEX(Drivers!$D:$D,MATCH(C238,Drivers!$A:$A,0)),"CHECK: driver type does not fit route",IF(OR(INDEX(Vehicles!$E:$E,MATCH(D238,Vehicles!$A:$A,0))="Workshop",INDEX(Vehicles!$E:$E,MATCH(D238,Vehicles!$A:$A,0))="Out of service"),"CHECK: vehicle not available",IF(INDEX(Drivers!$G:$G,MATCH(C238,Drivers!$A:$A,0))&lt;&gt;"Active","CHECK: driver not active",IF(COUNTIFS($A:$A,A238,$C:$C,C238)&gt;1,"CHECK: driver assigned twice",IF(COUNTIFS($A:$A,A238,$D:$D,D238)&gt;1,"CHECK: vehicle assigned twice","OK"))))))))</f>
        <v/>
      </c>
      <c r="H238" s="15"/>
      <c r="I238" s="15"/>
      <c r="J238" s="17" t="str">
        <f aca="false">IF(OR(H238="",H238=0),"",I238/H238)</f>
        <v/>
      </c>
      <c r="K238" s="15"/>
      <c r="L238" s="15"/>
      <c r="M238" s="18"/>
      <c r="N238" s="15"/>
      <c r="O238" s="16" t="str">
        <f aca="false">IF(AND(OR(K238="At risk",K238="Late"),L238=""),"Add a reason code",IF(AND(L238="OTH",N238=""),"Explain OTH in notes",IF(AND(K238="Finished",I238&lt;H238,L238=""),"Add a reason code","")))</f>
        <v/>
      </c>
    </row>
    <row r="239" customFormat="false" ht="15" hidden="false" customHeight="false" outlineLevel="0" collapsed="false">
      <c r="A239" s="14"/>
      <c r="B239" s="15"/>
      <c r="C239" s="15"/>
      <c r="D239" s="15"/>
      <c r="E239" s="16" t="str">
        <f aca="false">IF(C239="","",IFERROR(INDEX(Drivers!$B:$B,MATCH(C239,Drivers!$A:$A,0)),"ID not found"))</f>
        <v/>
      </c>
      <c r="F239" s="16" t="str">
        <f aca="false">IF(B239="","",IFERROR(INDEX(Routes!$B:$B,MATCH(B239,Routes!$A:$A,0)),"ID not found"))</f>
        <v/>
      </c>
      <c r="G239" s="16" t="str">
        <f aca="false">IF(OR(B239="",C239="",D239=""),"",IF(OR(ISNA(MATCH(B239,Routes!$A:$A,0)),ISNA(MATCH(C239,Drivers!$A:$A,0)),ISNA(MATCH(D239,Vehicles!$A:$A,0))),"CHECK: ID not found",IF(INDEX(Routes!$C:$C,MATCH(B239,Routes!$A:$A,0))&lt;&gt;INDEX(Vehicles!$B:$B,MATCH(D239,Vehicles!$A:$A,0)),"CHECK: vehicle type does not fit route",IF(INDEX(Routes!$C:$C,MATCH(B239,Routes!$A:$A,0))&lt;&gt;INDEX(Drivers!$D:$D,MATCH(C239,Drivers!$A:$A,0)),"CHECK: driver type does not fit route",IF(OR(INDEX(Vehicles!$E:$E,MATCH(D239,Vehicles!$A:$A,0))="Workshop",INDEX(Vehicles!$E:$E,MATCH(D239,Vehicles!$A:$A,0))="Out of service"),"CHECK: vehicle not available",IF(INDEX(Drivers!$G:$G,MATCH(C239,Drivers!$A:$A,0))&lt;&gt;"Active","CHECK: driver not active",IF(COUNTIFS($A:$A,A239,$C:$C,C239)&gt;1,"CHECK: driver assigned twice",IF(COUNTIFS($A:$A,A239,$D:$D,D239)&gt;1,"CHECK: vehicle assigned twice","OK"))))))))</f>
        <v/>
      </c>
      <c r="H239" s="15"/>
      <c r="I239" s="15"/>
      <c r="J239" s="17" t="str">
        <f aca="false">IF(OR(H239="",H239=0),"",I239/H239)</f>
        <v/>
      </c>
      <c r="K239" s="15"/>
      <c r="L239" s="15"/>
      <c r="M239" s="18"/>
      <c r="N239" s="15"/>
      <c r="O239" s="16" t="str">
        <f aca="false">IF(AND(OR(K239="At risk",K239="Late"),L239=""),"Add a reason code",IF(AND(L239="OTH",N239=""),"Explain OTH in notes",IF(AND(K239="Finished",I239&lt;H239,L239=""),"Add a reason code","")))</f>
        <v/>
      </c>
    </row>
    <row r="240" customFormat="false" ht="15" hidden="false" customHeight="false" outlineLevel="0" collapsed="false">
      <c r="A240" s="14"/>
      <c r="B240" s="15"/>
      <c r="C240" s="15"/>
      <c r="D240" s="15"/>
      <c r="E240" s="16" t="str">
        <f aca="false">IF(C240="","",IFERROR(INDEX(Drivers!$B:$B,MATCH(C240,Drivers!$A:$A,0)),"ID not found"))</f>
        <v/>
      </c>
      <c r="F240" s="16" t="str">
        <f aca="false">IF(B240="","",IFERROR(INDEX(Routes!$B:$B,MATCH(B240,Routes!$A:$A,0)),"ID not found"))</f>
        <v/>
      </c>
      <c r="G240" s="16" t="str">
        <f aca="false">IF(OR(B240="",C240="",D240=""),"",IF(OR(ISNA(MATCH(B240,Routes!$A:$A,0)),ISNA(MATCH(C240,Drivers!$A:$A,0)),ISNA(MATCH(D240,Vehicles!$A:$A,0))),"CHECK: ID not found",IF(INDEX(Routes!$C:$C,MATCH(B240,Routes!$A:$A,0))&lt;&gt;INDEX(Vehicles!$B:$B,MATCH(D240,Vehicles!$A:$A,0)),"CHECK: vehicle type does not fit route",IF(INDEX(Routes!$C:$C,MATCH(B240,Routes!$A:$A,0))&lt;&gt;INDEX(Drivers!$D:$D,MATCH(C240,Drivers!$A:$A,0)),"CHECK: driver type does not fit route",IF(OR(INDEX(Vehicles!$E:$E,MATCH(D240,Vehicles!$A:$A,0))="Workshop",INDEX(Vehicles!$E:$E,MATCH(D240,Vehicles!$A:$A,0))="Out of service"),"CHECK: vehicle not available",IF(INDEX(Drivers!$G:$G,MATCH(C240,Drivers!$A:$A,0))&lt;&gt;"Active","CHECK: driver not active",IF(COUNTIFS($A:$A,A240,$C:$C,C240)&gt;1,"CHECK: driver assigned twice",IF(COUNTIFS($A:$A,A240,$D:$D,D240)&gt;1,"CHECK: vehicle assigned twice","OK"))))))))</f>
        <v/>
      </c>
      <c r="H240" s="15"/>
      <c r="I240" s="15"/>
      <c r="J240" s="17" t="str">
        <f aca="false">IF(OR(H240="",H240=0),"",I240/H240)</f>
        <v/>
      </c>
      <c r="K240" s="15"/>
      <c r="L240" s="15"/>
      <c r="M240" s="18"/>
      <c r="N240" s="15"/>
      <c r="O240" s="16" t="str">
        <f aca="false">IF(AND(OR(K240="At risk",K240="Late"),L240=""),"Add a reason code",IF(AND(L240="OTH",N240=""),"Explain OTH in notes",IF(AND(K240="Finished",I240&lt;H240,L240=""),"Add a reason code","")))</f>
        <v/>
      </c>
    </row>
    <row r="241" customFormat="false" ht="15" hidden="false" customHeight="false" outlineLevel="0" collapsed="false">
      <c r="A241" s="14"/>
      <c r="B241" s="15"/>
      <c r="C241" s="15"/>
      <c r="D241" s="15"/>
      <c r="E241" s="16" t="str">
        <f aca="false">IF(C241="","",IFERROR(INDEX(Drivers!$B:$B,MATCH(C241,Drivers!$A:$A,0)),"ID not found"))</f>
        <v/>
      </c>
      <c r="F241" s="16" t="str">
        <f aca="false">IF(B241="","",IFERROR(INDEX(Routes!$B:$B,MATCH(B241,Routes!$A:$A,0)),"ID not found"))</f>
        <v/>
      </c>
      <c r="G241" s="16" t="str">
        <f aca="false">IF(OR(B241="",C241="",D241=""),"",IF(OR(ISNA(MATCH(B241,Routes!$A:$A,0)),ISNA(MATCH(C241,Drivers!$A:$A,0)),ISNA(MATCH(D241,Vehicles!$A:$A,0))),"CHECK: ID not found",IF(INDEX(Routes!$C:$C,MATCH(B241,Routes!$A:$A,0))&lt;&gt;INDEX(Vehicles!$B:$B,MATCH(D241,Vehicles!$A:$A,0)),"CHECK: vehicle type does not fit route",IF(INDEX(Routes!$C:$C,MATCH(B241,Routes!$A:$A,0))&lt;&gt;INDEX(Drivers!$D:$D,MATCH(C241,Drivers!$A:$A,0)),"CHECK: driver type does not fit route",IF(OR(INDEX(Vehicles!$E:$E,MATCH(D241,Vehicles!$A:$A,0))="Workshop",INDEX(Vehicles!$E:$E,MATCH(D241,Vehicles!$A:$A,0))="Out of service"),"CHECK: vehicle not available",IF(INDEX(Drivers!$G:$G,MATCH(C241,Drivers!$A:$A,0))&lt;&gt;"Active","CHECK: driver not active",IF(COUNTIFS($A:$A,A241,$C:$C,C241)&gt;1,"CHECK: driver assigned twice",IF(COUNTIFS($A:$A,A241,$D:$D,D241)&gt;1,"CHECK: vehicle assigned twice","OK"))))))))</f>
        <v/>
      </c>
      <c r="H241" s="15"/>
      <c r="I241" s="15"/>
      <c r="J241" s="17" t="str">
        <f aca="false">IF(OR(H241="",H241=0),"",I241/H241)</f>
        <v/>
      </c>
      <c r="K241" s="15"/>
      <c r="L241" s="15"/>
      <c r="M241" s="18"/>
      <c r="N241" s="15"/>
      <c r="O241" s="16" t="str">
        <f aca="false">IF(AND(OR(K241="At risk",K241="Late"),L241=""),"Add a reason code",IF(AND(L241="OTH",N241=""),"Explain OTH in notes",IF(AND(K241="Finished",I241&lt;H241,L241=""),"Add a reason code","")))</f>
        <v/>
      </c>
    </row>
    <row r="242" customFormat="false" ht="15" hidden="false" customHeight="false" outlineLevel="0" collapsed="false">
      <c r="A242" s="14"/>
      <c r="B242" s="15"/>
      <c r="C242" s="15"/>
      <c r="D242" s="15"/>
      <c r="E242" s="16" t="str">
        <f aca="false">IF(C242="","",IFERROR(INDEX(Drivers!$B:$B,MATCH(C242,Drivers!$A:$A,0)),"ID not found"))</f>
        <v/>
      </c>
      <c r="F242" s="16" t="str">
        <f aca="false">IF(B242="","",IFERROR(INDEX(Routes!$B:$B,MATCH(B242,Routes!$A:$A,0)),"ID not found"))</f>
        <v/>
      </c>
      <c r="G242" s="16" t="str">
        <f aca="false">IF(OR(B242="",C242="",D242=""),"",IF(OR(ISNA(MATCH(B242,Routes!$A:$A,0)),ISNA(MATCH(C242,Drivers!$A:$A,0)),ISNA(MATCH(D242,Vehicles!$A:$A,0))),"CHECK: ID not found",IF(INDEX(Routes!$C:$C,MATCH(B242,Routes!$A:$A,0))&lt;&gt;INDEX(Vehicles!$B:$B,MATCH(D242,Vehicles!$A:$A,0)),"CHECK: vehicle type does not fit route",IF(INDEX(Routes!$C:$C,MATCH(B242,Routes!$A:$A,0))&lt;&gt;INDEX(Drivers!$D:$D,MATCH(C242,Drivers!$A:$A,0)),"CHECK: driver type does not fit route",IF(OR(INDEX(Vehicles!$E:$E,MATCH(D242,Vehicles!$A:$A,0))="Workshop",INDEX(Vehicles!$E:$E,MATCH(D242,Vehicles!$A:$A,0))="Out of service"),"CHECK: vehicle not available",IF(INDEX(Drivers!$G:$G,MATCH(C242,Drivers!$A:$A,0))&lt;&gt;"Active","CHECK: driver not active",IF(COUNTIFS($A:$A,A242,$C:$C,C242)&gt;1,"CHECK: driver assigned twice",IF(COUNTIFS($A:$A,A242,$D:$D,D242)&gt;1,"CHECK: vehicle assigned twice","OK"))))))))</f>
        <v/>
      </c>
      <c r="H242" s="15"/>
      <c r="I242" s="15"/>
      <c r="J242" s="17" t="str">
        <f aca="false">IF(OR(H242="",H242=0),"",I242/H242)</f>
        <v/>
      </c>
      <c r="K242" s="15"/>
      <c r="L242" s="15"/>
      <c r="M242" s="18"/>
      <c r="N242" s="15"/>
      <c r="O242" s="16" t="str">
        <f aca="false">IF(AND(OR(K242="At risk",K242="Late"),L242=""),"Add a reason code",IF(AND(L242="OTH",N242=""),"Explain OTH in notes",IF(AND(K242="Finished",I242&lt;H242,L242=""),"Add a reason code","")))</f>
        <v/>
      </c>
    </row>
    <row r="243" customFormat="false" ht="15" hidden="false" customHeight="false" outlineLevel="0" collapsed="false">
      <c r="A243" s="14"/>
      <c r="B243" s="15"/>
      <c r="C243" s="15"/>
      <c r="D243" s="15"/>
      <c r="E243" s="16" t="str">
        <f aca="false">IF(C243="","",IFERROR(INDEX(Drivers!$B:$B,MATCH(C243,Drivers!$A:$A,0)),"ID not found"))</f>
        <v/>
      </c>
      <c r="F243" s="16" t="str">
        <f aca="false">IF(B243="","",IFERROR(INDEX(Routes!$B:$B,MATCH(B243,Routes!$A:$A,0)),"ID not found"))</f>
        <v/>
      </c>
      <c r="G243" s="16" t="str">
        <f aca="false">IF(OR(B243="",C243="",D243=""),"",IF(OR(ISNA(MATCH(B243,Routes!$A:$A,0)),ISNA(MATCH(C243,Drivers!$A:$A,0)),ISNA(MATCH(D243,Vehicles!$A:$A,0))),"CHECK: ID not found",IF(INDEX(Routes!$C:$C,MATCH(B243,Routes!$A:$A,0))&lt;&gt;INDEX(Vehicles!$B:$B,MATCH(D243,Vehicles!$A:$A,0)),"CHECK: vehicle type does not fit route",IF(INDEX(Routes!$C:$C,MATCH(B243,Routes!$A:$A,0))&lt;&gt;INDEX(Drivers!$D:$D,MATCH(C243,Drivers!$A:$A,0)),"CHECK: driver type does not fit route",IF(OR(INDEX(Vehicles!$E:$E,MATCH(D243,Vehicles!$A:$A,0))="Workshop",INDEX(Vehicles!$E:$E,MATCH(D243,Vehicles!$A:$A,0))="Out of service"),"CHECK: vehicle not available",IF(INDEX(Drivers!$G:$G,MATCH(C243,Drivers!$A:$A,0))&lt;&gt;"Active","CHECK: driver not active",IF(COUNTIFS($A:$A,A243,$C:$C,C243)&gt;1,"CHECK: driver assigned twice",IF(COUNTIFS($A:$A,A243,$D:$D,D243)&gt;1,"CHECK: vehicle assigned twice","OK"))))))))</f>
        <v/>
      </c>
      <c r="H243" s="15"/>
      <c r="I243" s="15"/>
      <c r="J243" s="17" t="str">
        <f aca="false">IF(OR(H243="",H243=0),"",I243/H243)</f>
        <v/>
      </c>
      <c r="K243" s="15"/>
      <c r="L243" s="15"/>
      <c r="M243" s="18"/>
      <c r="N243" s="15"/>
      <c r="O243" s="16" t="str">
        <f aca="false">IF(AND(OR(K243="At risk",K243="Late"),L243=""),"Add a reason code",IF(AND(L243="OTH",N243=""),"Explain OTH in notes",IF(AND(K243="Finished",I243&lt;H243,L243=""),"Add a reason code","")))</f>
        <v/>
      </c>
    </row>
    <row r="244" customFormat="false" ht="15" hidden="false" customHeight="false" outlineLevel="0" collapsed="false">
      <c r="A244" s="14"/>
      <c r="B244" s="15"/>
      <c r="C244" s="15"/>
      <c r="D244" s="15"/>
      <c r="E244" s="16" t="str">
        <f aca="false">IF(C244="","",IFERROR(INDEX(Drivers!$B:$B,MATCH(C244,Drivers!$A:$A,0)),"ID not found"))</f>
        <v/>
      </c>
      <c r="F244" s="16" t="str">
        <f aca="false">IF(B244="","",IFERROR(INDEX(Routes!$B:$B,MATCH(B244,Routes!$A:$A,0)),"ID not found"))</f>
        <v/>
      </c>
      <c r="G244" s="16" t="str">
        <f aca="false">IF(OR(B244="",C244="",D244=""),"",IF(OR(ISNA(MATCH(B244,Routes!$A:$A,0)),ISNA(MATCH(C244,Drivers!$A:$A,0)),ISNA(MATCH(D244,Vehicles!$A:$A,0))),"CHECK: ID not found",IF(INDEX(Routes!$C:$C,MATCH(B244,Routes!$A:$A,0))&lt;&gt;INDEX(Vehicles!$B:$B,MATCH(D244,Vehicles!$A:$A,0)),"CHECK: vehicle type does not fit route",IF(INDEX(Routes!$C:$C,MATCH(B244,Routes!$A:$A,0))&lt;&gt;INDEX(Drivers!$D:$D,MATCH(C244,Drivers!$A:$A,0)),"CHECK: driver type does not fit route",IF(OR(INDEX(Vehicles!$E:$E,MATCH(D244,Vehicles!$A:$A,0))="Workshop",INDEX(Vehicles!$E:$E,MATCH(D244,Vehicles!$A:$A,0))="Out of service"),"CHECK: vehicle not available",IF(INDEX(Drivers!$G:$G,MATCH(C244,Drivers!$A:$A,0))&lt;&gt;"Active","CHECK: driver not active",IF(COUNTIFS($A:$A,A244,$C:$C,C244)&gt;1,"CHECK: driver assigned twice",IF(COUNTIFS($A:$A,A244,$D:$D,D244)&gt;1,"CHECK: vehicle assigned twice","OK"))))))))</f>
        <v/>
      </c>
      <c r="H244" s="15"/>
      <c r="I244" s="15"/>
      <c r="J244" s="17" t="str">
        <f aca="false">IF(OR(H244="",H244=0),"",I244/H244)</f>
        <v/>
      </c>
      <c r="K244" s="15"/>
      <c r="L244" s="15"/>
      <c r="M244" s="18"/>
      <c r="N244" s="15"/>
      <c r="O244" s="16" t="str">
        <f aca="false">IF(AND(OR(K244="At risk",K244="Late"),L244=""),"Add a reason code",IF(AND(L244="OTH",N244=""),"Explain OTH in notes",IF(AND(K244="Finished",I244&lt;H244,L244=""),"Add a reason code","")))</f>
        <v/>
      </c>
    </row>
    <row r="245" customFormat="false" ht="15" hidden="false" customHeight="false" outlineLevel="0" collapsed="false">
      <c r="A245" s="14"/>
      <c r="B245" s="15"/>
      <c r="C245" s="15"/>
      <c r="D245" s="15"/>
      <c r="E245" s="16" t="str">
        <f aca="false">IF(C245="","",IFERROR(INDEX(Drivers!$B:$B,MATCH(C245,Drivers!$A:$A,0)),"ID not found"))</f>
        <v/>
      </c>
      <c r="F245" s="16" t="str">
        <f aca="false">IF(B245="","",IFERROR(INDEX(Routes!$B:$B,MATCH(B245,Routes!$A:$A,0)),"ID not found"))</f>
        <v/>
      </c>
      <c r="G245" s="16" t="str">
        <f aca="false">IF(OR(B245="",C245="",D245=""),"",IF(OR(ISNA(MATCH(B245,Routes!$A:$A,0)),ISNA(MATCH(C245,Drivers!$A:$A,0)),ISNA(MATCH(D245,Vehicles!$A:$A,0))),"CHECK: ID not found",IF(INDEX(Routes!$C:$C,MATCH(B245,Routes!$A:$A,0))&lt;&gt;INDEX(Vehicles!$B:$B,MATCH(D245,Vehicles!$A:$A,0)),"CHECK: vehicle type does not fit route",IF(INDEX(Routes!$C:$C,MATCH(B245,Routes!$A:$A,0))&lt;&gt;INDEX(Drivers!$D:$D,MATCH(C245,Drivers!$A:$A,0)),"CHECK: driver type does not fit route",IF(OR(INDEX(Vehicles!$E:$E,MATCH(D245,Vehicles!$A:$A,0))="Workshop",INDEX(Vehicles!$E:$E,MATCH(D245,Vehicles!$A:$A,0))="Out of service"),"CHECK: vehicle not available",IF(INDEX(Drivers!$G:$G,MATCH(C245,Drivers!$A:$A,0))&lt;&gt;"Active","CHECK: driver not active",IF(COUNTIFS($A:$A,A245,$C:$C,C245)&gt;1,"CHECK: driver assigned twice",IF(COUNTIFS($A:$A,A245,$D:$D,D245)&gt;1,"CHECK: vehicle assigned twice","OK"))))))))</f>
        <v/>
      </c>
      <c r="H245" s="15"/>
      <c r="I245" s="15"/>
      <c r="J245" s="17" t="str">
        <f aca="false">IF(OR(H245="",H245=0),"",I245/H245)</f>
        <v/>
      </c>
      <c r="K245" s="15"/>
      <c r="L245" s="15"/>
      <c r="M245" s="18"/>
      <c r="N245" s="15"/>
      <c r="O245" s="16" t="str">
        <f aca="false">IF(AND(OR(K245="At risk",K245="Late"),L245=""),"Add a reason code",IF(AND(L245="OTH",N245=""),"Explain OTH in notes",IF(AND(K245="Finished",I245&lt;H245,L245=""),"Add a reason code","")))</f>
        <v/>
      </c>
    </row>
    <row r="246" customFormat="false" ht="15" hidden="false" customHeight="false" outlineLevel="0" collapsed="false">
      <c r="A246" s="14"/>
      <c r="B246" s="15"/>
      <c r="C246" s="15"/>
      <c r="D246" s="15"/>
      <c r="E246" s="16" t="str">
        <f aca="false">IF(C246="","",IFERROR(INDEX(Drivers!$B:$B,MATCH(C246,Drivers!$A:$A,0)),"ID not found"))</f>
        <v/>
      </c>
      <c r="F246" s="16" t="str">
        <f aca="false">IF(B246="","",IFERROR(INDEX(Routes!$B:$B,MATCH(B246,Routes!$A:$A,0)),"ID not found"))</f>
        <v/>
      </c>
      <c r="G246" s="16" t="str">
        <f aca="false">IF(OR(B246="",C246="",D246=""),"",IF(OR(ISNA(MATCH(B246,Routes!$A:$A,0)),ISNA(MATCH(C246,Drivers!$A:$A,0)),ISNA(MATCH(D246,Vehicles!$A:$A,0))),"CHECK: ID not found",IF(INDEX(Routes!$C:$C,MATCH(B246,Routes!$A:$A,0))&lt;&gt;INDEX(Vehicles!$B:$B,MATCH(D246,Vehicles!$A:$A,0)),"CHECK: vehicle type does not fit route",IF(INDEX(Routes!$C:$C,MATCH(B246,Routes!$A:$A,0))&lt;&gt;INDEX(Drivers!$D:$D,MATCH(C246,Drivers!$A:$A,0)),"CHECK: driver type does not fit route",IF(OR(INDEX(Vehicles!$E:$E,MATCH(D246,Vehicles!$A:$A,0))="Workshop",INDEX(Vehicles!$E:$E,MATCH(D246,Vehicles!$A:$A,0))="Out of service"),"CHECK: vehicle not available",IF(INDEX(Drivers!$G:$G,MATCH(C246,Drivers!$A:$A,0))&lt;&gt;"Active","CHECK: driver not active",IF(COUNTIFS($A:$A,A246,$C:$C,C246)&gt;1,"CHECK: driver assigned twice",IF(COUNTIFS($A:$A,A246,$D:$D,D246)&gt;1,"CHECK: vehicle assigned twice","OK"))))))))</f>
        <v/>
      </c>
      <c r="H246" s="15"/>
      <c r="I246" s="15"/>
      <c r="J246" s="17" t="str">
        <f aca="false">IF(OR(H246="",H246=0),"",I246/H246)</f>
        <v/>
      </c>
      <c r="K246" s="15"/>
      <c r="L246" s="15"/>
      <c r="M246" s="18"/>
      <c r="N246" s="15"/>
      <c r="O246" s="16" t="str">
        <f aca="false">IF(AND(OR(K246="At risk",K246="Late"),L246=""),"Add a reason code",IF(AND(L246="OTH",N246=""),"Explain OTH in notes",IF(AND(K246="Finished",I246&lt;H246,L246=""),"Add a reason code","")))</f>
        <v/>
      </c>
    </row>
    <row r="247" customFormat="false" ht="15" hidden="false" customHeight="false" outlineLevel="0" collapsed="false">
      <c r="A247" s="14"/>
      <c r="B247" s="15"/>
      <c r="C247" s="15"/>
      <c r="D247" s="15"/>
      <c r="E247" s="16" t="str">
        <f aca="false">IF(C247="","",IFERROR(INDEX(Drivers!$B:$B,MATCH(C247,Drivers!$A:$A,0)),"ID not found"))</f>
        <v/>
      </c>
      <c r="F247" s="16" t="str">
        <f aca="false">IF(B247="","",IFERROR(INDEX(Routes!$B:$B,MATCH(B247,Routes!$A:$A,0)),"ID not found"))</f>
        <v/>
      </c>
      <c r="G247" s="16" t="str">
        <f aca="false">IF(OR(B247="",C247="",D247=""),"",IF(OR(ISNA(MATCH(B247,Routes!$A:$A,0)),ISNA(MATCH(C247,Drivers!$A:$A,0)),ISNA(MATCH(D247,Vehicles!$A:$A,0))),"CHECK: ID not found",IF(INDEX(Routes!$C:$C,MATCH(B247,Routes!$A:$A,0))&lt;&gt;INDEX(Vehicles!$B:$B,MATCH(D247,Vehicles!$A:$A,0)),"CHECK: vehicle type does not fit route",IF(INDEX(Routes!$C:$C,MATCH(B247,Routes!$A:$A,0))&lt;&gt;INDEX(Drivers!$D:$D,MATCH(C247,Drivers!$A:$A,0)),"CHECK: driver type does not fit route",IF(OR(INDEX(Vehicles!$E:$E,MATCH(D247,Vehicles!$A:$A,0))="Workshop",INDEX(Vehicles!$E:$E,MATCH(D247,Vehicles!$A:$A,0))="Out of service"),"CHECK: vehicle not available",IF(INDEX(Drivers!$G:$G,MATCH(C247,Drivers!$A:$A,0))&lt;&gt;"Active","CHECK: driver not active",IF(COUNTIFS($A:$A,A247,$C:$C,C247)&gt;1,"CHECK: driver assigned twice",IF(COUNTIFS($A:$A,A247,$D:$D,D247)&gt;1,"CHECK: vehicle assigned twice","OK"))))))))</f>
        <v/>
      </c>
      <c r="H247" s="15"/>
      <c r="I247" s="15"/>
      <c r="J247" s="17" t="str">
        <f aca="false">IF(OR(H247="",H247=0),"",I247/H247)</f>
        <v/>
      </c>
      <c r="K247" s="15"/>
      <c r="L247" s="15"/>
      <c r="M247" s="18"/>
      <c r="N247" s="15"/>
      <c r="O247" s="16" t="str">
        <f aca="false">IF(AND(OR(K247="At risk",K247="Late"),L247=""),"Add a reason code",IF(AND(L247="OTH",N247=""),"Explain OTH in notes",IF(AND(K247="Finished",I247&lt;H247,L247=""),"Add a reason code","")))</f>
        <v/>
      </c>
    </row>
    <row r="248" customFormat="false" ht="15" hidden="false" customHeight="false" outlineLevel="0" collapsed="false">
      <c r="A248" s="14"/>
      <c r="B248" s="15"/>
      <c r="C248" s="15"/>
      <c r="D248" s="15"/>
      <c r="E248" s="16" t="str">
        <f aca="false">IF(C248="","",IFERROR(INDEX(Drivers!$B:$B,MATCH(C248,Drivers!$A:$A,0)),"ID not found"))</f>
        <v/>
      </c>
      <c r="F248" s="16" t="str">
        <f aca="false">IF(B248="","",IFERROR(INDEX(Routes!$B:$B,MATCH(B248,Routes!$A:$A,0)),"ID not found"))</f>
        <v/>
      </c>
      <c r="G248" s="16" t="str">
        <f aca="false">IF(OR(B248="",C248="",D248=""),"",IF(OR(ISNA(MATCH(B248,Routes!$A:$A,0)),ISNA(MATCH(C248,Drivers!$A:$A,0)),ISNA(MATCH(D248,Vehicles!$A:$A,0))),"CHECK: ID not found",IF(INDEX(Routes!$C:$C,MATCH(B248,Routes!$A:$A,0))&lt;&gt;INDEX(Vehicles!$B:$B,MATCH(D248,Vehicles!$A:$A,0)),"CHECK: vehicle type does not fit route",IF(INDEX(Routes!$C:$C,MATCH(B248,Routes!$A:$A,0))&lt;&gt;INDEX(Drivers!$D:$D,MATCH(C248,Drivers!$A:$A,0)),"CHECK: driver type does not fit route",IF(OR(INDEX(Vehicles!$E:$E,MATCH(D248,Vehicles!$A:$A,0))="Workshop",INDEX(Vehicles!$E:$E,MATCH(D248,Vehicles!$A:$A,0))="Out of service"),"CHECK: vehicle not available",IF(INDEX(Drivers!$G:$G,MATCH(C248,Drivers!$A:$A,0))&lt;&gt;"Active","CHECK: driver not active",IF(COUNTIFS($A:$A,A248,$C:$C,C248)&gt;1,"CHECK: driver assigned twice",IF(COUNTIFS($A:$A,A248,$D:$D,D248)&gt;1,"CHECK: vehicle assigned twice","OK"))))))))</f>
        <v/>
      </c>
      <c r="H248" s="15"/>
      <c r="I248" s="15"/>
      <c r="J248" s="17" t="str">
        <f aca="false">IF(OR(H248="",H248=0),"",I248/H248)</f>
        <v/>
      </c>
      <c r="K248" s="15"/>
      <c r="L248" s="15"/>
      <c r="M248" s="18"/>
      <c r="N248" s="15"/>
      <c r="O248" s="16" t="str">
        <f aca="false">IF(AND(OR(K248="At risk",K248="Late"),L248=""),"Add a reason code",IF(AND(L248="OTH",N248=""),"Explain OTH in notes",IF(AND(K248="Finished",I248&lt;H248,L248=""),"Add a reason code","")))</f>
        <v/>
      </c>
    </row>
    <row r="249" customFormat="false" ht="15" hidden="false" customHeight="false" outlineLevel="0" collapsed="false">
      <c r="A249" s="14"/>
      <c r="B249" s="15"/>
      <c r="C249" s="15"/>
      <c r="D249" s="15"/>
      <c r="E249" s="16" t="str">
        <f aca="false">IF(C249="","",IFERROR(INDEX(Drivers!$B:$B,MATCH(C249,Drivers!$A:$A,0)),"ID not found"))</f>
        <v/>
      </c>
      <c r="F249" s="16" t="str">
        <f aca="false">IF(B249="","",IFERROR(INDEX(Routes!$B:$B,MATCH(B249,Routes!$A:$A,0)),"ID not found"))</f>
        <v/>
      </c>
      <c r="G249" s="16" t="str">
        <f aca="false">IF(OR(B249="",C249="",D249=""),"",IF(OR(ISNA(MATCH(B249,Routes!$A:$A,0)),ISNA(MATCH(C249,Drivers!$A:$A,0)),ISNA(MATCH(D249,Vehicles!$A:$A,0))),"CHECK: ID not found",IF(INDEX(Routes!$C:$C,MATCH(B249,Routes!$A:$A,0))&lt;&gt;INDEX(Vehicles!$B:$B,MATCH(D249,Vehicles!$A:$A,0)),"CHECK: vehicle type does not fit route",IF(INDEX(Routes!$C:$C,MATCH(B249,Routes!$A:$A,0))&lt;&gt;INDEX(Drivers!$D:$D,MATCH(C249,Drivers!$A:$A,0)),"CHECK: driver type does not fit route",IF(OR(INDEX(Vehicles!$E:$E,MATCH(D249,Vehicles!$A:$A,0))="Workshop",INDEX(Vehicles!$E:$E,MATCH(D249,Vehicles!$A:$A,0))="Out of service"),"CHECK: vehicle not available",IF(INDEX(Drivers!$G:$G,MATCH(C249,Drivers!$A:$A,0))&lt;&gt;"Active","CHECK: driver not active",IF(COUNTIFS($A:$A,A249,$C:$C,C249)&gt;1,"CHECK: driver assigned twice",IF(COUNTIFS($A:$A,A249,$D:$D,D249)&gt;1,"CHECK: vehicle assigned twice","OK"))))))))</f>
        <v/>
      </c>
      <c r="H249" s="15"/>
      <c r="I249" s="15"/>
      <c r="J249" s="17" t="str">
        <f aca="false">IF(OR(H249="",H249=0),"",I249/H249)</f>
        <v/>
      </c>
      <c r="K249" s="15"/>
      <c r="L249" s="15"/>
      <c r="M249" s="18"/>
      <c r="N249" s="15"/>
      <c r="O249" s="16" t="str">
        <f aca="false">IF(AND(OR(K249="At risk",K249="Late"),L249=""),"Add a reason code",IF(AND(L249="OTH",N249=""),"Explain OTH in notes",IF(AND(K249="Finished",I249&lt;H249,L249=""),"Add a reason code","")))</f>
        <v/>
      </c>
    </row>
    <row r="250" customFormat="false" ht="15" hidden="false" customHeight="false" outlineLevel="0" collapsed="false">
      <c r="A250" s="14"/>
      <c r="B250" s="15"/>
      <c r="C250" s="15"/>
      <c r="D250" s="15"/>
      <c r="E250" s="16" t="str">
        <f aca="false">IF(C250="","",IFERROR(INDEX(Drivers!$B:$B,MATCH(C250,Drivers!$A:$A,0)),"ID not found"))</f>
        <v/>
      </c>
      <c r="F250" s="16" t="str">
        <f aca="false">IF(B250="","",IFERROR(INDEX(Routes!$B:$B,MATCH(B250,Routes!$A:$A,0)),"ID not found"))</f>
        <v/>
      </c>
      <c r="G250" s="16" t="str">
        <f aca="false">IF(OR(B250="",C250="",D250=""),"",IF(OR(ISNA(MATCH(B250,Routes!$A:$A,0)),ISNA(MATCH(C250,Drivers!$A:$A,0)),ISNA(MATCH(D250,Vehicles!$A:$A,0))),"CHECK: ID not found",IF(INDEX(Routes!$C:$C,MATCH(B250,Routes!$A:$A,0))&lt;&gt;INDEX(Vehicles!$B:$B,MATCH(D250,Vehicles!$A:$A,0)),"CHECK: vehicle type does not fit route",IF(INDEX(Routes!$C:$C,MATCH(B250,Routes!$A:$A,0))&lt;&gt;INDEX(Drivers!$D:$D,MATCH(C250,Drivers!$A:$A,0)),"CHECK: driver type does not fit route",IF(OR(INDEX(Vehicles!$E:$E,MATCH(D250,Vehicles!$A:$A,0))="Workshop",INDEX(Vehicles!$E:$E,MATCH(D250,Vehicles!$A:$A,0))="Out of service"),"CHECK: vehicle not available",IF(INDEX(Drivers!$G:$G,MATCH(C250,Drivers!$A:$A,0))&lt;&gt;"Active","CHECK: driver not active",IF(COUNTIFS($A:$A,A250,$C:$C,C250)&gt;1,"CHECK: driver assigned twice",IF(COUNTIFS($A:$A,A250,$D:$D,D250)&gt;1,"CHECK: vehicle assigned twice","OK"))))))))</f>
        <v/>
      </c>
      <c r="H250" s="15"/>
      <c r="I250" s="15"/>
      <c r="J250" s="17" t="str">
        <f aca="false">IF(OR(H250="",H250=0),"",I250/H250)</f>
        <v/>
      </c>
      <c r="K250" s="15"/>
      <c r="L250" s="15"/>
      <c r="M250" s="18"/>
      <c r="N250" s="15"/>
      <c r="O250" s="16" t="str">
        <f aca="false">IF(AND(OR(K250="At risk",K250="Late"),L250=""),"Add a reason code",IF(AND(L250="OTH",N250=""),"Explain OTH in notes",IF(AND(K250="Finished",I250&lt;H250,L250=""),"Add a reason code","")))</f>
        <v/>
      </c>
    </row>
    <row r="251" customFormat="false" ht="15" hidden="false" customHeight="false" outlineLevel="0" collapsed="false">
      <c r="A251" s="14"/>
      <c r="B251" s="15"/>
      <c r="C251" s="15"/>
      <c r="D251" s="15"/>
      <c r="E251" s="16" t="str">
        <f aca="false">IF(C251="","",IFERROR(INDEX(Drivers!$B:$B,MATCH(C251,Drivers!$A:$A,0)),"ID not found"))</f>
        <v/>
      </c>
      <c r="F251" s="16" t="str">
        <f aca="false">IF(B251="","",IFERROR(INDEX(Routes!$B:$B,MATCH(B251,Routes!$A:$A,0)),"ID not found"))</f>
        <v/>
      </c>
      <c r="G251" s="16" t="str">
        <f aca="false">IF(OR(B251="",C251="",D251=""),"",IF(OR(ISNA(MATCH(B251,Routes!$A:$A,0)),ISNA(MATCH(C251,Drivers!$A:$A,0)),ISNA(MATCH(D251,Vehicles!$A:$A,0))),"CHECK: ID not found",IF(INDEX(Routes!$C:$C,MATCH(B251,Routes!$A:$A,0))&lt;&gt;INDEX(Vehicles!$B:$B,MATCH(D251,Vehicles!$A:$A,0)),"CHECK: vehicle type does not fit route",IF(INDEX(Routes!$C:$C,MATCH(B251,Routes!$A:$A,0))&lt;&gt;INDEX(Drivers!$D:$D,MATCH(C251,Drivers!$A:$A,0)),"CHECK: driver type does not fit route",IF(OR(INDEX(Vehicles!$E:$E,MATCH(D251,Vehicles!$A:$A,0))="Workshop",INDEX(Vehicles!$E:$E,MATCH(D251,Vehicles!$A:$A,0))="Out of service"),"CHECK: vehicle not available",IF(INDEX(Drivers!$G:$G,MATCH(C251,Drivers!$A:$A,0))&lt;&gt;"Active","CHECK: driver not active",IF(COUNTIFS($A:$A,A251,$C:$C,C251)&gt;1,"CHECK: driver assigned twice",IF(COUNTIFS($A:$A,A251,$D:$D,D251)&gt;1,"CHECK: vehicle assigned twice","OK"))))))))</f>
        <v/>
      </c>
      <c r="H251" s="15"/>
      <c r="I251" s="15"/>
      <c r="J251" s="17" t="str">
        <f aca="false">IF(OR(H251="",H251=0),"",I251/H251)</f>
        <v/>
      </c>
      <c r="K251" s="15"/>
      <c r="L251" s="15"/>
      <c r="M251" s="18"/>
      <c r="N251" s="15"/>
      <c r="O251" s="16" t="str">
        <f aca="false">IF(AND(OR(K251="At risk",K251="Late"),L251=""),"Add a reason code",IF(AND(L251="OTH",N251=""),"Explain OTH in notes",IF(AND(K251="Finished",I251&lt;H251,L251=""),"Add a reason code","")))</f>
        <v/>
      </c>
    </row>
    <row r="252" customFormat="false" ht="15" hidden="false" customHeight="false" outlineLevel="0" collapsed="false">
      <c r="A252" s="14"/>
      <c r="B252" s="15"/>
      <c r="C252" s="15"/>
      <c r="D252" s="15"/>
      <c r="E252" s="16" t="str">
        <f aca="false">IF(C252="","",IFERROR(INDEX(Drivers!$B:$B,MATCH(C252,Drivers!$A:$A,0)),"ID not found"))</f>
        <v/>
      </c>
      <c r="F252" s="16" t="str">
        <f aca="false">IF(B252="","",IFERROR(INDEX(Routes!$B:$B,MATCH(B252,Routes!$A:$A,0)),"ID not found"))</f>
        <v/>
      </c>
      <c r="G252" s="16" t="str">
        <f aca="false">IF(OR(B252="",C252="",D252=""),"",IF(OR(ISNA(MATCH(B252,Routes!$A:$A,0)),ISNA(MATCH(C252,Drivers!$A:$A,0)),ISNA(MATCH(D252,Vehicles!$A:$A,0))),"CHECK: ID not found",IF(INDEX(Routes!$C:$C,MATCH(B252,Routes!$A:$A,0))&lt;&gt;INDEX(Vehicles!$B:$B,MATCH(D252,Vehicles!$A:$A,0)),"CHECK: vehicle type does not fit route",IF(INDEX(Routes!$C:$C,MATCH(B252,Routes!$A:$A,0))&lt;&gt;INDEX(Drivers!$D:$D,MATCH(C252,Drivers!$A:$A,0)),"CHECK: driver type does not fit route",IF(OR(INDEX(Vehicles!$E:$E,MATCH(D252,Vehicles!$A:$A,0))="Workshop",INDEX(Vehicles!$E:$E,MATCH(D252,Vehicles!$A:$A,0))="Out of service"),"CHECK: vehicle not available",IF(INDEX(Drivers!$G:$G,MATCH(C252,Drivers!$A:$A,0))&lt;&gt;"Active","CHECK: driver not active",IF(COUNTIFS($A:$A,A252,$C:$C,C252)&gt;1,"CHECK: driver assigned twice",IF(COUNTIFS($A:$A,A252,$D:$D,D252)&gt;1,"CHECK: vehicle assigned twice","OK"))))))))</f>
        <v/>
      </c>
      <c r="H252" s="15"/>
      <c r="I252" s="15"/>
      <c r="J252" s="17" t="str">
        <f aca="false">IF(OR(H252="",H252=0),"",I252/H252)</f>
        <v/>
      </c>
      <c r="K252" s="15"/>
      <c r="L252" s="15"/>
      <c r="M252" s="18"/>
      <c r="N252" s="15"/>
      <c r="O252" s="16" t="str">
        <f aca="false">IF(AND(OR(K252="At risk",K252="Late"),L252=""),"Add a reason code",IF(AND(L252="OTH",N252=""),"Explain OTH in notes",IF(AND(K252="Finished",I252&lt;H252,L252=""),"Add a reason code","")))</f>
        <v/>
      </c>
    </row>
    <row r="253" customFormat="false" ht="15" hidden="false" customHeight="false" outlineLevel="0" collapsed="false">
      <c r="A253" s="14"/>
      <c r="B253" s="15"/>
      <c r="C253" s="15"/>
      <c r="D253" s="15"/>
      <c r="E253" s="16" t="str">
        <f aca="false">IF(C253="","",IFERROR(INDEX(Drivers!$B:$B,MATCH(C253,Drivers!$A:$A,0)),"ID not found"))</f>
        <v/>
      </c>
      <c r="F253" s="16" t="str">
        <f aca="false">IF(B253="","",IFERROR(INDEX(Routes!$B:$B,MATCH(B253,Routes!$A:$A,0)),"ID not found"))</f>
        <v/>
      </c>
      <c r="G253" s="16" t="str">
        <f aca="false">IF(OR(B253="",C253="",D253=""),"",IF(OR(ISNA(MATCH(B253,Routes!$A:$A,0)),ISNA(MATCH(C253,Drivers!$A:$A,0)),ISNA(MATCH(D253,Vehicles!$A:$A,0))),"CHECK: ID not found",IF(INDEX(Routes!$C:$C,MATCH(B253,Routes!$A:$A,0))&lt;&gt;INDEX(Vehicles!$B:$B,MATCH(D253,Vehicles!$A:$A,0)),"CHECK: vehicle type does not fit route",IF(INDEX(Routes!$C:$C,MATCH(B253,Routes!$A:$A,0))&lt;&gt;INDEX(Drivers!$D:$D,MATCH(C253,Drivers!$A:$A,0)),"CHECK: driver type does not fit route",IF(OR(INDEX(Vehicles!$E:$E,MATCH(D253,Vehicles!$A:$A,0))="Workshop",INDEX(Vehicles!$E:$E,MATCH(D253,Vehicles!$A:$A,0))="Out of service"),"CHECK: vehicle not available",IF(INDEX(Drivers!$G:$G,MATCH(C253,Drivers!$A:$A,0))&lt;&gt;"Active","CHECK: driver not active",IF(COUNTIFS($A:$A,A253,$C:$C,C253)&gt;1,"CHECK: driver assigned twice",IF(COUNTIFS($A:$A,A253,$D:$D,D253)&gt;1,"CHECK: vehicle assigned twice","OK"))))))))</f>
        <v/>
      </c>
      <c r="H253" s="15"/>
      <c r="I253" s="15"/>
      <c r="J253" s="17" t="str">
        <f aca="false">IF(OR(H253="",H253=0),"",I253/H253)</f>
        <v/>
      </c>
      <c r="K253" s="15"/>
      <c r="L253" s="15"/>
      <c r="M253" s="18"/>
      <c r="N253" s="15"/>
      <c r="O253" s="16" t="str">
        <f aca="false">IF(AND(OR(K253="At risk",K253="Late"),L253=""),"Add a reason code",IF(AND(L253="OTH",N253=""),"Explain OTH in notes",IF(AND(K253="Finished",I253&lt;H253,L253=""),"Add a reason code","")))</f>
        <v/>
      </c>
    </row>
    <row r="254" customFormat="false" ht="15" hidden="false" customHeight="false" outlineLevel="0" collapsed="false">
      <c r="A254" s="14"/>
      <c r="B254" s="15"/>
      <c r="C254" s="15"/>
      <c r="D254" s="15"/>
      <c r="E254" s="16" t="str">
        <f aca="false">IF(C254="","",IFERROR(INDEX(Drivers!$B:$B,MATCH(C254,Drivers!$A:$A,0)),"ID not found"))</f>
        <v/>
      </c>
      <c r="F254" s="16" t="str">
        <f aca="false">IF(B254="","",IFERROR(INDEX(Routes!$B:$B,MATCH(B254,Routes!$A:$A,0)),"ID not found"))</f>
        <v/>
      </c>
      <c r="G254" s="16" t="str">
        <f aca="false">IF(OR(B254="",C254="",D254=""),"",IF(OR(ISNA(MATCH(B254,Routes!$A:$A,0)),ISNA(MATCH(C254,Drivers!$A:$A,0)),ISNA(MATCH(D254,Vehicles!$A:$A,0))),"CHECK: ID not found",IF(INDEX(Routes!$C:$C,MATCH(B254,Routes!$A:$A,0))&lt;&gt;INDEX(Vehicles!$B:$B,MATCH(D254,Vehicles!$A:$A,0)),"CHECK: vehicle type does not fit route",IF(INDEX(Routes!$C:$C,MATCH(B254,Routes!$A:$A,0))&lt;&gt;INDEX(Drivers!$D:$D,MATCH(C254,Drivers!$A:$A,0)),"CHECK: driver type does not fit route",IF(OR(INDEX(Vehicles!$E:$E,MATCH(D254,Vehicles!$A:$A,0))="Workshop",INDEX(Vehicles!$E:$E,MATCH(D254,Vehicles!$A:$A,0))="Out of service"),"CHECK: vehicle not available",IF(INDEX(Drivers!$G:$G,MATCH(C254,Drivers!$A:$A,0))&lt;&gt;"Active","CHECK: driver not active",IF(COUNTIFS($A:$A,A254,$C:$C,C254)&gt;1,"CHECK: driver assigned twice",IF(COUNTIFS($A:$A,A254,$D:$D,D254)&gt;1,"CHECK: vehicle assigned twice","OK"))))))))</f>
        <v/>
      </c>
      <c r="H254" s="15"/>
      <c r="I254" s="15"/>
      <c r="J254" s="17" t="str">
        <f aca="false">IF(OR(H254="",H254=0),"",I254/H254)</f>
        <v/>
      </c>
      <c r="K254" s="15"/>
      <c r="L254" s="15"/>
      <c r="M254" s="18"/>
      <c r="N254" s="15"/>
      <c r="O254" s="16" t="str">
        <f aca="false">IF(AND(OR(K254="At risk",K254="Late"),L254=""),"Add a reason code",IF(AND(L254="OTH",N254=""),"Explain OTH in notes",IF(AND(K254="Finished",I254&lt;H254,L254=""),"Add a reason code","")))</f>
        <v/>
      </c>
    </row>
    <row r="255" customFormat="false" ht="15" hidden="false" customHeight="false" outlineLevel="0" collapsed="false">
      <c r="A255" s="14"/>
      <c r="B255" s="15"/>
      <c r="C255" s="15"/>
      <c r="D255" s="15"/>
      <c r="E255" s="16" t="str">
        <f aca="false">IF(C255="","",IFERROR(INDEX(Drivers!$B:$B,MATCH(C255,Drivers!$A:$A,0)),"ID not found"))</f>
        <v/>
      </c>
      <c r="F255" s="16" t="str">
        <f aca="false">IF(B255="","",IFERROR(INDEX(Routes!$B:$B,MATCH(B255,Routes!$A:$A,0)),"ID not found"))</f>
        <v/>
      </c>
      <c r="G255" s="16" t="str">
        <f aca="false">IF(OR(B255="",C255="",D255=""),"",IF(OR(ISNA(MATCH(B255,Routes!$A:$A,0)),ISNA(MATCH(C255,Drivers!$A:$A,0)),ISNA(MATCH(D255,Vehicles!$A:$A,0))),"CHECK: ID not found",IF(INDEX(Routes!$C:$C,MATCH(B255,Routes!$A:$A,0))&lt;&gt;INDEX(Vehicles!$B:$B,MATCH(D255,Vehicles!$A:$A,0)),"CHECK: vehicle type does not fit route",IF(INDEX(Routes!$C:$C,MATCH(B255,Routes!$A:$A,0))&lt;&gt;INDEX(Drivers!$D:$D,MATCH(C255,Drivers!$A:$A,0)),"CHECK: driver type does not fit route",IF(OR(INDEX(Vehicles!$E:$E,MATCH(D255,Vehicles!$A:$A,0))="Workshop",INDEX(Vehicles!$E:$E,MATCH(D255,Vehicles!$A:$A,0))="Out of service"),"CHECK: vehicle not available",IF(INDEX(Drivers!$G:$G,MATCH(C255,Drivers!$A:$A,0))&lt;&gt;"Active","CHECK: driver not active",IF(COUNTIFS($A:$A,A255,$C:$C,C255)&gt;1,"CHECK: driver assigned twice",IF(COUNTIFS($A:$A,A255,$D:$D,D255)&gt;1,"CHECK: vehicle assigned twice","OK"))))))))</f>
        <v/>
      </c>
      <c r="H255" s="15"/>
      <c r="I255" s="15"/>
      <c r="J255" s="17" t="str">
        <f aca="false">IF(OR(H255="",H255=0),"",I255/H255)</f>
        <v/>
      </c>
      <c r="K255" s="15"/>
      <c r="L255" s="15"/>
      <c r="M255" s="18"/>
      <c r="N255" s="15"/>
      <c r="O255" s="16" t="str">
        <f aca="false">IF(AND(OR(K255="At risk",K255="Late"),L255=""),"Add a reason code",IF(AND(L255="OTH",N255=""),"Explain OTH in notes",IF(AND(K255="Finished",I255&lt;H255,L255=""),"Add a reason code","")))</f>
        <v/>
      </c>
    </row>
    <row r="256" customFormat="false" ht="15" hidden="false" customHeight="false" outlineLevel="0" collapsed="false">
      <c r="A256" s="14"/>
      <c r="B256" s="15"/>
      <c r="C256" s="15"/>
      <c r="D256" s="15"/>
      <c r="E256" s="16" t="str">
        <f aca="false">IF(C256="","",IFERROR(INDEX(Drivers!$B:$B,MATCH(C256,Drivers!$A:$A,0)),"ID not found"))</f>
        <v/>
      </c>
      <c r="F256" s="16" t="str">
        <f aca="false">IF(B256="","",IFERROR(INDEX(Routes!$B:$B,MATCH(B256,Routes!$A:$A,0)),"ID not found"))</f>
        <v/>
      </c>
      <c r="G256" s="16" t="str">
        <f aca="false">IF(OR(B256="",C256="",D256=""),"",IF(OR(ISNA(MATCH(B256,Routes!$A:$A,0)),ISNA(MATCH(C256,Drivers!$A:$A,0)),ISNA(MATCH(D256,Vehicles!$A:$A,0))),"CHECK: ID not found",IF(INDEX(Routes!$C:$C,MATCH(B256,Routes!$A:$A,0))&lt;&gt;INDEX(Vehicles!$B:$B,MATCH(D256,Vehicles!$A:$A,0)),"CHECK: vehicle type does not fit route",IF(INDEX(Routes!$C:$C,MATCH(B256,Routes!$A:$A,0))&lt;&gt;INDEX(Drivers!$D:$D,MATCH(C256,Drivers!$A:$A,0)),"CHECK: driver type does not fit route",IF(OR(INDEX(Vehicles!$E:$E,MATCH(D256,Vehicles!$A:$A,0))="Workshop",INDEX(Vehicles!$E:$E,MATCH(D256,Vehicles!$A:$A,0))="Out of service"),"CHECK: vehicle not available",IF(INDEX(Drivers!$G:$G,MATCH(C256,Drivers!$A:$A,0))&lt;&gt;"Active","CHECK: driver not active",IF(COUNTIFS($A:$A,A256,$C:$C,C256)&gt;1,"CHECK: driver assigned twice",IF(COUNTIFS($A:$A,A256,$D:$D,D256)&gt;1,"CHECK: vehicle assigned twice","OK"))))))))</f>
        <v/>
      </c>
      <c r="H256" s="15"/>
      <c r="I256" s="15"/>
      <c r="J256" s="17" t="str">
        <f aca="false">IF(OR(H256="",H256=0),"",I256/H256)</f>
        <v/>
      </c>
      <c r="K256" s="15"/>
      <c r="L256" s="15"/>
      <c r="M256" s="18"/>
      <c r="N256" s="15"/>
      <c r="O256" s="16" t="str">
        <f aca="false">IF(AND(OR(K256="At risk",K256="Late"),L256=""),"Add a reason code",IF(AND(L256="OTH",N256=""),"Explain OTH in notes",IF(AND(K256="Finished",I256&lt;H256,L256=""),"Add a reason code","")))</f>
        <v/>
      </c>
    </row>
    <row r="257" customFormat="false" ht="15" hidden="false" customHeight="false" outlineLevel="0" collapsed="false">
      <c r="A257" s="14"/>
      <c r="B257" s="15"/>
      <c r="C257" s="15"/>
      <c r="D257" s="15"/>
      <c r="E257" s="16" t="str">
        <f aca="false">IF(C257="","",IFERROR(INDEX(Drivers!$B:$B,MATCH(C257,Drivers!$A:$A,0)),"ID not found"))</f>
        <v/>
      </c>
      <c r="F257" s="16" t="str">
        <f aca="false">IF(B257="","",IFERROR(INDEX(Routes!$B:$B,MATCH(B257,Routes!$A:$A,0)),"ID not found"))</f>
        <v/>
      </c>
      <c r="G257" s="16" t="str">
        <f aca="false">IF(OR(B257="",C257="",D257=""),"",IF(OR(ISNA(MATCH(B257,Routes!$A:$A,0)),ISNA(MATCH(C257,Drivers!$A:$A,0)),ISNA(MATCH(D257,Vehicles!$A:$A,0))),"CHECK: ID not found",IF(INDEX(Routes!$C:$C,MATCH(B257,Routes!$A:$A,0))&lt;&gt;INDEX(Vehicles!$B:$B,MATCH(D257,Vehicles!$A:$A,0)),"CHECK: vehicle type does not fit route",IF(INDEX(Routes!$C:$C,MATCH(B257,Routes!$A:$A,0))&lt;&gt;INDEX(Drivers!$D:$D,MATCH(C257,Drivers!$A:$A,0)),"CHECK: driver type does not fit route",IF(OR(INDEX(Vehicles!$E:$E,MATCH(D257,Vehicles!$A:$A,0))="Workshop",INDEX(Vehicles!$E:$E,MATCH(D257,Vehicles!$A:$A,0))="Out of service"),"CHECK: vehicle not available",IF(INDEX(Drivers!$G:$G,MATCH(C257,Drivers!$A:$A,0))&lt;&gt;"Active","CHECK: driver not active",IF(COUNTIFS($A:$A,A257,$C:$C,C257)&gt;1,"CHECK: driver assigned twice",IF(COUNTIFS($A:$A,A257,$D:$D,D257)&gt;1,"CHECK: vehicle assigned twice","OK"))))))))</f>
        <v/>
      </c>
      <c r="H257" s="15"/>
      <c r="I257" s="15"/>
      <c r="J257" s="17" t="str">
        <f aca="false">IF(OR(H257="",H257=0),"",I257/H257)</f>
        <v/>
      </c>
      <c r="K257" s="15"/>
      <c r="L257" s="15"/>
      <c r="M257" s="18"/>
      <c r="N257" s="15"/>
      <c r="O257" s="16" t="str">
        <f aca="false">IF(AND(OR(K257="At risk",K257="Late"),L257=""),"Add a reason code",IF(AND(L257="OTH",N257=""),"Explain OTH in notes",IF(AND(K257="Finished",I257&lt;H257,L257=""),"Add a reason code","")))</f>
        <v/>
      </c>
    </row>
    <row r="258" customFormat="false" ht="15" hidden="false" customHeight="false" outlineLevel="0" collapsed="false">
      <c r="A258" s="14"/>
      <c r="B258" s="15"/>
      <c r="C258" s="15"/>
      <c r="D258" s="15"/>
      <c r="E258" s="16" t="str">
        <f aca="false">IF(C258="","",IFERROR(INDEX(Drivers!$B:$B,MATCH(C258,Drivers!$A:$A,0)),"ID not found"))</f>
        <v/>
      </c>
      <c r="F258" s="16" t="str">
        <f aca="false">IF(B258="","",IFERROR(INDEX(Routes!$B:$B,MATCH(B258,Routes!$A:$A,0)),"ID not found"))</f>
        <v/>
      </c>
      <c r="G258" s="16" t="str">
        <f aca="false">IF(OR(B258="",C258="",D258=""),"",IF(OR(ISNA(MATCH(B258,Routes!$A:$A,0)),ISNA(MATCH(C258,Drivers!$A:$A,0)),ISNA(MATCH(D258,Vehicles!$A:$A,0))),"CHECK: ID not found",IF(INDEX(Routes!$C:$C,MATCH(B258,Routes!$A:$A,0))&lt;&gt;INDEX(Vehicles!$B:$B,MATCH(D258,Vehicles!$A:$A,0)),"CHECK: vehicle type does not fit route",IF(INDEX(Routes!$C:$C,MATCH(B258,Routes!$A:$A,0))&lt;&gt;INDEX(Drivers!$D:$D,MATCH(C258,Drivers!$A:$A,0)),"CHECK: driver type does not fit route",IF(OR(INDEX(Vehicles!$E:$E,MATCH(D258,Vehicles!$A:$A,0))="Workshop",INDEX(Vehicles!$E:$E,MATCH(D258,Vehicles!$A:$A,0))="Out of service"),"CHECK: vehicle not available",IF(INDEX(Drivers!$G:$G,MATCH(C258,Drivers!$A:$A,0))&lt;&gt;"Active","CHECK: driver not active",IF(COUNTIFS($A:$A,A258,$C:$C,C258)&gt;1,"CHECK: driver assigned twice",IF(COUNTIFS($A:$A,A258,$D:$D,D258)&gt;1,"CHECK: vehicle assigned twice","OK"))))))))</f>
        <v/>
      </c>
      <c r="H258" s="15"/>
      <c r="I258" s="15"/>
      <c r="J258" s="17" t="str">
        <f aca="false">IF(OR(H258="",H258=0),"",I258/H258)</f>
        <v/>
      </c>
      <c r="K258" s="15"/>
      <c r="L258" s="15"/>
      <c r="M258" s="18"/>
      <c r="N258" s="15"/>
      <c r="O258" s="16" t="str">
        <f aca="false">IF(AND(OR(K258="At risk",K258="Late"),L258=""),"Add a reason code",IF(AND(L258="OTH",N258=""),"Explain OTH in notes",IF(AND(K258="Finished",I258&lt;H258,L258=""),"Add a reason code","")))</f>
        <v/>
      </c>
    </row>
    <row r="259" customFormat="false" ht="15" hidden="false" customHeight="false" outlineLevel="0" collapsed="false">
      <c r="A259" s="14"/>
      <c r="B259" s="15"/>
      <c r="C259" s="15"/>
      <c r="D259" s="15"/>
      <c r="E259" s="16" t="str">
        <f aca="false">IF(C259="","",IFERROR(INDEX(Drivers!$B:$B,MATCH(C259,Drivers!$A:$A,0)),"ID not found"))</f>
        <v/>
      </c>
      <c r="F259" s="16" t="str">
        <f aca="false">IF(B259="","",IFERROR(INDEX(Routes!$B:$B,MATCH(B259,Routes!$A:$A,0)),"ID not found"))</f>
        <v/>
      </c>
      <c r="G259" s="16" t="str">
        <f aca="false">IF(OR(B259="",C259="",D259=""),"",IF(OR(ISNA(MATCH(B259,Routes!$A:$A,0)),ISNA(MATCH(C259,Drivers!$A:$A,0)),ISNA(MATCH(D259,Vehicles!$A:$A,0))),"CHECK: ID not found",IF(INDEX(Routes!$C:$C,MATCH(B259,Routes!$A:$A,0))&lt;&gt;INDEX(Vehicles!$B:$B,MATCH(D259,Vehicles!$A:$A,0)),"CHECK: vehicle type does not fit route",IF(INDEX(Routes!$C:$C,MATCH(B259,Routes!$A:$A,0))&lt;&gt;INDEX(Drivers!$D:$D,MATCH(C259,Drivers!$A:$A,0)),"CHECK: driver type does not fit route",IF(OR(INDEX(Vehicles!$E:$E,MATCH(D259,Vehicles!$A:$A,0))="Workshop",INDEX(Vehicles!$E:$E,MATCH(D259,Vehicles!$A:$A,0))="Out of service"),"CHECK: vehicle not available",IF(INDEX(Drivers!$G:$G,MATCH(C259,Drivers!$A:$A,0))&lt;&gt;"Active","CHECK: driver not active",IF(COUNTIFS($A:$A,A259,$C:$C,C259)&gt;1,"CHECK: driver assigned twice",IF(COUNTIFS($A:$A,A259,$D:$D,D259)&gt;1,"CHECK: vehicle assigned twice","OK"))))))))</f>
        <v/>
      </c>
      <c r="H259" s="15"/>
      <c r="I259" s="15"/>
      <c r="J259" s="17" t="str">
        <f aca="false">IF(OR(H259="",H259=0),"",I259/H259)</f>
        <v/>
      </c>
      <c r="K259" s="15"/>
      <c r="L259" s="15"/>
      <c r="M259" s="18"/>
      <c r="N259" s="15"/>
      <c r="O259" s="16" t="str">
        <f aca="false">IF(AND(OR(K259="At risk",K259="Late"),L259=""),"Add a reason code",IF(AND(L259="OTH",N259=""),"Explain OTH in notes",IF(AND(K259="Finished",I259&lt;H259,L259=""),"Add a reason code","")))</f>
        <v/>
      </c>
    </row>
    <row r="260" customFormat="false" ht="15" hidden="false" customHeight="false" outlineLevel="0" collapsed="false">
      <c r="A260" s="14"/>
      <c r="B260" s="15"/>
      <c r="C260" s="15"/>
      <c r="D260" s="15"/>
      <c r="E260" s="16" t="str">
        <f aca="false">IF(C260="","",IFERROR(INDEX(Drivers!$B:$B,MATCH(C260,Drivers!$A:$A,0)),"ID not found"))</f>
        <v/>
      </c>
      <c r="F260" s="16" t="str">
        <f aca="false">IF(B260="","",IFERROR(INDEX(Routes!$B:$B,MATCH(B260,Routes!$A:$A,0)),"ID not found"))</f>
        <v/>
      </c>
      <c r="G260" s="16" t="str">
        <f aca="false">IF(OR(B260="",C260="",D260=""),"",IF(OR(ISNA(MATCH(B260,Routes!$A:$A,0)),ISNA(MATCH(C260,Drivers!$A:$A,0)),ISNA(MATCH(D260,Vehicles!$A:$A,0))),"CHECK: ID not found",IF(INDEX(Routes!$C:$C,MATCH(B260,Routes!$A:$A,0))&lt;&gt;INDEX(Vehicles!$B:$B,MATCH(D260,Vehicles!$A:$A,0)),"CHECK: vehicle type does not fit route",IF(INDEX(Routes!$C:$C,MATCH(B260,Routes!$A:$A,0))&lt;&gt;INDEX(Drivers!$D:$D,MATCH(C260,Drivers!$A:$A,0)),"CHECK: driver type does not fit route",IF(OR(INDEX(Vehicles!$E:$E,MATCH(D260,Vehicles!$A:$A,0))="Workshop",INDEX(Vehicles!$E:$E,MATCH(D260,Vehicles!$A:$A,0))="Out of service"),"CHECK: vehicle not available",IF(INDEX(Drivers!$G:$G,MATCH(C260,Drivers!$A:$A,0))&lt;&gt;"Active","CHECK: driver not active",IF(COUNTIFS($A:$A,A260,$C:$C,C260)&gt;1,"CHECK: driver assigned twice",IF(COUNTIFS($A:$A,A260,$D:$D,D260)&gt;1,"CHECK: vehicle assigned twice","OK"))))))))</f>
        <v/>
      </c>
      <c r="H260" s="15"/>
      <c r="I260" s="15"/>
      <c r="J260" s="17" t="str">
        <f aca="false">IF(OR(H260="",H260=0),"",I260/H260)</f>
        <v/>
      </c>
      <c r="K260" s="15"/>
      <c r="L260" s="15"/>
      <c r="M260" s="18"/>
      <c r="N260" s="15"/>
      <c r="O260" s="16" t="str">
        <f aca="false">IF(AND(OR(K260="At risk",K260="Late"),L260=""),"Add a reason code",IF(AND(L260="OTH",N260=""),"Explain OTH in notes",IF(AND(K260="Finished",I260&lt;H260,L260=""),"Add a reason code","")))</f>
        <v/>
      </c>
    </row>
    <row r="261" customFormat="false" ht="15" hidden="false" customHeight="false" outlineLevel="0" collapsed="false">
      <c r="A261" s="14"/>
      <c r="B261" s="15"/>
      <c r="C261" s="15"/>
      <c r="D261" s="15"/>
      <c r="E261" s="16" t="str">
        <f aca="false">IF(C261="","",IFERROR(INDEX(Drivers!$B:$B,MATCH(C261,Drivers!$A:$A,0)),"ID not found"))</f>
        <v/>
      </c>
      <c r="F261" s="16" t="str">
        <f aca="false">IF(B261="","",IFERROR(INDEX(Routes!$B:$B,MATCH(B261,Routes!$A:$A,0)),"ID not found"))</f>
        <v/>
      </c>
      <c r="G261" s="16" t="str">
        <f aca="false">IF(OR(B261="",C261="",D261=""),"",IF(OR(ISNA(MATCH(B261,Routes!$A:$A,0)),ISNA(MATCH(C261,Drivers!$A:$A,0)),ISNA(MATCH(D261,Vehicles!$A:$A,0))),"CHECK: ID not found",IF(INDEX(Routes!$C:$C,MATCH(B261,Routes!$A:$A,0))&lt;&gt;INDEX(Vehicles!$B:$B,MATCH(D261,Vehicles!$A:$A,0)),"CHECK: vehicle type does not fit route",IF(INDEX(Routes!$C:$C,MATCH(B261,Routes!$A:$A,0))&lt;&gt;INDEX(Drivers!$D:$D,MATCH(C261,Drivers!$A:$A,0)),"CHECK: driver type does not fit route",IF(OR(INDEX(Vehicles!$E:$E,MATCH(D261,Vehicles!$A:$A,0))="Workshop",INDEX(Vehicles!$E:$E,MATCH(D261,Vehicles!$A:$A,0))="Out of service"),"CHECK: vehicle not available",IF(INDEX(Drivers!$G:$G,MATCH(C261,Drivers!$A:$A,0))&lt;&gt;"Active","CHECK: driver not active",IF(COUNTIFS($A:$A,A261,$C:$C,C261)&gt;1,"CHECK: driver assigned twice",IF(COUNTIFS($A:$A,A261,$D:$D,D261)&gt;1,"CHECK: vehicle assigned twice","OK"))))))))</f>
        <v/>
      </c>
      <c r="H261" s="15"/>
      <c r="I261" s="15"/>
      <c r="J261" s="17" t="str">
        <f aca="false">IF(OR(H261="",H261=0),"",I261/H261)</f>
        <v/>
      </c>
      <c r="K261" s="15"/>
      <c r="L261" s="15"/>
      <c r="M261" s="18"/>
      <c r="N261" s="15"/>
      <c r="O261" s="16" t="str">
        <f aca="false">IF(AND(OR(K261="At risk",K261="Late"),L261=""),"Add a reason code",IF(AND(L261="OTH",N261=""),"Explain OTH in notes",IF(AND(K261="Finished",I261&lt;H261,L261=""),"Add a reason code","")))</f>
        <v/>
      </c>
    </row>
    <row r="262" customFormat="false" ht="15" hidden="false" customHeight="false" outlineLevel="0" collapsed="false">
      <c r="A262" s="14"/>
      <c r="B262" s="15"/>
      <c r="C262" s="15"/>
      <c r="D262" s="15"/>
      <c r="E262" s="16" t="str">
        <f aca="false">IF(C262="","",IFERROR(INDEX(Drivers!$B:$B,MATCH(C262,Drivers!$A:$A,0)),"ID not found"))</f>
        <v/>
      </c>
      <c r="F262" s="16" t="str">
        <f aca="false">IF(B262="","",IFERROR(INDEX(Routes!$B:$B,MATCH(B262,Routes!$A:$A,0)),"ID not found"))</f>
        <v/>
      </c>
      <c r="G262" s="16" t="str">
        <f aca="false">IF(OR(B262="",C262="",D262=""),"",IF(OR(ISNA(MATCH(B262,Routes!$A:$A,0)),ISNA(MATCH(C262,Drivers!$A:$A,0)),ISNA(MATCH(D262,Vehicles!$A:$A,0))),"CHECK: ID not found",IF(INDEX(Routes!$C:$C,MATCH(B262,Routes!$A:$A,0))&lt;&gt;INDEX(Vehicles!$B:$B,MATCH(D262,Vehicles!$A:$A,0)),"CHECK: vehicle type does not fit route",IF(INDEX(Routes!$C:$C,MATCH(B262,Routes!$A:$A,0))&lt;&gt;INDEX(Drivers!$D:$D,MATCH(C262,Drivers!$A:$A,0)),"CHECK: driver type does not fit route",IF(OR(INDEX(Vehicles!$E:$E,MATCH(D262,Vehicles!$A:$A,0))="Workshop",INDEX(Vehicles!$E:$E,MATCH(D262,Vehicles!$A:$A,0))="Out of service"),"CHECK: vehicle not available",IF(INDEX(Drivers!$G:$G,MATCH(C262,Drivers!$A:$A,0))&lt;&gt;"Active","CHECK: driver not active",IF(COUNTIFS($A:$A,A262,$C:$C,C262)&gt;1,"CHECK: driver assigned twice",IF(COUNTIFS($A:$A,A262,$D:$D,D262)&gt;1,"CHECK: vehicle assigned twice","OK"))))))))</f>
        <v/>
      </c>
      <c r="H262" s="15"/>
      <c r="I262" s="15"/>
      <c r="J262" s="17" t="str">
        <f aca="false">IF(OR(H262="",H262=0),"",I262/H262)</f>
        <v/>
      </c>
      <c r="K262" s="15"/>
      <c r="L262" s="15"/>
      <c r="M262" s="18"/>
      <c r="N262" s="15"/>
      <c r="O262" s="16" t="str">
        <f aca="false">IF(AND(OR(K262="At risk",K262="Late"),L262=""),"Add a reason code",IF(AND(L262="OTH",N262=""),"Explain OTH in notes",IF(AND(K262="Finished",I262&lt;H262,L262=""),"Add a reason code","")))</f>
        <v/>
      </c>
    </row>
    <row r="263" customFormat="false" ht="15" hidden="false" customHeight="false" outlineLevel="0" collapsed="false">
      <c r="A263" s="14"/>
      <c r="B263" s="15"/>
      <c r="C263" s="15"/>
      <c r="D263" s="15"/>
      <c r="E263" s="16" t="str">
        <f aca="false">IF(C263="","",IFERROR(INDEX(Drivers!$B:$B,MATCH(C263,Drivers!$A:$A,0)),"ID not found"))</f>
        <v/>
      </c>
      <c r="F263" s="16" t="str">
        <f aca="false">IF(B263="","",IFERROR(INDEX(Routes!$B:$B,MATCH(B263,Routes!$A:$A,0)),"ID not found"))</f>
        <v/>
      </c>
      <c r="G263" s="16" t="str">
        <f aca="false">IF(OR(B263="",C263="",D263=""),"",IF(OR(ISNA(MATCH(B263,Routes!$A:$A,0)),ISNA(MATCH(C263,Drivers!$A:$A,0)),ISNA(MATCH(D263,Vehicles!$A:$A,0))),"CHECK: ID not found",IF(INDEX(Routes!$C:$C,MATCH(B263,Routes!$A:$A,0))&lt;&gt;INDEX(Vehicles!$B:$B,MATCH(D263,Vehicles!$A:$A,0)),"CHECK: vehicle type does not fit route",IF(INDEX(Routes!$C:$C,MATCH(B263,Routes!$A:$A,0))&lt;&gt;INDEX(Drivers!$D:$D,MATCH(C263,Drivers!$A:$A,0)),"CHECK: driver type does not fit route",IF(OR(INDEX(Vehicles!$E:$E,MATCH(D263,Vehicles!$A:$A,0))="Workshop",INDEX(Vehicles!$E:$E,MATCH(D263,Vehicles!$A:$A,0))="Out of service"),"CHECK: vehicle not available",IF(INDEX(Drivers!$G:$G,MATCH(C263,Drivers!$A:$A,0))&lt;&gt;"Active","CHECK: driver not active",IF(COUNTIFS($A:$A,A263,$C:$C,C263)&gt;1,"CHECK: driver assigned twice",IF(COUNTIFS($A:$A,A263,$D:$D,D263)&gt;1,"CHECK: vehicle assigned twice","OK"))))))))</f>
        <v/>
      </c>
      <c r="H263" s="15"/>
      <c r="I263" s="15"/>
      <c r="J263" s="17" t="str">
        <f aca="false">IF(OR(H263="",H263=0),"",I263/H263)</f>
        <v/>
      </c>
      <c r="K263" s="15"/>
      <c r="L263" s="15"/>
      <c r="M263" s="18"/>
      <c r="N263" s="15"/>
      <c r="O263" s="16" t="str">
        <f aca="false">IF(AND(OR(K263="At risk",K263="Late"),L263=""),"Add a reason code",IF(AND(L263="OTH",N263=""),"Explain OTH in notes",IF(AND(K263="Finished",I263&lt;H263,L263=""),"Add a reason code","")))</f>
        <v/>
      </c>
    </row>
    <row r="264" customFormat="false" ht="15" hidden="false" customHeight="false" outlineLevel="0" collapsed="false">
      <c r="A264" s="14"/>
      <c r="B264" s="15"/>
      <c r="C264" s="15"/>
      <c r="D264" s="15"/>
      <c r="E264" s="16" t="str">
        <f aca="false">IF(C264="","",IFERROR(INDEX(Drivers!$B:$B,MATCH(C264,Drivers!$A:$A,0)),"ID not found"))</f>
        <v/>
      </c>
      <c r="F264" s="16" t="str">
        <f aca="false">IF(B264="","",IFERROR(INDEX(Routes!$B:$B,MATCH(B264,Routes!$A:$A,0)),"ID not found"))</f>
        <v/>
      </c>
      <c r="G264" s="16" t="str">
        <f aca="false">IF(OR(B264="",C264="",D264=""),"",IF(OR(ISNA(MATCH(B264,Routes!$A:$A,0)),ISNA(MATCH(C264,Drivers!$A:$A,0)),ISNA(MATCH(D264,Vehicles!$A:$A,0))),"CHECK: ID not found",IF(INDEX(Routes!$C:$C,MATCH(B264,Routes!$A:$A,0))&lt;&gt;INDEX(Vehicles!$B:$B,MATCH(D264,Vehicles!$A:$A,0)),"CHECK: vehicle type does not fit route",IF(INDEX(Routes!$C:$C,MATCH(B264,Routes!$A:$A,0))&lt;&gt;INDEX(Drivers!$D:$D,MATCH(C264,Drivers!$A:$A,0)),"CHECK: driver type does not fit route",IF(OR(INDEX(Vehicles!$E:$E,MATCH(D264,Vehicles!$A:$A,0))="Workshop",INDEX(Vehicles!$E:$E,MATCH(D264,Vehicles!$A:$A,0))="Out of service"),"CHECK: vehicle not available",IF(INDEX(Drivers!$G:$G,MATCH(C264,Drivers!$A:$A,0))&lt;&gt;"Active","CHECK: driver not active",IF(COUNTIFS($A:$A,A264,$C:$C,C264)&gt;1,"CHECK: driver assigned twice",IF(COUNTIFS($A:$A,A264,$D:$D,D264)&gt;1,"CHECK: vehicle assigned twice","OK"))))))))</f>
        <v/>
      </c>
      <c r="H264" s="15"/>
      <c r="I264" s="15"/>
      <c r="J264" s="17" t="str">
        <f aca="false">IF(OR(H264="",H264=0),"",I264/H264)</f>
        <v/>
      </c>
      <c r="K264" s="15"/>
      <c r="L264" s="15"/>
      <c r="M264" s="18"/>
      <c r="N264" s="15"/>
      <c r="O264" s="16" t="str">
        <f aca="false">IF(AND(OR(K264="At risk",K264="Late"),L264=""),"Add a reason code",IF(AND(L264="OTH",N264=""),"Explain OTH in notes",IF(AND(K264="Finished",I264&lt;H264,L264=""),"Add a reason code","")))</f>
        <v/>
      </c>
    </row>
    <row r="265" customFormat="false" ht="15" hidden="false" customHeight="false" outlineLevel="0" collapsed="false">
      <c r="A265" s="14"/>
      <c r="B265" s="15"/>
      <c r="C265" s="15"/>
      <c r="D265" s="15"/>
      <c r="E265" s="16" t="str">
        <f aca="false">IF(C265="","",IFERROR(INDEX(Drivers!$B:$B,MATCH(C265,Drivers!$A:$A,0)),"ID not found"))</f>
        <v/>
      </c>
      <c r="F265" s="16" t="str">
        <f aca="false">IF(B265="","",IFERROR(INDEX(Routes!$B:$B,MATCH(B265,Routes!$A:$A,0)),"ID not found"))</f>
        <v/>
      </c>
      <c r="G265" s="16" t="str">
        <f aca="false">IF(OR(B265="",C265="",D265=""),"",IF(OR(ISNA(MATCH(B265,Routes!$A:$A,0)),ISNA(MATCH(C265,Drivers!$A:$A,0)),ISNA(MATCH(D265,Vehicles!$A:$A,0))),"CHECK: ID not found",IF(INDEX(Routes!$C:$C,MATCH(B265,Routes!$A:$A,0))&lt;&gt;INDEX(Vehicles!$B:$B,MATCH(D265,Vehicles!$A:$A,0)),"CHECK: vehicle type does not fit route",IF(INDEX(Routes!$C:$C,MATCH(B265,Routes!$A:$A,0))&lt;&gt;INDEX(Drivers!$D:$D,MATCH(C265,Drivers!$A:$A,0)),"CHECK: driver type does not fit route",IF(OR(INDEX(Vehicles!$E:$E,MATCH(D265,Vehicles!$A:$A,0))="Workshop",INDEX(Vehicles!$E:$E,MATCH(D265,Vehicles!$A:$A,0))="Out of service"),"CHECK: vehicle not available",IF(INDEX(Drivers!$G:$G,MATCH(C265,Drivers!$A:$A,0))&lt;&gt;"Active","CHECK: driver not active",IF(COUNTIFS($A:$A,A265,$C:$C,C265)&gt;1,"CHECK: driver assigned twice",IF(COUNTIFS($A:$A,A265,$D:$D,D265)&gt;1,"CHECK: vehicle assigned twice","OK"))))))))</f>
        <v/>
      </c>
      <c r="H265" s="15"/>
      <c r="I265" s="15"/>
      <c r="J265" s="17" t="str">
        <f aca="false">IF(OR(H265="",H265=0),"",I265/H265)</f>
        <v/>
      </c>
      <c r="K265" s="15"/>
      <c r="L265" s="15"/>
      <c r="M265" s="18"/>
      <c r="N265" s="15"/>
      <c r="O265" s="16" t="str">
        <f aca="false">IF(AND(OR(K265="At risk",K265="Late"),L265=""),"Add a reason code",IF(AND(L265="OTH",N265=""),"Explain OTH in notes",IF(AND(K265="Finished",I265&lt;H265,L265=""),"Add a reason code","")))</f>
        <v/>
      </c>
    </row>
    <row r="266" customFormat="false" ht="15" hidden="false" customHeight="false" outlineLevel="0" collapsed="false">
      <c r="A266" s="14"/>
      <c r="B266" s="15"/>
      <c r="C266" s="15"/>
      <c r="D266" s="15"/>
      <c r="E266" s="16" t="str">
        <f aca="false">IF(C266="","",IFERROR(INDEX(Drivers!$B:$B,MATCH(C266,Drivers!$A:$A,0)),"ID not found"))</f>
        <v/>
      </c>
      <c r="F266" s="16" t="str">
        <f aca="false">IF(B266="","",IFERROR(INDEX(Routes!$B:$B,MATCH(B266,Routes!$A:$A,0)),"ID not found"))</f>
        <v/>
      </c>
      <c r="G266" s="16" t="str">
        <f aca="false">IF(OR(B266="",C266="",D266=""),"",IF(OR(ISNA(MATCH(B266,Routes!$A:$A,0)),ISNA(MATCH(C266,Drivers!$A:$A,0)),ISNA(MATCH(D266,Vehicles!$A:$A,0))),"CHECK: ID not found",IF(INDEX(Routes!$C:$C,MATCH(B266,Routes!$A:$A,0))&lt;&gt;INDEX(Vehicles!$B:$B,MATCH(D266,Vehicles!$A:$A,0)),"CHECK: vehicle type does not fit route",IF(INDEX(Routes!$C:$C,MATCH(B266,Routes!$A:$A,0))&lt;&gt;INDEX(Drivers!$D:$D,MATCH(C266,Drivers!$A:$A,0)),"CHECK: driver type does not fit route",IF(OR(INDEX(Vehicles!$E:$E,MATCH(D266,Vehicles!$A:$A,0))="Workshop",INDEX(Vehicles!$E:$E,MATCH(D266,Vehicles!$A:$A,0))="Out of service"),"CHECK: vehicle not available",IF(INDEX(Drivers!$G:$G,MATCH(C266,Drivers!$A:$A,0))&lt;&gt;"Active","CHECK: driver not active",IF(COUNTIFS($A:$A,A266,$C:$C,C266)&gt;1,"CHECK: driver assigned twice",IF(COUNTIFS($A:$A,A266,$D:$D,D266)&gt;1,"CHECK: vehicle assigned twice","OK"))))))))</f>
        <v/>
      </c>
      <c r="H266" s="15"/>
      <c r="I266" s="15"/>
      <c r="J266" s="17" t="str">
        <f aca="false">IF(OR(H266="",H266=0),"",I266/H266)</f>
        <v/>
      </c>
      <c r="K266" s="15"/>
      <c r="L266" s="15"/>
      <c r="M266" s="18"/>
      <c r="N266" s="15"/>
      <c r="O266" s="16" t="str">
        <f aca="false">IF(AND(OR(K266="At risk",K266="Late"),L266=""),"Add a reason code",IF(AND(L266="OTH",N266=""),"Explain OTH in notes",IF(AND(K266="Finished",I266&lt;H266,L266=""),"Add a reason code","")))</f>
        <v/>
      </c>
    </row>
    <row r="267" customFormat="false" ht="15" hidden="false" customHeight="false" outlineLevel="0" collapsed="false">
      <c r="A267" s="14"/>
      <c r="B267" s="15"/>
      <c r="C267" s="15"/>
      <c r="D267" s="15"/>
      <c r="E267" s="16" t="str">
        <f aca="false">IF(C267="","",IFERROR(INDEX(Drivers!$B:$B,MATCH(C267,Drivers!$A:$A,0)),"ID not found"))</f>
        <v/>
      </c>
      <c r="F267" s="16" t="str">
        <f aca="false">IF(B267="","",IFERROR(INDEX(Routes!$B:$B,MATCH(B267,Routes!$A:$A,0)),"ID not found"))</f>
        <v/>
      </c>
      <c r="G267" s="16" t="str">
        <f aca="false">IF(OR(B267="",C267="",D267=""),"",IF(OR(ISNA(MATCH(B267,Routes!$A:$A,0)),ISNA(MATCH(C267,Drivers!$A:$A,0)),ISNA(MATCH(D267,Vehicles!$A:$A,0))),"CHECK: ID not found",IF(INDEX(Routes!$C:$C,MATCH(B267,Routes!$A:$A,0))&lt;&gt;INDEX(Vehicles!$B:$B,MATCH(D267,Vehicles!$A:$A,0)),"CHECK: vehicle type does not fit route",IF(INDEX(Routes!$C:$C,MATCH(B267,Routes!$A:$A,0))&lt;&gt;INDEX(Drivers!$D:$D,MATCH(C267,Drivers!$A:$A,0)),"CHECK: driver type does not fit route",IF(OR(INDEX(Vehicles!$E:$E,MATCH(D267,Vehicles!$A:$A,0))="Workshop",INDEX(Vehicles!$E:$E,MATCH(D267,Vehicles!$A:$A,0))="Out of service"),"CHECK: vehicle not available",IF(INDEX(Drivers!$G:$G,MATCH(C267,Drivers!$A:$A,0))&lt;&gt;"Active","CHECK: driver not active",IF(COUNTIFS($A:$A,A267,$C:$C,C267)&gt;1,"CHECK: driver assigned twice",IF(COUNTIFS($A:$A,A267,$D:$D,D267)&gt;1,"CHECK: vehicle assigned twice","OK"))))))))</f>
        <v/>
      </c>
      <c r="H267" s="15"/>
      <c r="I267" s="15"/>
      <c r="J267" s="17" t="str">
        <f aca="false">IF(OR(H267="",H267=0),"",I267/H267)</f>
        <v/>
      </c>
      <c r="K267" s="15"/>
      <c r="L267" s="15"/>
      <c r="M267" s="18"/>
      <c r="N267" s="15"/>
      <c r="O267" s="16" t="str">
        <f aca="false">IF(AND(OR(K267="At risk",K267="Late"),L267=""),"Add a reason code",IF(AND(L267="OTH",N267=""),"Explain OTH in notes",IF(AND(K267="Finished",I267&lt;H267,L267=""),"Add a reason code","")))</f>
        <v/>
      </c>
    </row>
    <row r="268" customFormat="false" ht="15" hidden="false" customHeight="false" outlineLevel="0" collapsed="false">
      <c r="A268" s="14"/>
      <c r="B268" s="15"/>
      <c r="C268" s="15"/>
      <c r="D268" s="15"/>
      <c r="E268" s="16" t="str">
        <f aca="false">IF(C268="","",IFERROR(INDEX(Drivers!$B:$B,MATCH(C268,Drivers!$A:$A,0)),"ID not found"))</f>
        <v/>
      </c>
      <c r="F268" s="16" t="str">
        <f aca="false">IF(B268="","",IFERROR(INDEX(Routes!$B:$B,MATCH(B268,Routes!$A:$A,0)),"ID not found"))</f>
        <v/>
      </c>
      <c r="G268" s="16" t="str">
        <f aca="false">IF(OR(B268="",C268="",D268=""),"",IF(OR(ISNA(MATCH(B268,Routes!$A:$A,0)),ISNA(MATCH(C268,Drivers!$A:$A,0)),ISNA(MATCH(D268,Vehicles!$A:$A,0))),"CHECK: ID not found",IF(INDEX(Routes!$C:$C,MATCH(B268,Routes!$A:$A,0))&lt;&gt;INDEX(Vehicles!$B:$B,MATCH(D268,Vehicles!$A:$A,0)),"CHECK: vehicle type does not fit route",IF(INDEX(Routes!$C:$C,MATCH(B268,Routes!$A:$A,0))&lt;&gt;INDEX(Drivers!$D:$D,MATCH(C268,Drivers!$A:$A,0)),"CHECK: driver type does not fit route",IF(OR(INDEX(Vehicles!$E:$E,MATCH(D268,Vehicles!$A:$A,0))="Workshop",INDEX(Vehicles!$E:$E,MATCH(D268,Vehicles!$A:$A,0))="Out of service"),"CHECK: vehicle not available",IF(INDEX(Drivers!$G:$G,MATCH(C268,Drivers!$A:$A,0))&lt;&gt;"Active","CHECK: driver not active",IF(COUNTIFS($A:$A,A268,$C:$C,C268)&gt;1,"CHECK: driver assigned twice",IF(COUNTIFS($A:$A,A268,$D:$D,D268)&gt;1,"CHECK: vehicle assigned twice","OK"))))))))</f>
        <v/>
      </c>
      <c r="H268" s="15"/>
      <c r="I268" s="15"/>
      <c r="J268" s="17" t="str">
        <f aca="false">IF(OR(H268="",H268=0),"",I268/H268)</f>
        <v/>
      </c>
      <c r="K268" s="15"/>
      <c r="L268" s="15"/>
      <c r="M268" s="18"/>
      <c r="N268" s="15"/>
      <c r="O268" s="16" t="str">
        <f aca="false">IF(AND(OR(K268="At risk",K268="Late"),L268=""),"Add a reason code",IF(AND(L268="OTH",N268=""),"Explain OTH in notes",IF(AND(K268="Finished",I268&lt;H268,L268=""),"Add a reason code","")))</f>
        <v/>
      </c>
    </row>
    <row r="269" customFormat="false" ht="15" hidden="false" customHeight="false" outlineLevel="0" collapsed="false">
      <c r="A269" s="14"/>
      <c r="B269" s="15"/>
      <c r="C269" s="15"/>
      <c r="D269" s="15"/>
      <c r="E269" s="16" t="str">
        <f aca="false">IF(C269="","",IFERROR(INDEX(Drivers!$B:$B,MATCH(C269,Drivers!$A:$A,0)),"ID not found"))</f>
        <v/>
      </c>
      <c r="F269" s="16" t="str">
        <f aca="false">IF(B269="","",IFERROR(INDEX(Routes!$B:$B,MATCH(B269,Routes!$A:$A,0)),"ID not found"))</f>
        <v/>
      </c>
      <c r="G269" s="16" t="str">
        <f aca="false">IF(OR(B269="",C269="",D269=""),"",IF(OR(ISNA(MATCH(B269,Routes!$A:$A,0)),ISNA(MATCH(C269,Drivers!$A:$A,0)),ISNA(MATCH(D269,Vehicles!$A:$A,0))),"CHECK: ID not found",IF(INDEX(Routes!$C:$C,MATCH(B269,Routes!$A:$A,0))&lt;&gt;INDEX(Vehicles!$B:$B,MATCH(D269,Vehicles!$A:$A,0)),"CHECK: vehicle type does not fit route",IF(INDEX(Routes!$C:$C,MATCH(B269,Routes!$A:$A,0))&lt;&gt;INDEX(Drivers!$D:$D,MATCH(C269,Drivers!$A:$A,0)),"CHECK: driver type does not fit route",IF(OR(INDEX(Vehicles!$E:$E,MATCH(D269,Vehicles!$A:$A,0))="Workshop",INDEX(Vehicles!$E:$E,MATCH(D269,Vehicles!$A:$A,0))="Out of service"),"CHECK: vehicle not available",IF(INDEX(Drivers!$G:$G,MATCH(C269,Drivers!$A:$A,0))&lt;&gt;"Active","CHECK: driver not active",IF(COUNTIFS($A:$A,A269,$C:$C,C269)&gt;1,"CHECK: driver assigned twice",IF(COUNTIFS($A:$A,A269,$D:$D,D269)&gt;1,"CHECK: vehicle assigned twice","OK"))))))))</f>
        <v/>
      </c>
      <c r="H269" s="15"/>
      <c r="I269" s="15"/>
      <c r="J269" s="17" t="str">
        <f aca="false">IF(OR(H269="",H269=0),"",I269/H269)</f>
        <v/>
      </c>
      <c r="K269" s="15"/>
      <c r="L269" s="15"/>
      <c r="M269" s="18"/>
      <c r="N269" s="15"/>
      <c r="O269" s="16" t="str">
        <f aca="false">IF(AND(OR(K269="At risk",K269="Late"),L269=""),"Add a reason code",IF(AND(L269="OTH",N269=""),"Explain OTH in notes",IF(AND(K269="Finished",I269&lt;H269,L269=""),"Add a reason code","")))</f>
        <v/>
      </c>
    </row>
    <row r="270" customFormat="false" ht="15" hidden="false" customHeight="false" outlineLevel="0" collapsed="false">
      <c r="A270" s="14"/>
      <c r="B270" s="15"/>
      <c r="C270" s="15"/>
      <c r="D270" s="15"/>
      <c r="E270" s="16" t="str">
        <f aca="false">IF(C270="","",IFERROR(INDEX(Drivers!$B:$B,MATCH(C270,Drivers!$A:$A,0)),"ID not found"))</f>
        <v/>
      </c>
      <c r="F270" s="16" t="str">
        <f aca="false">IF(B270="","",IFERROR(INDEX(Routes!$B:$B,MATCH(B270,Routes!$A:$A,0)),"ID not found"))</f>
        <v/>
      </c>
      <c r="G270" s="16" t="str">
        <f aca="false">IF(OR(B270="",C270="",D270=""),"",IF(OR(ISNA(MATCH(B270,Routes!$A:$A,0)),ISNA(MATCH(C270,Drivers!$A:$A,0)),ISNA(MATCH(D270,Vehicles!$A:$A,0))),"CHECK: ID not found",IF(INDEX(Routes!$C:$C,MATCH(B270,Routes!$A:$A,0))&lt;&gt;INDEX(Vehicles!$B:$B,MATCH(D270,Vehicles!$A:$A,0)),"CHECK: vehicle type does not fit route",IF(INDEX(Routes!$C:$C,MATCH(B270,Routes!$A:$A,0))&lt;&gt;INDEX(Drivers!$D:$D,MATCH(C270,Drivers!$A:$A,0)),"CHECK: driver type does not fit route",IF(OR(INDEX(Vehicles!$E:$E,MATCH(D270,Vehicles!$A:$A,0))="Workshop",INDEX(Vehicles!$E:$E,MATCH(D270,Vehicles!$A:$A,0))="Out of service"),"CHECK: vehicle not available",IF(INDEX(Drivers!$G:$G,MATCH(C270,Drivers!$A:$A,0))&lt;&gt;"Active","CHECK: driver not active",IF(COUNTIFS($A:$A,A270,$C:$C,C270)&gt;1,"CHECK: driver assigned twice",IF(COUNTIFS($A:$A,A270,$D:$D,D270)&gt;1,"CHECK: vehicle assigned twice","OK"))))))))</f>
        <v/>
      </c>
      <c r="H270" s="15"/>
      <c r="I270" s="15"/>
      <c r="J270" s="17" t="str">
        <f aca="false">IF(OR(H270="",H270=0),"",I270/H270)</f>
        <v/>
      </c>
      <c r="K270" s="15"/>
      <c r="L270" s="15"/>
      <c r="M270" s="18"/>
      <c r="N270" s="15"/>
      <c r="O270" s="16" t="str">
        <f aca="false">IF(AND(OR(K270="At risk",K270="Late"),L270=""),"Add a reason code",IF(AND(L270="OTH",N270=""),"Explain OTH in notes",IF(AND(K270="Finished",I270&lt;H270,L270=""),"Add a reason code","")))</f>
        <v/>
      </c>
    </row>
    <row r="271" customFormat="false" ht="15" hidden="false" customHeight="false" outlineLevel="0" collapsed="false">
      <c r="A271" s="14"/>
      <c r="B271" s="15"/>
      <c r="C271" s="15"/>
      <c r="D271" s="15"/>
      <c r="E271" s="16" t="str">
        <f aca="false">IF(C271="","",IFERROR(INDEX(Drivers!$B:$B,MATCH(C271,Drivers!$A:$A,0)),"ID not found"))</f>
        <v/>
      </c>
      <c r="F271" s="16" t="str">
        <f aca="false">IF(B271="","",IFERROR(INDEX(Routes!$B:$B,MATCH(B271,Routes!$A:$A,0)),"ID not found"))</f>
        <v/>
      </c>
      <c r="G271" s="16" t="str">
        <f aca="false">IF(OR(B271="",C271="",D271=""),"",IF(OR(ISNA(MATCH(B271,Routes!$A:$A,0)),ISNA(MATCH(C271,Drivers!$A:$A,0)),ISNA(MATCH(D271,Vehicles!$A:$A,0))),"CHECK: ID not found",IF(INDEX(Routes!$C:$C,MATCH(B271,Routes!$A:$A,0))&lt;&gt;INDEX(Vehicles!$B:$B,MATCH(D271,Vehicles!$A:$A,0)),"CHECK: vehicle type does not fit route",IF(INDEX(Routes!$C:$C,MATCH(B271,Routes!$A:$A,0))&lt;&gt;INDEX(Drivers!$D:$D,MATCH(C271,Drivers!$A:$A,0)),"CHECK: driver type does not fit route",IF(OR(INDEX(Vehicles!$E:$E,MATCH(D271,Vehicles!$A:$A,0))="Workshop",INDEX(Vehicles!$E:$E,MATCH(D271,Vehicles!$A:$A,0))="Out of service"),"CHECK: vehicle not available",IF(INDEX(Drivers!$G:$G,MATCH(C271,Drivers!$A:$A,0))&lt;&gt;"Active","CHECK: driver not active",IF(COUNTIFS($A:$A,A271,$C:$C,C271)&gt;1,"CHECK: driver assigned twice",IF(COUNTIFS($A:$A,A271,$D:$D,D271)&gt;1,"CHECK: vehicle assigned twice","OK"))))))))</f>
        <v/>
      </c>
      <c r="H271" s="15"/>
      <c r="I271" s="15"/>
      <c r="J271" s="17" t="str">
        <f aca="false">IF(OR(H271="",H271=0),"",I271/H271)</f>
        <v/>
      </c>
      <c r="K271" s="15"/>
      <c r="L271" s="15"/>
      <c r="M271" s="18"/>
      <c r="N271" s="15"/>
      <c r="O271" s="16" t="str">
        <f aca="false">IF(AND(OR(K271="At risk",K271="Late"),L271=""),"Add a reason code",IF(AND(L271="OTH",N271=""),"Explain OTH in notes",IF(AND(K271="Finished",I271&lt;H271,L271=""),"Add a reason code","")))</f>
        <v/>
      </c>
    </row>
    <row r="272" customFormat="false" ht="15" hidden="false" customHeight="false" outlineLevel="0" collapsed="false">
      <c r="A272" s="14"/>
      <c r="B272" s="15"/>
      <c r="C272" s="15"/>
      <c r="D272" s="15"/>
      <c r="E272" s="16" t="str">
        <f aca="false">IF(C272="","",IFERROR(INDEX(Drivers!$B:$B,MATCH(C272,Drivers!$A:$A,0)),"ID not found"))</f>
        <v/>
      </c>
      <c r="F272" s="16" t="str">
        <f aca="false">IF(B272="","",IFERROR(INDEX(Routes!$B:$B,MATCH(B272,Routes!$A:$A,0)),"ID not found"))</f>
        <v/>
      </c>
      <c r="G272" s="16" t="str">
        <f aca="false">IF(OR(B272="",C272="",D272=""),"",IF(OR(ISNA(MATCH(B272,Routes!$A:$A,0)),ISNA(MATCH(C272,Drivers!$A:$A,0)),ISNA(MATCH(D272,Vehicles!$A:$A,0))),"CHECK: ID not found",IF(INDEX(Routes!$C:$C,MATCH(B272,Routes!$A:$A,0))&lt;&gt;INDEX(Vehicles!$B:$B,MATCH(D272,Vehicles!$A:$A,0)),"CHECK: vehicle type does not fit route",IF(INDEX(Routes!$C:$C,MATCH(B272,Routes!$A:$A,0))&lt;&gt;INDEX(Drivers!$D:$D,MATCH(C272,Drivers!$A:$A,0)),"CHECK: driver type does not fit route",IF(OR(INDEX(Vehicles!$E:$E,MATCH(D272,Vehicles!$A:$A,0))="Workshop",INDEX(Vehicles!$E:$E,MATCH(D272,Vehicles!$A:$A,0))="Out of service"),"CHECK: vehicle not available",IF(INDEX(Drivers!$G:$G,MATCH(C272,Drivers!$A:$A,0))&lt;&gt;"Active","CHECK: driver not active",IF(COUNTIFS($A:$A,A272,$C:$C,C272)&gt;1,"CHECK: driver assigned twice",IF(COUNTIFS($A:$A,A272,$D:$D,D272)&gt;1,"CHECK: vehicle assigned twice","OK"))))))))</f>
        <v/>
      </c>
      <c r="H272" s="15"/>
      <c r="I272" s="15"/>
      <c r="J272" s="17" t="str">
        <f aca="false">IF(OR(H272="",H272=0),"",I272/H272)</f>
        <v/>
      </c>
      <c r="K272" s="15"/>
      <c r="L272" s="15"/>
      <c r="M272" s="18"/>
      <c r="N272" s="15"/>
      <c r="O272" s="16" t="str">
        <f aca="false">IF(AND(OR(K272="At risk",K272="Late"),L272=""),"Add a reason code",IF(AND(L272="OTH",N272=""),"Explain OTH in notes",IF(AND(K272="Finished",I272&lt;H272,L272=""),"Add a reason code","")))</f>
        <v/>
      </c>
    </row>
    <row r="273" customFormat="false" ht="15" hidden="false" customHeight="false" outlineLevel="0" collapsed="false">
      <c r="A273" s="14"/>
      <c r="B273" s="15"/>
      <c r="C273" s="15"/>
      <c r="D273" s="15"/>
      <c r="E273" s="16" t="str">
        <f aca="false">IF(C273="","",IFERROR(INDEX(Drivers!$B:$B,MATCH(C273,Drivers!$A:$A,0)),"ID not found"))</f>
        <v/>
      </c>
      <c r="F273" s="16" t="str">
        <f aca="false">IF(B273="","",IFERROR(INDEX(Routes!$B:$B,MATCH(B273,Routes!$A:$A,0)),"ID not found"))</f>
        <v/>
      </c>
      <c r="G273" s="16" t="str">
        <f aca="false">IF(OR(B273="",C273="",D273=""),"",IF(OR(ISNA(MATCH(B273,Routes!$A:$A,0)),ISNA(MATCH(C273,Drivers!$A:$A,0)),ISNA(MATCH(D273,Vehicles!$A:$A,0))),"CHECK: ID not found",IF(INDEX(Routes!$C:$C,MATCH(B273,Routes!$A:$A,0))&lt;&gt;INDEX(Vehicles!$B:$B,MATCH(D273,Vehicles!$A:$A,0)),"CHECK: vehicle type does not fit route",IF(INDEX(Routes!$C:$C,MATCH(B273,Routes!$A:$A,0))&lt;&gt;INDEX(Drivers!$D:$D,MATCH(C273,Drivers!$A:$A,0)),"CHECK: driver type does not fit route",IF(OR(INDEX(Vehicles!$E:$E,MATCH(D273,Vehicles!$A:$A,0))="Workshop",INDEX(Vehicles!$E:$E,MATCH(D273,Vehicles!$A:$A,0))="Out of service"),"CHECK: vehicle not available",IF(INDEX(Drivers!$G:$G,MATCH(C273,Drivers!$A:$A,0))&lt;&gt;"Active","CHECK: driver not active",IF(COUNTIFS($A:$A,A273,$C:$C,C273)&gt;1,"CHECK: driver assigned twice",IF(COUNTIFS($A:$A,A273,$D:$D,D273)&gt;1,"CHECK: vehicle assigned twice","OK"))))))))</f>
        <v/>
      </c>
      <c r="H273" s="15"/>
      <c r="I273" s="15"/>
      <c r="J273" s="17" t="str">
        <f aca="false">IF(OR(H273="",H273=0),"",I273/H273)</f>
        <v/>
      </c>
      <c r="K273" s="15"/>
      <c r="L273" s="15"/>
      <c r="M273" s="18"/>
      <c r="N273" s="15"/>
      <c r="O273" s="16" t="str">
        <f aca="false">IF(AND(OR(K273="At risk",K273="Late"),L273=""),"Add a reason code",IF(AND(L273="OTH",N273=""),"Explain OTH in notes",IF(AND(K273="Finished",I273&lt;H273,L273=""),"Add a reason code","")))</f>
        <v/>
      </c>
    </row>
    <row r="274" customFormat="false" ht="15" hidden="false" customHeight="false" outlineLevel="0" collapsed="false">
      <c r="A274" s="14"/>
      <c r="B274" s="15"/>
      <c r="C274" s="15"/>
      <c r="D274" s="15"/>
      <c r="E274" s="16" t="str">
        <f aca="false">IF(C274="","",IFERROR(INDEX(Drivers!$B:$B,MATCH(C274,Drivers!$A:$A,0)),"ID not found"))</f>
        <v/>
      </c>
      <c r="F274" s="16" t="str">
        <f aca="false">IF(B274="","",IFERROR(INDEX(Routes!$B:$B,MATCH(B274,Routes!$A:$A,0)),"ID not found"))</f>
        <v/>
      </c>
      <c r="G274" s="16" t="str">
        <f aca="false">IF(OR(B274="",C274="",D274=""),"",IF(OR(ISNA(MATCH(B274,Routes!$A:$A,0)),ISNA(MATCH(C274,Drivers!$A:$A,0)),ISNA(MATCH(D274,Vehicles!$A:$A,0))),"CHECK: ID not found",IF(INDEX(Routes!$C:$C,MATCH(B274,Routes!$A:$A,0))&lt;&gt;INDEX(Vehicles!$B:$B,MATCH(D274,Vehicles!$A:$A,0)),"CHECK: vehicle type does not fit route",IF(INDEX(Routes!$C:$C,MATCH(B274,Routes!$A:$A,0))&lt;&gt;INDEX(Drivers!$D:$D,MATCH(C274,Drivers!$A:$A,0)),"CHECK: driver type does not fit route",IF(OR(INDEX(Vehicles!$E:$E,MATCH(D274,Vehicles!$A:$A,0))="Workshop",INDEX(Vehicles!$E:$E,MATCH(D274,Vehicles!$A:$A,0))="Out of service"),"CHECK: vehicle not available",IF(INDEX(Drivers!$G:$G,MATCH(C274,Drivers!$A:$A,0))&lt;&gt;"Active","CHECK: driver not active",IF(COUNTIFS($A:$A,A274,$C:$C,C274)&gt;1,"CHECK: driver assigned twice",IF(COUNTIFS($A:$A,A274,$D:$D,D274)&gt;1,"CHECK: vehicle assigned twice","OK"))))))))</f>
        <v/>
      </c>
      <c r="H274" s="15"/>
      <c r="I274" s="15"/>
      <c r="J274" s="17" t="str">
        <f aca="false">IF(OR(H274="",H274=0),"",I274/H274)</f>
        <v/>
      </c>
      <c r="K274" s="15"/>
      <c r="L274" s="15"/>
      <c r="M274" s="18"/>
      <c r="N274" s="15"/>
      <c r="O274" s="16" t="str">
        <f aca="false">IF(AND(OR(K274="At risk",K274="Late"),L274=""),"Add a reason code",IF(AND(L274="OTH",N274=""),"Explain OTH in notes",IF(AND(K274="Finished",I274&lt;H274,L274=""),"Add a reason code","")))</f>
        <v/>
      </c>
    </row>
    <row r="275" customFormat="false" ht="15" hidden="false" customHeight="false" outlineLevel="0" collapsed="false">
      <c r="A275" s="14"/>
      <c r="B275" s="15"/>
      <c r="C275" s="15"/>
      <c r="D275" s="15"/>
      <c r="E275" s="16" t="str">
        <f aca="false">IF(C275="","",IFERROR(INDEX(Drivers!$B:$B,MATCH(C275,Drivers!$A:$A,0)),"ID not found"))</f>
        <v/>
      </c>
      <c r="F275" s="16" t="str">
        <f aca="false">IF(B275="","",IFERROR(INDEX(Routes!$B:$B,MATCH(B275,Routes!$A:$A,0)),"ID not found"))</f>
        <v/>
      </c>
      <c r="G275" s="16" t="str">
        <f aca="false">IF(OR(B275="",C275="",D275=""),"",IF(OR(ISNA(MATCH(B275,Routes!$A:$A,0)),ISNA(MATCH(C275,Drivers!$A:$A,0)),ISNA(MATCH(D275,Vehicles!$A:$A,0))),"CHECK: ID not found",IF(INDEX(Routes!$C:$C,MATCH(B275,Routes!$A:$A,0))&lt;&gt;INDEX(Vehicles!$B:$B,MATCH(D275,Vehicles!$A:$A,0)),"CHECK: vehicle type does not fit route",IF(INDEX(Routes!$C:$C,MATCH(B275,Routes!$A:$A,0))&lt;&gt;INDEX(Drivers!$D:$D,MATCH(C275,Drivers!$A:$A,0)),"CHECK: driver type does not fit route",IF(OR(INDEX(Vehicles!$E:$E,MATCH(D275,Vehicles!$A:$A,0))="Workshop",INDEX(Vehicles!$E:$E,MATCH(D275,Vehicles!$A:$A,0))="Out of service"),"CHECK: vehicle not available",IF(INDEX(Drivers!$G:$G,MATCH(C275,Drivers!$A:$A,0))&lt;&gt;"Active","CHECK: driver not active",IF(COUNTIFS($A:$A,A275,$C:$C,C275)&gt;1,"CHECK: driver assigned twice",IF(COUNTIFS($A:$A,A275,$D:$D,D275)&gt;1,"CHECK: vehicle assigned twice","OK"))))))))</f>
        <v/>
      </c>
      <c r="H275" s="15"/>
      <c r="I275" s="15"/>
      <c r="J275" s="17" t="str">
        <f aca="false">IF(OR(H275="",H275=0),"",I275/H275)</f>
        <v/>
      </c>
      <c r="K275" s="15"/>
      <c r="L275" s="15"/>
      <c r="M275" s="18"/>
      <c r="N275" s="15"/>
      <c r="O275" s="16" t="str">
        <f aca="false">IF(AND(OR(K275="At risk",K275="Late"),L275=""),"Add a reason code",IF(AND(L275="OTH",N275=""),"Explain OTH in notes",IF(AND(K275="Finished",I275&lt;H275,L275=""),"Add a reason code","")))</f>
        <v/>
      </c>
    </row>
    <row r="276" customFormat="false" ht="15" hidden="false" customHeight="false" outlineLevel="0" collapsed="false">
      <c r="A276" s="14"/>
      <c r="B276" s="15"/>
      <c r="C276" s="15"/>
      <c r="D276" s="15"/>
      <c r="E276" s="16" t="str">
        <f aca="false">IF(C276="","",IFERROR(INDEX(Drivers!$B:$B,MATCH(C276,Drivers!$A:$A,0)),"ID not found"))</f>
        <v/>
      </c>
      <c r="F276" s="16" t="str">
        <f aca="false">IF(B276="","",IFERROR(INDEX(Routes!$B:$B,MATCH(B276,Routes!$A:$A,0)),"ID not found"))</f>
        <v/>
      </c>
      <c r="G276" s="16" t="str">
        <f aca="false">IF(OR(B276="",C276="",D276=""),"",IF(OR(ISNA(MATCH(B276,Routes!$A:$A,0)),ISNA(MATCH(C276,Drivers!$A:$A,0)),ISNA(MATCH(D276,Vehicles!$A:$A,0))),"CHECK: ID not found",IF(INDEX(Routes!$C:$C,MATCH(B276,Routes!$A:$A,0))&lt;&gt;INDEX(Vehicles!$B:$B,MATCH(D276,Vehicles!$A:$A,0)),"CHECK: vehicle type does not fit route",IF(INDEX(Routes!$C:$C,MATCH(B276,Routes!$A:$A,0))&lt;&gt;INDEX(Drivers!$D:$D,MATCH(C276,Drivers!$A:$A,0)),"CHECK: driver type does not fit route",IF(OR(INDEX(Vehicles!$E:$E,MATCH(D276,Vehicles!$A:$A,0))="Workshop",INDEX(Vehicles!$E:$E,MATCH(D276,Vehicles!$A:$A,0))="Out of service"),"CHECK: vehicle not available",IF(INDEX(Drivers!$G:$G,MATCH(C276,Drivers!$A:$A,0))&lt;&gt;"Active","CHECK: driver not active",IF(COUNTIFS($A:$A,A276,$C:$C,C276)&gt;1,"CHECK: driver assigned twice",IF(COUNTIFS($A:$A,A276,$D:$D,D276)&gt;1,"CHECK: vehicle assigned twice","OK"))))))))</f>
        <v/>
      </c>
      <c r="H276" s="15"/>
      <c r="I276" s="15"/>
      <c r="J276" s="17" t="str">
        <f aca="false">IF(OR(H276="",H276=0),"",I276/H276)</f>
        <v/>
      </c>
      <c r="K276" s="15"/>
      <c r="L276" s="15"/>
      <c r="M276" s="18"/>
      <c r="N276" s="15"/>
      <c r="O276" s="16" t="str">
        <f aca="false">IF(AND(OR(K276="At risk",K276="Late"),L276=""),"Add a reason code",IF(AND(L276="OTH",N276=""),"Explain OTH in notes",IF(AND(K276="Finished",I276&lt;H276,L276=""),"Add a reason code","")))</f>
        <v/>
      </c>
    </row>
    <row r="277" customFormat="false" ht="15" hidden="false" customHeight="false" outlineLevel="0" collapsed="false">
      <c r="A277" s="14"/>
      <c r="B277" s="15"/>
      <c r="C277" s="15"/>
      <c r="D277" s="15"/>
      <c r="E277" s="16" t="str">
        <f aca="false">IF(C277="","",IFERROR(INDEX(Drivers!$B:$B,MATCH(C277,Drivers!$A:$A,0)),"ID not found"))</f>
        <v/>
      </c>
      <c r="F277" s="16" t="str">
        <f aca="false">IF(B277="","",IFERROR(INDEX(Routes!$B:$B,MATCH(B277,Routes!$A:$A,0)),"ID not found"))</f>
        <v/>
      </c>
      <c r="G277" s="16" t="str">
        <f aca="false">IF(OR(B277="",C277="",D277=""),"",IF(OR(ISNA(MATCH(B277,Routes!$A:$A,0)),ISNA(MATCH(C277,Drivers!$A:$A,0)),ISNA(MATCH(D277,Vehicles!$A:$A,0))),"CHECK: ID not found",IF(INDEX(Routes!$C:$C,MATCH(B277,Routes!$A:$A,0))&lt;&gt;INDEX(Vehicles!$B:$B,MATCH(D277,Vehicles!$A:$A,0)),"CHECK: vehicle type does not fit route",IF(INDEX(Routes!$C:$C,MATCH(B277,Routes!$A:$A,0))&lt;&gt;INDEX(Drivers!$D:$D,MATCH(C277,Drivers!$A:$A,0)),"CHECK: driver type does not fit route",IF(OR(INDEX(Vehicles!$E:$E,MATCH(D277,Vehicles!$A:$A,0))="Workshop",INDEX(Vehicles!$E:$E,MATCH(D277,Vehicles!$A:$A,0))="Out of service"),"CHECK: vehicle not available",IF(INDEX(Drivers!$G:$G,MATCH(C277,Drivers!$A:$A,0))&lt;&gt;"Active","CHECK: driver not active",IF(COUNTIFS($A:$A,A277,$C:$C,C277)&gt;1,"CHECK: driver assigned twice",IF(COUNTIFS($A:$A,A277,$D:$D,D277)&gt;1,"CHECK: vehicle assigned twice","OK"))))))))</f>
        <v/>
      </c>
      <c r="H277" s="15"/>
      <c r="I277" s="15"/>
      <c r="J277" s="17" t="str">
        <f aca="false">IF(OR(H277="",H277=0),"",I277/H277)</f>
        <v/>
      </c>
      <c r="K277" s="15"/>
      <c r="L277" s="15"/>
      <c r="M277" s="18"/>
      <c r="N277" s="15"/>
      <c r="O277" s="16" t="str">
        <f aca="false">IF(AND(OR(K277="At risk",K277="Late"),L277=""),"Add a reason code",IF(AND(L277="OTH",N277=""),"Explain OTH in notes",IF(AND(K277="Finished",I277&lt;H277,L277=""),"Add a reason code","")))</f>
        <v/>
      </c>
    </row>
    <row r="278" customFormat="false" ht="15" hidden="false" customHeight="false" outlineLevel="0" collapsed="false">
      <c r="A278" s="14"/>
      <c r="B278" s="15"/>
      <c r="C278" s="15"/>
      <c r="D278" s="15"/>
      <c r="E278" s="16" t="str">
        <f aca="false">IF(C278="","",IFERROR(INDEX(Drivers!$B:$B,MATCH(C278,Drivers!$A:$A,0)),"ID not found"))</f>
        <v/>
      </c>
      <c r="F278" s="16" t="str">
        <f aca="false">IF(B278="","",IFERROR(INDEX(Routes!$B:$B,MATCH(B278,Routes!$A:$A,0)),"ID not found"))</f>
        <v/>
      </c>
      <c r="G278" s="16" t="str">
        <f aca="false">IF(OR(B278="",C278="",D278=""),"",IF(OR(ISNA(MATCH(B278,Routes!$A:$A,0)),ISNA(MATCH(C278,Drivers!$A:$A,0)),ISNA(MATCH(D278,Vehicles!$A:$A,0))),"CHECK: ID not found",IF(INDEX(Routes!$C:$C,MATCH(B278,Routes!$A:$A,0))&lt;&gt;INDEX(Vehicles!$B:$B,MATCH(D278,Vehicles!$A:$A,0)),"CHECK: vehicle type does not fit route",IF(INDEX(Routes!$C:$C,MATCH(B278,Routes!$A:$A,0))&lt;&gt;INDEX(Drivers!$D:$D,MATCH(C278,Drivers!$A:$A,0)),"CHECK: driver type does not fit route",IF(OR(INDEX(Vehicles!$E:$E,MATCH(D278,Vehicles!$A:$A,0))="Workshop",INDEX(Vehicles!$E:$E,MATCH(D278,Vehicles!$A:$A,0))="Out of service"),"CHECK: vehicle not available",IF(INDEX(Drivers!$G:$G,MATCH(C278,Drivers!$A:$A,0))&lt;&gt;"Active","CHECK: driver not active",IF(COUNTIFS($A:$A,A278,$C:$C,C278)&gt;1,"CHECK: driver assigned twice",IF(COUNTIFS($A:$A,A278,$D:$D,D278)&gt;1,"CHECK: vehicle assigned twice","OK"))))))))</f>
        <v/>
      </c>
      <c r="H278" s="15"/>
      <c r="I278" s="15"/>
      <c r="J278" s="17" t="str">
        <f aca="false">IF(OR(H278="",H278=0),"",I278/H278)</f>
        <v/>
      </c>
      <c r="K278" s="15"/>
      <c r="L278" s="15"/>
      <c r="M278" s="18"/>
      <c r="N278" s="15"/>
      <c r="O278" s="16" t="str">
        <f aca="false">IF(AND(OR(K278="At risk",K278="Late"),L278=""),"Add a reason code",IF(AND(L278="OTH",N278=""),"Explain OTH in notes",IF(AND(K278="Finished",I278&lt;H278,L278=""),"Add a reason code","")))</f>
        <v/>
      </c>
    </row>
    <row r="279" customFormat="false" ht="15" hidden="false" customHeight="false" outlineLevel="0" collapsed="false">
      <c r="A279" s="14"/>
      <c r="B279" s="15"/>
      <c r="C279" s="15"/>
      <c r="D279" s="15"/>
      <c r="E279" s="16" t="str">
        <f aca="false">IF(C279="","",IFERROR(INDEX(Drivers!$B:$B,MATCH(C279,Drivers!$A:$A,0)),"ID not found"))</f>
        <v/>
      </c>
      <c r="F279" s="16" t="str">
        <f aca="false">IF(B279="","",IFERROR(INDEX(Routes!$B:$B,MATCH(B279,Routes!$A:$A,0)),"ID not found"))</f>
        <v/>
      </c>
      <c r="G279" s="16" t="str">
        <f aca="false">IF(OR(B279="",C279="",D279=""),"",IF(OR(ISNA(MATCH(B279,Routes!$A:$A,0)),ISNA(MATCH(C279,Drivers!$A:$A,0)),ISNA(MATCH(D279,Vehicles!$A:$A,0))),"CHECK: ID not found",IF(INDEX(Routes!$C:$C,MATCH(B279,Routes!$A:$A,0))&lt;&gt;INDEX(Vehicles!$B:$B,MATCH(D279,Vehicles!$A:$A,0)),"CHECK: vehicle type does not fit route",IF(INDEX(Routes!$C:$C,MATCH(B279,Routes!$A:$A,0))&lt;&gt;INDEX(Drivers!$D:$D,MATCH(C279,Drivers!$A:$A,0)),"CHECK: driver type does not fit route",IF(OR(INDEX(Vehicles!$E:$E,MATCH(D279,Vehicles!$A:$A,0))="Workshop",INDEX(Vehicles!$E:$E,MATCH(D279,Vehicles!$A:$A,0))="Out of service"),"CHECK: vehicle not available",IF(INDEX(Drivers!$G:$G,MATCH(C279,Drivers!$A:$A,0))&lt;&gt;"Active","CHECK: driver not active",IF(COUNTIFS($A:$A,A279,$C:$C,C279)&gt;1,"CHECK: driver assigned twice",IF(COUNTIFS($A:$A,A279,$D:$D,D279)&gt;1,"CHECK: vehicle assigned twice","OK"))))))))</f>
        <v/>
      </c>
      <c r="H279" s="15"/>
      <c r="I279" s="15"/>
      <c r="J279" s="17" t="str">
        <f aca="false">IF(OR(H279="",H279=0),"",I279/H279)</f>
        <v/>
      </c>
      <c r="K279" s="15"/>
      <c r="L279" s="15"/>
      <c r="M279" s="18"/>
      <c r="N279" s="15"/>
      <c r="O279" s="16" t="str">
        <f aca="false">IF(AND(OR(K279="At risk",K279="Late"),L279=""),"Add a reason code",IF(AND(L279="OTH",N279=""),"Explain OTH in notes",IF(AND(K279="Finished",I279&lt;H279,L279=""),"Add a reason code","")))</f>
        <v/>
      </c>
    </row>
    <row r="280" customFormat="false" ht="15" hidden="false" customHeight="false" outlineLevel="0" collapsed="false">
      <c r="A280" s="14"/>
      <c r="B280" s="15"/>
      <c r="C280" s="15"/>
      <c r="D280" s="15"/>
      <c r="E280" s="16" t="str">
        <f aca="false">IF(C280="","",IFERROR(INDEX(Drivers!$B:$B,MATCH(C280,Drivers!$A:$A,0)),"ID not found"))</f>
        <v/>
      </c>
      <c r="F280" s="16" t="str">
        <f aca="false">IF(B280="","",IFERROR(INDEX(Routes!$B:$B,MATCH(B280,Routes!$A:$A,0)),"ID not found"))</f>
        <v/>
      </c>
      <c r="G280" s="16" t="str">
        <f aca="false">IF(OR(B280="",C280="",D280=""),"",IF(OR(ISNA(MATCH(B280,Routes!$A:$A,0)),ISNA(MATCH(C280,Drivers!$A:$A,0)),ISNA(MATCH(D280,Vehicles!$A:$A,0))),"CHECK: ID not found",IF(INDEX(Routes!$C:$C,MATCH(B280,Routes!$A:$A,0))&lt;&gt;INDEX(Vehicles!$B:$B,MATCH(D280,Vehicles!$A:$A,0)),"CHECK: vehicle type does not fit route",IF(INDEX(Routes!$C:$C,MATCH(B280,Routes!$A:$A,0))&lt;&gt;INDEX(Drivers!$D:$D,MATCH(C280,Drivers!$A:$A,0)),"CHECK: driver type does not fit route",IF(OR(INDEX(Vehicles!$E:$E,MATCH(D280,Vehicles!$A:$A,0))="Workshop",INDEX(Vehicles!$E:$E,MATCH(D280,Vehicles!$A:$A,0))="Out of service"),"CHECK: vehicle not available",IF(INDEX(Drivers!$G:$G,MATCH(C280,Drivers!$A:$A,0))&lt;&gt;"Active","CHECK: driver not active",IF(COUNTIFS($A:$A,A280,$C:$C,C280)&gt;1,"CHECK: driver assigned twice",IF(COUNTIFS($A:$A,A280,$D:$D,D280)&gt;1,"CHECK: vehicle assigned twice","OK"))))))))</f>
        <v/>
      </c>
      <c r="H280" s="15"/>
      <c r="I280" s="15"/>
      <c r="J280" s="17" t="str">
        <f aca="false">IF(OR(H280="",H280=0),"",I280/H280)</f>
        <v/>
      </c>
      <c r="K280" s="15"/>
      <c r="L280" s="15"/>
      <c r="M280" s="18"/>
      <c r="N280" s="15"/>
      <c r="O280" s="16" t="str">
        <f aca="false">IF(AND(OR(K280="At risk",K280="Late"),L280=""),"Add a reason code",IF(AND(L280="OTH",N280=""),"Explain OTH in notes",IF(AND(K280="Finished",I280&lt;H280,L280=""),"Add a reason code","")))</f>
        <v/>
      </c>
    </row>
    <row r="281" customFormat="false" ht="15" hidden="false" customHeight="false" outlineLevel="0" collapsed="false">
      <c r="A281" s="14"/>
      <c r="B281" s="15"/>
      <c r="C281" s="15"/>
      <c r="D281" s="15"/>
      <c r="E281" s="16" t="str">
        <f aca="false">IF(C281="","",IFERROR(INDEX(Drivers!$B:$B,MATCH(C281,Drivers!$A:$A,0)),"ID not found"))</f>
        <v/>
      </c>
      <c r="F281" s="16" t="str">
        <f aca="false">IF(B281="","",IFERROR(INDEX(Routes!$B:$B,MATCH(B281,Routes!$A:$A,0)),"ID not found"))</f>
        <v/>
      </c>
      <c r="G281" s="16" t="str">
        <f aca="false">IF(OR(B281="",C281="",D281=""),"",IF(OR(ISNA(MATCH(B281,Routes!$A:$A,0)),ISNA(MATCH(C281,Drivers!$A:$A,0)),ISNA(MATCH(D281,Vehicles!$A:$A,0))),"CHECK: ID not found",IF(INDEX(Routes!$C:$C,MATCH(B281,Routes!$A:$A,0))&lt;&gt;INDEX(Vehicles!$B:$B,MATCH(D281,Vehicles!$A:$A,0)),"CHECK: vehicle type does not fit route",IF(INDEX(Routes!$C:$C,MATCH(B281,Routes!$A:$A,0))&lt;&gt;INDEX(Drivers!$D:$D,MATCH(C281,Drivers!$A:$A,0)),"CHECK: driver type does not fit route",IF(OR(INDEX(Vehicles!$E:$E,MATCH(D281,Vehicles!$A:$A,0))="Workshop",INDEX(Vehicles!$E:$E,MATCH(D281,Vehicles!$A:$A,0))="Out of service"),"CHECK: vehicle not available",IF(INDEX(Drivers!$G:$G,MATCH(C281,Drivers!$A:$A,0))&lt;&gt;"Active","CHECK: driver not active",IF(COUNTIFS($A:$A,A281,$C:$C,C281)&gt;1,"CHECK: driver assigned twice",IF(COUNTIFS($A:$A,A281,$D:$D,D281)&gt;1,"CHECK: vehicle assigned twice","OK"))))))))</f>
        <v/>
      </c>
      <c r="H281" s="15"/>
      <c r="I281" s="15"/>
      <c r="J281" s="17" t="str">
        <f aca="false">IF(OR(H281="",H281=0),"",I281/H281)</f>
        <v/>
      </c>
      <c r="K281" s="15"/>
      <c r="L281" s="15"/>
      <c r="M281" s="18"/>
      <c r="N281" s="15"/>
      <c r="O281" s="16" t="str">
        <f aca="false">IF(AND(OR(K281="At risk",K281="Late"),L281=""),"Add a reason code",IF(AND(L281="OTH",N281=""),"Explain OTH in notes",IF(AND(K281="Finished",I281&lt;H281,L281=""),"Add a reason code","")))</f>
        <v/>
      </c>
    </row>
    <row r="282" customFormat="false" ht="15" hidden="false" customHeight="false" outlineLevel="0" collapsed="false">
      <c r="A282" s="14"/>
      <c r="B282" s="15"/>
      <c r="C282" s="15"/>
      <c r="D282" s="15"/>
      <c r="E282" s="16" t="str">
        <f aca="false">IF(C282="","",IFERROR(INDEX(Drivers!$B:$B,MATCH(C282,Drivers!$A:$A,0)),"ID not found"))</f>
        <v/>
      </c>
      <c r="F282" s="16" t="str">
        <f aca="false">IF(B282="","",IFERROR(INDEX(Routes!$B:$B,MATCH(B282,Routes!$A:$A,0)),"ID not found"))</f>
        <v/>
      </c>
      <c r="G282" s="16" t="str">
        <f aca="false">IF(OR(B282="",C282="",D282=""),"",IF(OR(ISNA(MATCH(B282,Routes!$A:$A,0)),ISNA(MATCH(C282,Drivers!$A:$A,0)),ISNA(MATCH(D282,Vehicles!$A:$A,0))),"CHECK: ID not found",IF(INDEX(Routes!$C:$C,MATCH(B282,Routes!$A:$A,0))&lt;&gt;INDEX(Vehicles!$B:$B,MATCH(D282,Vehicles!$A:$A,0)),"CHECK: vehicle type does not fit route",IF(INDEX(Routes!$C:$C,MATCH(B282,Routes!$A:$A,0))&lt;&gt;INDEX(Drivers!$D:$D,MATCH(C282,Drivers!$A:$A,0)),"CHECK: driver type does not fit route",IF(OR(INDEX(Vehicles!$E:$E,MATCH(D282,Vehicles!$A:$A,0))="Workshop",INDEX(Vehicles!$E:$E,MATCH(D282,Vehicles!$A:$A,0))="Out of service"),"CHECK: vehicle not available",IF(INDEX(Drivers!$G:$G,MATCH(C282,Drivers!$A:$A,0))&lt;&gt;"Active","CHECK: driver not active",IF(COUNTIFS($A:$A,A282,$C:$C,C282)&gt;1,"CHECK: driver assigned twice",IF(COUNTIFS($A:$A,A282,$D:$D,D282)&gt;1,"CHECK: vehicle assigned twice","OK"))))))))</f>
        <v/>
      </c>
      <c r="H282" s="15"/>
      <c r="I282" s="15"/>
      <c r="J282" s="17" t="str">
        <f aca="false">IF(OR(H282="",H282=0),"",I282/H282)</f>
        <v/>
      </c>
      <c r="K282" s="15"/>
      <c r="L282" s="15"/>
      <c r="M282" s="18"/>
      <c r="N282" s="15"/>
      <c r="O282" s="16" t="str">
        <f aca="false">IF(AND(OR(K282="At risk",K282="Late"),L282=""),"Add a reason code",IF(AND(L282="OTH",N282=""),"Explain OTH in notes",IF(AND(K282="Finished",I282&lt;H282,L282=""),"Add a reason code","")))</f>
        <v/>
      </c>
    </row>
    <row r="283" customFormat="false" ht="15" hidden="false" customHeight="false" outlineLevel="0" collapsed="false">
      <c r="A283" s="14"/>
      <c r="B283" s="15"/>
      <c r="C283" s="15"/>
      <c r="D283" s="15"/>
      <c r="E283" s="16" t="str">
        <f aca="false">IF(C283="","",IFERROR(INDEX(Drivers!$B:$B,MATCH(C283,Drivers!$A:$A,0)),"ID not found"))</f>
        <v/>
      </c>
      <c r="F283" s="16" t="str">
        <f aca="false">IF(B283="","",IFERROR(INDEX(Routes!$B:$B,MATCH(B283,Routes!$A:$A,0)),"ID not found"))</f>
        <v/>
      </c>
      <c r="G283" s="16" t="str">
        <f aca="false">IF(OR(B283="",C283="",D283=""),"",IF(OR(ISNA(MATCH(B283,Routes!$A:$A,0)),ISNA(MATCH(C283,Drivers!$A:$A,0)),ISNA(MATCH(D283,Vehicles!$A:$A,0))),"CHECK: ID not found",IF(INDEX(Routes!$C:$C,MATCH(B283,Routes!$A:$A,0))&lt;&gt;INDEX(Vehicles!$B:$B,MATCH(D283,Vehicles!$A:$A,0)),"CHECK: vehicle type does not fit route",IF(INDEX(Routes!$C:$C,MATCH(B283,Routes!$A:$A,0))&lt;&gt;INDEX(Drivers!$D:$D,MATCH(C283,Drivers!$A:$A,0)),"CHECK: driver type does not fit route",IF(OR(INDEX(Vehicles!$E:$E,MATCH(D283,Vehicles!$A:$A,0))="Workshop",INDEX(Vehicles!$E:$E,MATCH(D283,Vehicles!$A:$A,0))="Out of service"),"CHECK: vehicle not available",IF(INDEX(Drivers!$G:$G,MATCH(C283,Drivers!$A:$A,0))&lt;&gt;"Active","CHECK: driver not active",IF(COUNTIFS($A:$A,A283,$C:$C,C283)&gt;1,"CHECK: driver assigned twice",IF(COUNTIFS($A:$A,A283,$D:$D,D283)&gt;1,"CHECK: vehicle assigned twice","OK"))))))))</f>
        <v/>
      </c>
      <c r="H283" s="15"/>
      <c r="I283" s="15"/>
      <c r="J283" s="17" t="str">
        <f aca="false">IF(OR(H283="",H283=0),"",I283/H283)</f>
        <v/>
      </c>
      <c r="K283" s="15"/>
      <c r="L283" s="15"/>
      <c r="M283" s="18"/>
      <c r="N283" s="15"/>
      <c r="O283" s="16" t="str">
        <f aca="false">IF(AND(OR(K283="At risk",K283="Late"),L283=""),"Add a reason code",IF(AND(L283="OTH",N283=""),"Explain OTH in notes",IF(AND(K283="Finished",I283&lt;H283,L283=""),"Add a reason code","")))</f>
        <v/>
      </c>
    </row>
    <row r="284" customFormat="false" ht="15" hidden="false" customHeight="false" outlineLevel="0" collapsed="false">
      <c r="A284" s="14"/>
      <c r="B284" s="15"/>
      <c r="C284" s="15"/>
      <c r="D284" s="15"/>
      <c r="E284" s="16" t="str">
        <f aca="false">IF(C284="","",IFERROR(INDEX(Drivers!$B:$B,MATCH(C284,Drivers!$A:$A,0)),"ID not found"))</f>
        <v/>
      </c>
      <c r="F284" s="16" t="str">
        <f aca="false">IF(B284="","",IFERROR(INDEX(Routes!$B:$B,MATCH(B284,Routes!$A:$A,0)),"ID not found"))</f>
        <v/>
      </c>
      <c r="G284" s="16" t="str">
        <f aca="false">IF(OR(B284="",C284="",D284=""),"",IF(OR(ISNA(MATCH(B284,Routes!$A:$A,0)),ISNA(MATCH(C284,Drivers!$A:$A,0)),ISNA(MATCH(D284,Vehicles!$A:$A,0))),"CHECK: ID not found",IF(INDEX(Routes!$C:$C,MATCH(B284,Routes!$A:$A,0))&lt;&gt;INDEX(Vehicles!$B:$B,MATCH(D284,Vehicles!$A:$A,0)),"CHECK: vehicle type does not fit route",IF(INDEX(Routes!$C:$C,MATCH(B284,Routes!$A:$A,0))&lt;&gt;INDEX(Drivers!$D:$D,MATCH(C284,Drivers!$A:$A,0)),"CHECK: driver type does not fit route",IF(OR(INDEX(Vehicles!$E:$E,MATCH(D284,Vehicles!$A:$A,0))="Workshop",INDEX(Vehicles!$E:$E,MATCH(D284,Vehicles!$A:$A,0))="Out of service"),"CHECK: vehicle not available",IF(INDEX(Drivers!$G:$G,MATCH(C284,Drivers!$A:$A,0))&lt;&gt;"Active","CHECK: driver not active",IF(COUNTIFS($A:$A,A284,$C:$C,C284)&gt;1,"CHECK: driver assigned twice",IF(COUNTIFS($A:$A,A284,$D:$D,D284)&gt;1,"CHECK: vehicle assigned twice","OK"))))))))</f>
        <v/>
      </c>
      <c r="H284" s="15"/>
      <c r="I284" s="15"/>
      <c r="J284" s="17" t="str">
        <f aca="false">IF(OR(H284="",H284=0),"",I284/H284)</f>
        <v/>
      </c>
      <c r="K284" s="15"/>
      <c r="L284" s="15"/>
      <c r="M284" s="18"/>
      <c r="N284" s="15"/>
      <c r="O284" s="16" t="str">
        <f aca="false">IF(AND(OR(K284="At risk",K284="Late"),L284=""),"Add a reason code",IF(AND(L284="OTH",N284=""),"Explain OTH in notes",IF(AND(K284="Finished",I284&lt;H284,L284=""),"Add a reason code","")))</f>
        <v/>
      </c>
    </row>
    <row r="285" customFormat="false" ht="15" hidden="false" customHeight="false" outlineLevel="0" collapsed="false">
      <c r="A285" s="14"/>
      <c r="B285" s="15"/>
      <c r="C285" s="15"/>
      <c r="D285" s="15"/>
      <c r="E285" s="16" t="str">
        <f aca="false">IF(C285="","",IFERROR(INDEX(Drivers!$B:$B,MATCH(C285,Drivers!$A:$A,0)),"ID not found"))</f>
        <v/>
      </c>
      <c r="F285" s="16" t="str">
        <f aca="false">IF(B285="","",IFERROR(INDEX(Routes!$B:$B,MATCH(B285,Routes!$A:$A,0)),"ID not found"))</f>
        <v/>
      </c>
      <c r="G285" s="16" t="str">
        <f aca="false">IF(OR(B285="",C285="",D285=""),"",IF(OR(ISNA(MATCH(B285,Routes!$A:$A,0)),ISNA(MATCH(C285,Drivers!$A:$A,0)),ISNA(MATCH(D285,Vehicles!$A:$A,0))),"CHECK: ID not found",IF(INDEX(Routes!$C:$C,MATCH(B285,Routes!$A:$A,0))&lt;&gt;INDEX(Vehicles!$B:$B,MATCH(D285,Vehicles!$A:$A,0)),"CHECK: vehicle type does not fit route",IF(INDEX(Routes!$C:$C,MATCH(B285,Routes!$A:$A,0))&lt;&gt;INDEX(Drivers!$D:$D,MATCH(C285,Drivers!$A:$A,0)),"CHECK: driver type does not fit route",IF(OR(INDEX(Vehicles!$E:$E,MATCH(D285,Vehicles!$A:$A,0))="Workshop",INDEX(Vehicles!$E:$E,MATCH(D285,Vehicles!$A:$A,0))="Out of service"),"CHECK: vehicle not available",IF(INDEX(Drivers!$G:$G,MATCH(C285,Drivers!$A:$A,0))&lt;&gt;"Active","CHECK: driver not active",IF(COUNTIFS($A:$A,A285,$C:$C,C285)&gt;1,"CHECK: driver assigned twice",IF(COUNTIFS($A:$A,A285,$D:$D,D285)&gt;1,"CHECK: vehicle assigned twice","OK"))))))))</f>
        <v/>
      </c>
      <c r="H285" s="15"/>
      <c r="I285" s="15"/>
      <c r="J285" s="17" t="str">
        <f aca="false">IF(OR(H285="",H285=0),"",I285/H285)</f>
        <v/>
      </c>
      <c r="K285" s="15"/>
      <c r="L285" s="15"/>
      <c r="M285" s="18"/>
      <c r="N285" s="15"/>
      <c r="O285" s="16" t="str">
        <f aca="false">IF(AND(OR(K285="At risk",K285="Late"),L285=""),"Add a reason code",IF(AND(L285="OTH",N285=""),"Explain OTH in notes",IF(AND(K285="Finished",I285&lt;H285,L285=""),"Add a reason code","")))</f>
        <v/>
      </c>
    </row>
    <row r="286" customFormat="false" ht="15" hidden="false" customHeight="false" outlineLevel="0" collapsed="false">
      <c r="A286" s="14"/>
      <c r="B286" s="15"/>
      <c r="C286" s="15"/>
      <c r="D286" s="15"/>
      <c r="E286" s="16" t="str">
        <f aca="false">IF(C286="","",IFERROR(INDEX(Drivers!$B:$B,MATCH(C286,Drivers!$A:$A,0)),"ID not found"))</f>
        <v/>
      </c>
      <c r="F286" s="16" t="str">
        <f aca="false">IF(B286="","",IFERROR(INDEX(Routes!$B:$B,MATCH(B286,Routes!$A:$A,0)),"ID not found"))</f>
        <v/>
      </c>
      <c r="G286" s="16" t="str">
        <f aca="false">IF(OR(B286="",C286="",D286=""),"",IF(OR(ISNA(MATCH(B286,Routes!$A:$A,0)),ISNA(MATCH(C286,Drivers!$A:$A,0)),ISNA(MATCH(D286,Vehicles!$A:$A,0))),"CHECK: ID not found",IF(INDEX(Routes!$C:$C,MATCH(B286,Routes!$A:$A,0))&lt;&gt;INDEX(Vehicles!$B:$B,MATCH(D286,Vehicles!$A:$A,0)),"CHECK: vehicle type does not fit route",IF(INDEX(Routes!$C:$C,MATCH(B286,Routes!$A:$A,0))&lt;&gt;INDEX(Drivers!$D:$D,MATCH(C286,Drivers!$A:$A,0)),"CHECK: driver type does not fit route",IF(OR(INDEX(Vehicles!$E:$E,MATCH(D286,Vehicles!$A:$A,0))="Workshop",INDEX(Vehicles!$E:$E,MATCH(D286,Vehicles!$A:$A,0))="Out of service"),"CHECK: vehicle not available",IF(INDEX(Drivers!$G:$G,MATCH(C286,Drivers!$A:$A,0))&lt;&gt;"Active","CHECK: driver not active",IF(COUNTIFS($A:$A,A286,$C:$C,C286)&gt;1,"CHECK: driver assigned twice",IF(COUNTIFS($A:$A,A286,$D:$D,D286)&gt;1,"CHECK: vehicle assigned twice","OK"))))))))</f>
        <v/>
      </c>
      <c r="H286" s="15"/>
      <c r="I286" s="15"/>
      <c r="J286" s="17" t="str">
        <f aca="false">IF(OR(H286="",H286=0),"",I286/H286)</f>
        <v/>
      </c>
      <c r="K286" s="15"/>
      <c r="L286" s="15"/>
      <c r="M286" s="18"/>
      <c r="N286" s="15"/>
      <c r="O286" s="16" t="str">
        <f aca="false">IF(AND(OR(K286="At risk",K286="Late"),L286=""),"Add a reason code",IF(AND(L286="OTH",N286=""),"Explain OTH in notes",IF(AND(K286="Finished",I286&lt;H286,L286=""),"Add a reason code","")))</f>
        <v/>
      </c>
    </row>
    <row r="287" customFormat="false" ht="15" hidden="false" customHeight="false" outlineLevel="0" collapsed="false">
      <c r="A287" s="14"/>
      <c r="B287" s="15"/>
      <c r="C287" s="15"/>
      <c r="D287" s="15"/>
      <c r="E287" s="16" t="str">
        <f aca="false">IF(C287="","",IFERROR(INDEX(Drivers!$B:$B,MATCH(C287,Drivers!$A:$A,0)),"ID not found"))</f>
        <v/>
      </c>
      <c r="F287" s="16" t="str">
        <f aca="false">IF(B287="","",IFERROR(INDEX(Routes!$B:$B,MATCH(B287,Routes!$A:$A,0)),"ID not found"))</f>
        <v/>
      </c>
      <c r="G287" s="16" t="str">
        <f aca="false">IF(OR(B287="",C287="",D287=""),"",IF(OR(ISNA(MATCH(B287,Routes!$A:$A,0)),ISNA(MATCH(C287,Drivers!$A:$A,0)),ISNA(MATCH(D287,Vehicles!$A:$A,0))),"CHECK: ID not found",IF(INDEX(Routes!$C:$C,MATCH(B287,Routes!$A:$A,0))&lt;&gt;INDEX(Vehicles!$B:$B,MATCH(D287,Vehicles!$A:$A,0)),"CHECK: vehicle type does not fit route",IF(INDEX(Routes!$C:$C,MATCH(B287,Routes!$A:$A,0))&lt;&gt;INDEX(Drivers!$D:$D,MATCH(C287,Drivers!$A:$A,0)),"CHECK: driver type does not fit route",IF(OR(INDEX(Vehicles!$E:$E,MATCH(D287,Vehicles!$A:$A,0))="Workshop",INDEX(Vehicles!$E:$E,MATCH(D287,Vehicles!$A:$A,0))="Out of service"),"CHECK: vehicle not available",IF(INDEX(Drivers!$G:$G,MATCH(C287,Drivers!$A:$A,0))&lt;&gt;"Active","CHECK: driver not active",IF(COUNTIFS($A:$A,A287,$C:$C,C287)&gt;1,"CHECK: driver assigned twice",IF(COUNTIFS($A:$A,A287,$D:$D,D287)&gt;1,"CHECK: vehicle assigned twice","OK"))))))))</f>
        <v/>
      </c>
      <c r="H287" s="15"/>
      <c r="I287" s="15"/>
      <c r="J287" s="17" t="str">
        <f aca="false">IF(OR(H287="",H287=0),"",I287/H287)</f>
        <v/>
      </c>
      <c r="K287" s="15"/>
      <c r="L287" s="15"/>
      <c r="M287" s="18"/>
      <c r="N287" s="15"/>
      <c r="O287" s="16" t="str">
        <f aca="false">IF(AND(OR(K287="At risk",K287="Late"),L287=""),"Add a reason code",IF(AND(L287="OTH",N287=""),"Explain OTH in notes",IF(AND(K287="Finished",I287&lt;H287,L287=""),"Add a reason code","")))</f>
        <v/>
      </c>
    </row>
    <row r="288" customFormat="false" ht="15" hidden="false" customHeight="false" outlineLevel="0" collapsed="false">
      <c r="A288" s="14"/>
      <c r="B288" s="15"/>
      <c r="C288" s="15"/>
      <c r="D288" s="15"/>
      <c r="E288" s="16" t="str">
        <f aca="false">IF(C288="","",IFERROR(INDEX(Drivers!$B:$B,MATCH(C288,Drivers!$A:$A,0)),"ID not found"))</f>
        <v/>
      </c>
      <c r="F288" s="16" t="str">
        <f aca="false">IF(B288="","",IFERROR(INDEX(Routes!$B:$B,MATCH(B288,Routes!$A:$A,0)),"ID not found"))</f>
        <v/>
      </c>
      <c r="G288" s="16" t="str">
        <f aca="false">IF(OR(B288="",C288="",D288=""),"",IF(OR(ISNA(MATCH(B288,Routes!$A:$A,0)),ISNA(MATCH(C288,Drivers!$A:$A,0)),ISNA(MATCH(D288,Vehicles!$A:$A,0))),"CHECK: ID not found",IF(INDEX(Routes!$C:$C,MATCH(B288,Routes!$A:$A,0))&lt;&gt;INDEX(Vehicles!$B:$B,MATCH(D288,Vehicles!$A:$A,0)),"CHECK: vehicle type does not fit route",IF(INDEX(Routes!$C:$C,MATCH(B288,Routes!$A:$A,0))&lt;&gt;INDEX(Drivers!$D:$D,MATCH(C288,Drivers!$A:$A,0)),"CHECK: driver type does not fit route",IF(OR(INDEX(Vehicles!$E:$E,MATCH(D288,Vehicles!$A:$A,0))="Workshop",INDEX(Vehicles!$E:$E,MATCH(D288,Vehicles!$A:$A,0))="Out of service"),"CHECK: vehicle not available",IF(INDEX(Drivers!$G:$G,MATCH(C288,Drivers!$A:$A,0))&lt;&gt;"Active","CHECK: driver not active",IF(COUNTIFS($A:$A,A288,$C:$C,C288)&gt;1,"CHECK: driver assigned twice",IF(COUNTIFS($A:$A,A288,$D:$D,D288)&gt;1,"CHECK: vehicle assigned twice","OK"))))))))</f>
        <v/>
      </c>
      <c r="H288" s="15"/>
      <c r="I288" s="15"/>
      <c r="J288" s="17" t="str">
        <f aca="false">IF(OR(H288="",H288=0),"",I288/H288)</f>
        <v/>
      </c>
      <c r="K288" s="15"/>
      <c r="L288" s="15"/>
      <c r="M288" s="18"/>
      <c r="N288" s="15"/>
      <c r="O288" s="16" t="str">
        <f aca="false">IF(AND(OR(K288="At risk",K288="Late"),L288=""),"Add a reason code",IF(AND(L288="OTH",N288=""),"Explain OTH in notes",IF(AND(K288="Finished",I288&lt;H288,L288=""),"Add a reason code","")))</f>
        <v/>
      </c>
    </row>
    <row r="289" customFormat="false" ht="15" hidden="false" customHeight="false" outlineLevel="0" collapsed="false">
      <c r="A289" s="14"/>
      <c r="B289" s="15"/>
      <c r="C289" s="15"/>
      <c r="D289" s="15"/>
      <c r="E289" s="16" t="str">
        <f aca="false">IF(C289="","",IFERROR(INDEX(Drivers!$B:$B,MATCH(C289,Drivers!$A:$A,0)),"ID not found"))</f>
        <v/>
      </c>
      <c r="F289" s="16" t="str">
        <f aca="false">IF(B289="","",IFERROR(INDEX(Routes!$B:$B,MATCH(B289,Routes!$A:$A,0)),"ID not found"))</f>
        <v/>
      </c>
      <c r="G289" s="16" t="str">
        <f aca="false">IF(OR(B289="",C289="",D289=""),"",IF(OR(ISNA(MATCH(B289,Routes!$A:$A,0)),ISNA(MATCH(C289,Drivers!$A:$A,0)),ISNA(MATCH(D289,Vehicles!$A:$A,0))),"CHECK: ID not found",IF(INDEX(Routes!$C:$C,MATCH(B289,Routes!$A:$A,0))&lt;&gt;INDEX(Vehicles!$B:$B,MATCH(D289,Vehicles!$A:$A,0)),"CHECK: vehicle type does not fit route",IF(INDEX(Routes!$C:$C,MATCH(B289,Routes!$A:$A,0))&lt;&gt;INDEX(Drivers!$D:$D,MATCH(C289,Drivers!$A:$A,0)),"CHECK: driver type does not fit route",IF(OR(INDEX(Vehicles!$E:$E,MATCH(D289,Vehicles!$A:$A,0))="Workshop",INDEX(Vehicles!$E:$E,MATCH(D289,Vehicles!$A:$A,0))="Out of service"),"CHECK: vehicle not available",IF(INDEX(Drivers!$G:$G,MATCH(C289,Drivers!$A:$A,0))&lt;&gt;"Active","CHECK: driver not active",IF(COUNTIFS($A:$A,A289,$C:$C,C289)&gt;1,"CHECK: driver assigned twice",IF(COUNTIFS($A:$A,A289,$D:$D,D289)&gt;1,"CHECK: vehicle assigned twice","OK"))))))))</f>
        <v/>
      </c>
      <c r="H289" s="15"/>
      <c r="I289" s="15"/>
      <c r="J289" s="17" t="str">
        <f aca="false">IF(OR(H289="",H289=0),"",I289/H289)</f>
        <v/>
      </c>
      <c r="K289" s="15"/>
      <c r="L289" s="15"/>
      <c r="M289" s="18"/>
      <c r="N289" s="15"/>
      <c r="O289" s="16" t="str">
        <f aca="false">IF(AND(OR(K289="At risk",K289="Late"),L289=""),"Add a reason code",IF(AND(L289="OTH",N289=""),"Explain OTH in notes",IF(AND(K289="Finished",I289&lt;H289,L289=""),"Add a reason code","")))</f>
        <v/>
      </c>
    </row>
    <row r="290" customFormat="false" ht="15" hidden="false" customHeight="false" outlineLevel="0" collapsed="false">
      <c r="A290" s="14"/>
      <c r="B290" s="15"/>
      <c r="C290" s="15"/>
      <c r="D290" s="15"/>
      <c r="E290" s="16" t="str">
        <f aca="false">IF(C290="","",IFERROR(INDEX(Drivers!$B:$B,MATCH(C290,Drivers!$A:$A,0)),"ID not found"))</f>
        <v/>
      </c>
      <c r="F290" s="16" t="str">
        <f aca="false">IF(B290="","",IFERROR(INDEX(Routes!$B:$B,MATCH(B290,Routes!$A:$A,0)),"ID not found"))</f>
        <v/>
      </c>
      <c r="G290" s="16" t="str">
        <f aca="false">IF(OR(B290="",C290="",D290=""),"",IF(OR(ISNA(MATCH(B290,Routes!$A:$A,0)),ISNA(MATCH(C290,Drivers!$A:$A,0)),ISNA(MATCH(D290,Vehicles!$A:$A,0))),"CHECK: ID not found",IF(INDEX(Routes!$C:$C,MATCH(B290,Routes!$A:$A,0))&lt;&gt;INDEX(Vehicles!$B:$B,MATCH(D290,Vehicles!$A:$A,0)),"CHECK: vehicle type does not fit route",IF(INDEX(Routes!$C:$C,MATCH(B290,Routes!$A:$A,0))&lt;&gt;INDEX(Drivers!$D:$D,MATCH(C290,Drivers!$A:$A,0)),"CHECK: driver type does not fit route",IF(OR(INDEX(Vehicles!$E:$E,MATCH(D290,Vehicles!$A:$A,0))="Workshop",INDEX(Vehicles!$E:$E,MATCH(D290,Vehicles!$A:$A,0))="Out of service"),"CHECK: vehicle not available",IF(INDEX(Drivers!$G:$G,MATCH(C290,Drivers!$A:$A,0))&lt;&gt;"Active","CHECK: driver not active",IF(COUNTIFS($A:$A,A290,$C:$C,C290)&gt;1,"CHECK: driver assigned twice",IF(COUNTIFS($A:$A,A290,$D:$D,D290)&gt;1,"CHECK: vehicle assigned twice","OK"))))))))</f>
        <v/>
      </c>
      <c r="H290" s="15"/>
      <c r="I290" s="15"/>
      <c r="J290" s="17" t="str">
        <f aca="false">IF(OR(H290="",H290=0),"",I290/H290)</f>
        <v/>
      </c>
      <c r="K290" s="15"/>
      <c r="L290" s="15"/>
      <c r="M290" s="18"/>
      <c r="N290" s="15"/>
      <c r="O290" s="16" t="str">
        <f aca="false">IF(AND(OR(K290="At risk",K290="Late"),L290=""),"Add a reason code",IF(AND(L290="OTH",N290=""),"Explain OTH in notes",IF(AND(K290="Finished",I290&lt;H290,L290=""),"Add a reason code","")))</f>
        <v/>
      </c>
    </row>
    <row r="291" customFormat="false" ht="15" hidden="false" customHeight="false" outlineLevel="0" collapsed="false">
      <c r="A291" s="14"/>
      <c r="B291" s="15"/>
      <c r="C291" s="15"/>
      <c r="D291" s="15"/>
      <c r="E291" s="16" t="str">
        <f aca="false">IF(C291="","",IFERROR(INDEX(Drivers!$B:$B,MATCH(C291,Drivers!$A:$A,0)),"ID not found"))</f>
        <v/>
      </c>
      <c r="F291" s="16" t="str">
        <f aca="false">IF(B291="","",IFERROR(INDEX(Routes!$B:$B,MATCH(B291,Routes!$A:$A,0)),"ID not found"))</f>
        <v/>
      </c>
      <c r="G291" s="16" t="str">
        <f aca="false">IF(OR(B291="",C291="",D291=""),"",IF(OR(ISNA(MATCH(B291,Routes!$A:$A,0)),ISNA(MATCH(C291,Drivers!$A:$A,0)),ISNA(MATCH(D291,Vehicles!$A:$A,0))),"CHECK: ID not found",IF(INDEX(Routes!$C:$C,MATCH(B291,Routes!$A:$A,0))&lt;&gt;INDEX(Vehicles!$B:$B,MATCH(D291,Vehicles!$A:$A,0)),"CHECK: vehicle type does not fit route",IF(INDEX(Routes!$C:$C,MATCH(B291,Routes!$A:$A,0))&lt;&gt;INDEX(Drivers!$D:$D,MATCH(C291,Drivers!$A:$A,0)),"CHECK: driver type does not fit route",IF(OR(INDEX(Vehicles!$E:$E,MATCH(D291,Vehicles!$A:$A,0))="Workshop",INDEX(Vehicles!$E:$E,MATCH(D291,Vehicles!$A:$A,0))="Out of service"),"CHECK: vehicle not available",IF(INDEX(Drivers!$G:$G,MATCH(C291,Drivers!$A:$A,0))&lt;&gt;"Active","CHECK: driver not active",IF(COUNTIFS($A:$A,A291,$C:$C,C291)&gt;1,"CHECK: driver assigned twice",IF(COUNTIFS($A:$A,A291,$D:$D,D291)&gt;1,"CHECK: vehicle assigned twice","OK"))))))))</f>
        <v/>
      </c>
      <c r="H291" s="15"/>
      <c r="I291" s="15"/>
      <c r="J291" s="17" t="str">
        <f aca="false">IF(OR(H291="",H291=0),"",I291/H291)</f>
        <v/>
      </c>
      <c r="K291" s="15"/>
      <c r="L291" s="15"/>
      <c r="M291" s="18"/>
      <c r="N291" s="15"/>
      <c r="O291" s="16" t="str">
        <f aca="false">IF(AND(OR(K291="At risk",K291="Late"),L291=""),"Add a reason code",IF(AND(L291="OTH",N291=""),"Explain OTH in notes",IF(AND(K291="Finished",I291&lt;H291,L291=""),"Add a reason code","")))</f>
        <v/>
      </c>
    </row>
    <row r="292" customFormat="false" ht="15" hidden="false" customHeight="false" outlineLevel="0" collapsed="false">
      <c r="A292" s="14"/>
      <c r="B292" s="15"/>
      <c r="C292" s="15"/>
      <c r="D292" s="15"/>
      <c r="E292" s="16" t="str">
        <f aca="false">IF(C292="","",IFERROR(INDEX(Drivers!$B:$B,MATCH(C292,Drivers!$A:$A,0)),"ID not found"))</f>
        <v/>
      </c>
      <c r="F292" s="16" t="str">
        <f aca="false">IF(B292="","",IFERROR(INDEX(Routes!$B:$B,MATCH(B292,Routes!$A:$A,0)),"ID not found"))</f>
        <v/>
      </c>
      <c r="G292" s="16" t="str">
        <f aca="false">IF(OR(B292="",C292="",D292=""),"",IF(OR(ISNA(MATCH(B292,Routes!$A:$A,0)),ISNA(MATCH(C292,Drivers!$A:$A,0)),ISNA(MATCH(D292,Vehicles!$A:$A,0))),"CHECK: ID not found",IF(INDEX(Routes!$C:$C,MATCH(B292,Routes!$A:$A,0))&lt;&gt;INDEX(Vehicles!$B:$B,MATCH(D292,Vehicles!$A:$A,0)),"CHECK: vehicle type does not fit route",IF(INDEX(Routes!$C:$C,MATCH(B292,Routes!$A:$A,0))&lt;&gt;INDEX(Drivers!$D:$D,MATCH(C292,Drivers!$A:$A,0)),"CHECK: driver type does not fit route",IF(OR(INDEX(Vehicles!$E:$E,MATCH(D292,Vehicles!$A:$A,0))="Workshop",INDEX(Vehicles!$E:$E,MATCH(D292,Vehicles!$A:$A,0))="Out of service"),"CHECK: vehicle not available",IF(INDEX(Drivers!$G:$G,MATCH(C292,Drivers!$A:$A,0))&lt;&gt;"Active","CHECK: driver not active",IF(COUNTIFS($A:$A,A292,$C:$C,C292)&gt;1,"CHECK: driver assigned twice",IF(COUNTIFS($A:$A,A292,$D:$D,D292)&gt;1,"CHECK: vehicle assigned twice","OK"))))))))</f>
        <v/>
      </c>
      <c r="H292" s="15"/>
      <c r="I292" s="15"/>
      <c r="J292" s="17" t="str">
        <f aca="false">IF(OR(H292="",H292=0),"",I292/H292)</f>
        <v/>
      </c>
      <c r="K292" s="15"/>
      <c r="L292" s="15"/>
      <c r="M292" s="18"/>
      <c r="N292" s="15"/>
      <c r="O292" s="16" t="str">
        <f aca="false">IF(AND(OR(K292="At risk",K292="Late"),L292=""),"Add a reason code",IF(AND(L292="OTH",N292=""),"Explain OTH in notes",IF(AND(K292="Finished",I292&lt;H292,L292=""),"Add a reason code","")))</f>
        <v/>
      </c>
    </row>
    <row r="293" customFormat="false" ht="15" hidden="false" customHeight="false" outlineLevel="0" collapsed="false">
      <c r="A293" s="14"/>
      <c r="B293" s="15"/>
      <c r="C293" s="15"/>
      <c r="D293" s="15"/>
      <c r="E293" s="16" t="str">
        <f aca="false">IF(C293="","",IFERROR(INDEX(Drivers!$B:$B,MATCH(C293,Drivers!$A:$A,0)),"ID not found"))</f>
        <v/>
      </c>
      <c r="F293" s="16" t="str">
        <f aca="false">IF(B293="","",IFERROR(INDEX(Routes!$B:$B,MATCH(B293,Routes!$A:$A,0)),"ID not found"))</f>
        <v/>
      </c>
      <c r="G293" s="16" t="str">
        <f aca="false">IF(OR(B293="",C293="",D293=""),"",IF(OR(ISNA(MATCH(B293,Routes!$A:$A,0)),ISNA(MATCH(C293,Drivers!$A:$A,0)),ISNA(MATCH(D293,Vehicles!$A:$A,0))),"CHECK: ID not found",IF(INDEX(Routes!$C:$C,MATCH(B293,Routes!$A:$A,0))&lt;&gt;INDEX(Vehicles!$B:$B,MATCH(D293,Vehicles!$A:$A,0)),"CHECK: vehicle type does not fit route",IF(INDEX(Routes!$C:$C,MATCH(B293,Routes!$A:$A,0))&lt;&gt;INDEX(Drivers!$D:$D,MATCH(C293,Drivers!$A:$A,0)),"CHECK: driver type does not fit route",IF(OR(INDEX(Vehicles!$E:$E,MATCH(D293,Vehicles!$A:$A,0))="Workshop",INDEX(Vehicles!$E:$E,MATCH(D293,Vehicles!$A:$A,0))="Out of service"),"CHECK: vehicle not available",IF(INDEX(Drivers!$G:$G,MATCH(C293,Drivers!$A:$A,0))&lt;&gt;"Active","CHECK: driver not active",IF(COUNTIFS($A:$A,A293,$C:$C,C293)&gt;1,"CHECK: driver assigned twice",IF(COUNTIFS($A:$A,A293,$D:$D,D293)&gt;1,"CHECK: vehicle assigned twice","OK"))))))))</f>
        <v/>
      </c>
      <c r="H293" s="15"/>
      <c r="I293" s="15"/>
      <c r="J293" s="17" t="str">
        <f aca="false">IF(OR(H293="",H293=0),"",I293/H293)</f>
        <v/>
      </c>
      <c r="K293" s="15"/>
      <c r="L293" s="15"/>
      <c r="M293" s="18"/>
      <c r="N293" s="15"/>
      <c r="O293" s="16" t="str">
        <f aca="false">IF(AND(OR(K293="At risk",K293="Late"),L293=""),"Add a reason code",IF(AND(L293="OTH",N293=""),"Explain OTH in notes",IF(AND(K293="Finished",I293&lt;H293,L293=""),"Add a reason code","")))</f>
        <v/>
      </c>
    </row>
    <row r="294" customFormat="false" ht="15" hidden="false" customHeight="false" outlineLevel="0" collapsed="false">
      <c r="A294" s="14"/>
      <c r="B294" s="15"/>
      <c r="C294" s="15"/>
      <c r="D294" s="15"/>
      <c r="E294" s="16" t="str">
        <f aca="false">IF(C294="","",IFERROR(INDEX(Drivers!$B:$B,MATCH(C294,Drivers!$A:$A,0)),"ID not found"))</f>
        <v/>
      </c>
      <c r="F294" s="16" t="str">
        <f aca="false">IF(B294="","",IFERROR(INDEX(Routes!$B:$B,MATCH(B294,Routes!$A:$A,0)),"ID not found"))</f>
        <v/>
      </c>
      <c r="G294" s="16" t="str">
        <f aca="false">IF(OR(B294="",C294="",D294=""),"",IF(OR(ISNA(MATCH(B294,Routes!$A:$A,0)),ISNA(MATCH(C294,Drivers!$A:$A,0)),ISNA(MATCH(D294,Vehicles!$A:$A,0))),"CHECK: ID not found",IF(INDEX(Routes!$C:$C,MATCH(B294,Routes!$A:$A,0))&lt;&gt;INDEX(Vehicles!$B:$B,MATCH(D294,Vehicles!$A:$A,0)),"CHECK: vehicle type does not fit route",IF(INDEX(Routes!$C:$C,MATCH(B294,Routes!$A:$A,0))&lt;&gt;INDEX(Drivers!$D:$D,MATCH(C294,Drivers!$A:$A,0)),"CHECK: driver type does not fit route",IF(OR(INDEX(Vehicles!$E:$E,MATCH(D294,Vehicles!$A:$A,0))="Workshop",INDEX(Vehicles!$E:$E,MATCH(D294,Vehicles!$A:$A,0))="Out of service"),"CHECK: vehicle not available",IF(INDEX(Drivers!$G:$G,MATCH(C294,Drivers!$A:$A,0))&lt;&gt;"Active","CHECK: driver not active",IF(COUNTIFS($A:$A,A294,$C:$C,C294)&gt;1,"CHECK: driver assigned twice",IF(COUNTIFS($A:$A,A294,$D:$D,D294)&gt;1,"CHECK: vehicle assigned twice","OK"))))))))</f>
        <v/>
      </c>
      <c r="H294" s="15"/>
      <c r="I294" s="15"/>
      <c r="J294" s="17" t="str">
        <f aca="false">IF(OR(H294="",H294=0),"",I294/H294)</f>
        <v/>
      </c>
      <c r="K294" s="15"/>
      <c r="L294" s="15"/>
      <c r="M294" s="18"/>
      <c r="N294" s="15"/>
      <c r="O294" s="16" t="str">
        <f aca="false">IF(AND(OR(K294="At risk",K294="Late"),L294=""),"Add a reason code",IF(AND(L294="OTH",N294=""),"Explain OTH in notes",IF(AND(K294="Finished",I294&lt;H294,L294=""),"Add a reason code","")))</f>
        <v/>
      </c>
    </row>
    <row r="295" customFormat="false" ht="15" hidden="false" customHeight="false" outlineLevel="0" collapsed="false">
      <c r="A295" s="14"/>
      <c r="B295" s="15"/>
      <c r="C295" s="15"/>
      <c r="D295" s="15"/>
      <c r="E295" s="16" t="str">
        <f aca="false">IF(C295="","",IFERROR(INDEX(Drivers!$B:$B,MATCH(C295,Drivers!$A:$A,0)),"ID not found"))</f>
        <v/>
      </c>
      <c r="F295" s="16" t="str">
        <f aca="false">IF(B295="","",IFERROR(INDEX(Routes!$B:$B,MATCH(B295,Routes!$A:$A,0)),"ID not found"))</f>
        <v/>
      </c>
      <c r="G295" s="16" t="str">
        <f aca="false">IF(OR(B295="",C295="",D295=""),"",IF(OR(ISNA(MATCH(B295,Routes!$A:$A,0)),ISNA(MATCH(C295,Drivers!$A:$A,0)),ISNA(MATCH(D295,Vehicles!$A:$A,0))),"CHECK: ID not found",IF(INDEX(Routes!$C:$C,MATCH(B295,Routes!$A:$A,0))&lt;&gt;INDEX(Vehicles!$B:$B,MATCH(D295,Vehicles!$A:$A,0)),"CHECK: vehicle type does not fit route",IF(INDEX(Routes!$C:$C,MATCH(B295,Routes!$A:$A,0))&lt;&gt;INDEX(Drivers!$D:$D,MATCH(C295,Drivers!$A:$A,0)),"CHECK: driver type does not fit route",IF(OR(INDEX(Vehicles!$E:$E,MATCH(D295,Vehicles!$A:$A,0))="Workshop",INDEX(Vehicles!$E:$E,MATCH(D295,Vehicles!$A:$A,0))="Out of service"),"CHECK: vehicle not available",IF(INDEX(Drivers!$G:$G,MATCH(C295,Drivers!$A:$A,0))&lt;&gt;"Active","CHECK: driver not active",IF(COUNTIFS($A:$A,A295,$C:$C,C295)&gt;1,"CHECK: driver assigned twice",IF(COUNTIFS($A:$A,A295,$D:$D,D295)&gt;1,"CHECK: vehicle assigned twice","OK"))))))))</f>
        <v/>
      </c>
      <c r="H295" s="15"/>
      <c r="I295" s="15"/>
      <c r="J295" s="17" t="str">
        <f aca="false">IF(OR(H295="",H295=0),"",I295/H295)</f>
        <v/>
      </c>
      <c r="K295" s="15"/>
      <c r="L295" s="15"/>
      <c r="M295" s="18"/>
      <c r="N295" s="15"/>
      <c r="O295" s="16" t="str">
        <f aca="false">IF(AND(OR(K295="At risk",K295="Late"),L295=""),"Add a reason code",IF(AND(L295="OTH",N295=""),"Explain OTH in notes",IF(AND(K295="Finished",I295&lt;H295,L295=""),"Add a reason code","")))</f>
        <v/>
      </c>
    </row>
    <row r="296" customFormat="false" ht="15" hidden="false" customHeight="false" outlineLevel="0" collapsed="false">
      <c r="A296" s="14"/>
      <c r="B296" s="15"/>
      <c r="C296" s="15"/>
      <c r="D296" s="15"/>
      <c r="E296" s="16" t="str">
        <f aca="false">IF(C296="","",IFERROR(INDEX(Drivers!$B:$B,MATCH(C296,Drivers!$A:$A,0)),"ID not found"))</f>
        <v/>
      </c>
      <c r="F296" s="16" t="str">
        <f aca="false">IF(B296="","",IFERROR(INDEX(Routes!$B:$B,MATCH(B296,Routes!$A:$A,0)),"ID not found"))</f>
        <v/>
      </c>
      <c r="G296" s="16" t="str">
        <f aca="false">IF(OR(B296="",C296="",D296=""),"",IF(OR(ISNA(MATCH(B296,Routes!$A:$A,0)),ISNA(MATCH(C296,Drivers!$A:$A,0)),ISNA(MATCH(D296,Vehicles!$A:$A,0))),"CHECK: ID not found",IF(INDEX(Routes!$C:$C,MATCH(B296,Routes!$A:$A,0))&lt;&gt;INDEX(Vehicles!$B:$B,MATCH(D296,Vehicles!$A:$A,0)),"CHECK: vehicle type does not fit route",IF(INDEX(Routes!$C:$C,MATCH(B296,Routes!$A:$A,0))&lt;&gt;INDEX(Drivers!$D:$D,MATCH(C296,Drivers!$A:$A,0)),"CHECK: driver type does not fit route",IF(OR(INDEX(Vehicles!$E:$E,MATCH(D296,Vehicles!$A:$A,0))="Workshop",INDEX(Vehicles!$E:$E,MATCH(D296,Vehicles!$A:$A,0))="Out of service"),"CHECK: vehicle not available",IF(INDEX(Drivers!$G:$G,MATCH(C296,Drivers!$A:$A,0))&lt;&gt;"Active","CHECK: driver not active",IF(COUNTIFS($A:$A,A296,$C:$C,C296)&gt;1,"CHECK: driver assigned twice",IF(COUNTIFS($A:$A,A296,$D:$D,D296)&gt;1,"CHECK: vehicle assigned twice","OK"))))))))</f>
        <v/>
      </c>
      <c r="H296" s="15"/>
      <c r="I296" s="15"/>
      <c r="J296" s="17" t="str">
        <f aca="false">IF(OR(H296="",H296=0),"",I296/H296)</f>
        <v/>
      </c>
      <c r="K296" s="15"/>
      <c r="L296" s="15"/>
      <c r="M296" s="18"/>
      <c r="N296" s="15"/>
      <c r="O296" s="16" t="str">
        <f aca="false">IF(AND(OR(K296="At risk",K296="Late"),L296=""),"Add a reason code",IF(AND(L296="OTH",N296=""),"Explain OTH in notes",IF(AND(K296="Finished",I296&lt;H296,L296=""),"Add a reason code","")))</f>
        <v/>
      </c>
    </row>
    <row r="297" customFormat="false" ht="15" hidden="false" customHeight="false" outlineLevel="0" collapsed="false">
      <c r="A297" s="14"/>
      <c r="B297" s="15"/>
      <c r="C297" s="15"/>
      <c r="D297" s="15"/>
      <c r="E297" s="16" t="str">
        <f aca="false">IF(C297="","",IFERROR(INDEX(Drivers!$B:$B,MATCH(C297,Drivers!$A:$A,0)),"ID not found"))</f>
        <v/>
      </c>
      <c r="F297" s="16" t="str">
        <f aca="false">IF(B297="","",IFERROR(INDEX(Routes!$B:$B,MATCH(B297,Routes!$A:$A,0)),"ID not found"))</f>
        <v/>
      </c>
      <c r="G297" s="16" t="str">
        <f aca="false">IF(OR(B297="",C297="",D297=""),"",IF(OR(ISNA(MATCH(B297,Routes!$A:$A,0)),ISNA(MATCH(C297,Drivers!$A:$A,0)),ISNA(MATCH(D297,Vehicles!$A:$A,0))),"CHECK: ID not found",IF(INDEX(Routes!$C:$C,MATCH(B297,Routes!$A:$A,0))&lt;&gt;INDEX(Vehicles!$B:$B,MATCH(D297,Vehicles!$A:$A,0)),"CHECK: vehicle type does not fit route",IF(INDEX(Routes!$C:$C,MATCH(B297,Routes!$A:$A,0))&lt;&gt;INDEX(Drivers!$D:$D,MATCH(C297,Drivers!$A:$A,0)),"CHECK: driver type does not fit route",IF(OR(INDEX(Vehicles!$E:$E,MATCH(D297,Vehicles!$A:$A,0))="Workshop",INDEX(Vehicles!$E:$E,MATCH(D297,Vehicles!$A:$A,0))="Out of service"),"CHECK: vehicle not available",IF(INDEX(Drivers!$G:$G,MATCH(C297,Drivers!$A:$A,0))&lt;&gt;"Active","CHECK: driver not active",IF(COUNTIFS($A:$A,A297,$C:$C,C297)&gt;1,"CHECK: driver assigned twice",IF(COUNTIFS($A:$A,A297,$D:$D,D297)&gt;1,"CHECK: vehicle assigned twice","OK"))))))))</f>
        <v/>
      </c>
      <c r="H297" s="15"/>
      <c r="I297" s="15"/>
      <c r="J297" s="17" t="str">
        <f aca="false">IF(OR(H297="",H297=0),"",I297/H297)</f>
        <v/>
      </c>
      <c r="K297" s="15"/>
      <c r="L297" s="15"/>
      <c r="M297" s="18"/>
      <c r="N297" s="15"/>
      <c r="O297" s="16" t="str">
        <f aca="false">IF(AND(OR(K297="At risk",K297="Late"),L297=""),"Add a reason code",IF(AND(L297="OTH",N297=""),"Explain OTH in notes",IF(AND(K297="Finished",I297&lt;H297,L297=""),"Add a reason code","")))</f>
        <v/>
      </c>
    </row>
    <row r="298" customFormat="false" ht="15" hidden="false" customHeight="false" outlineLevel="0" collapsed="false">
      <c r="A298" s="14"/>
      <c r="B298" s="15"/>
      <c r="C298" s="15"/>
      <c r="D298" s="15"/>
      <c r="E298" s="16" t="str">
        <f aca="false">IF(C298="","",IFERROR(INDEX(Drivers!$B:$B,MATCH(C298,Drivers!$A:$A,0)),"ID not found"))</f>
        <v/>
      </c>
      <c r="F298" s="16" t="str">
        <f aca="false">IF(B298="","",IFERROR(INDEX(Routes!$B:$B,MATCH(B298,Routes!$A:$A,0)),"ID not found"))</f>
        <v/>
      </c>
      <c r="G298" s="16" t="str">
        <f aca="false">IF(OR(B298="",C298="",D298=""),"",IF(OR(ISNA(MATCH(B298,Routes!$A:$A,0)),ISNA(MATCH(C298,Drivers!$A:$A,0)),ISNA(MATCH(D298,Vehicles!$A:$A,0))),"CHECK: ID not found",IF(INDEX(Routes!$C:$C,MATCH(B298,Routes!$A:$A,0))&lt;&gt;INDEX(Vehicles!$B:$B,MATCH(D298,Vehicles!$A:$A,0)),"CHECK: vehicle type does not fit route",IF(INDEX(Routes!$C:$C,MATCH(B298,Routes!$A:$A,0))&lt;&gt;INDEX(Drivers!$D:$D,MATCH(C298,Drivers!$A:$A,0)),"CHECK: driver type does not fit route",IF(OR(INDEX(Vehicles!$E:$E,MATCH(D298,Vehicles!$A:$A,0))="Workshop",INDEX(Vehicles!$E:$E,MATCH(D298,Vehicles!$A:$A,0))="Out of service"),"CHECK: vehicle not available",IF(INDEX(Drivers!$G:$G,MATCH(C298,Drivers!$A:$A,0))&lt;&gt;"Active","CHECK: driver not active",IF(COUNTIFS($A:$A,A298,$C:$C,C298)&gt;1,"CHECK: driver assigned twice",IF(COUNTIFS($A:$A,A298,$D:$D,D298)&gt;1,"CHECK: vehicle assigned twice","OK"))))))))</f>
        <v/>
      </c>
      <c r="H298" s="15"/>
      <c r="I298" s="15"/>
      <c r="J298" s="17" t="str">
        <f aca="false">IF(OR(H298="",H298=0),"",I298/H298)</f>
        <v/>
      </c>
      <c r="K298" s="15"/>
      <c r="L298" s="15"/>
      <c r="M298" s="18"/>
      <c r="N298" s="15"/>
      <c r="O298" s="16" t="str">
        <f aca="false">IF(AND(OR(K298="At risk",K298="Late"),L298=""),"Add a reason code",IF(AND(L298="OTH",N298=""),"Explain OTH in notes",IF(AND(K298="Finished",I298&lt;H298,L298=""),"Add a reason code","")))</f>
        <v/>
      </c>
    </row>
    <row r="299" customFormat="false" ht="15" hidden="false" customHeight="false" outlineLevel="0" collapsed="false">
      <c r="A299" s="14"/>
      <c r="B299" s="15"/>
      <c r="C299" s="15"/>
      <c r="D299" s="15"/>
      <c r="E299" s="16" t="str">
        <f aca="false">IF(C299="","",IFERROR(INDEX(Drivers!$B:$B,MATCH(C299,Drivers!$A:$A,0)),"ID not found"))</f>
        <v/>
      </c>
      <c r="F299" s="16" t="str">
        <f aca="false">IF(B299="","",IFERROR(INDEX(Routes!$B:$B,MATCH(B299,Routes!$A:$A,0)),"ID not found"))</f>
        <v/>
      </c>
      <c r="G299" s="16" t="str">
        <f aca="false">IF(OR(B299="",C299="",D299=""),"",IF(OR(ISNA(MATCH(B299,Routes!$A:$A,0)),ISNA(MATCH(C299,Drivers!$A:$A,0)),ISNA(MATCH(D299,Vehicles!$A:$A,0))),"CHECK: ID not found",IF(INDEX(Routes!$C:$C,MATCH(B299,Routes!$A:$A,0))&lt;&gt;INDEX(Vehicles!$B:$B,MATCH(D299,Vehicles!$A:$A,0)),"CHECK: vehicle type does not fit route",IF(INDEX(Routes!$C:$C,MATCH(B299,Routes!$A:$A,0))&lt;&gt;INDEX(Drivers!$D:$D,MATCH(C299,Drivers!$A:$A,0)),"CHECK: driver type does not fit route",IF(OR(INDEX(Vehicles!$E:$E,MATCH(D299,Vehicles!$A:$A,0))="Workshop",INDEX(Vehicles!$E:$E,MATCH(D299,Vehicles!$A:$A,0))="Out of service"),"CHECK: vehicle not available",IF(INDEX(Drivers!$G:$G,MATCH(C299,Drivers!$A:$A,0))&lt;&gt;"Active","CHECK: driver not active",IF(COUNTIFS($A:$A,A299,$C:$C,C299)&gt;1,"CHECK: driver assigned twice",IF(COUNTIFS($A:$A,A299,$D:$D,D299)&gt;1,"CHECK: vehicle assigned twice","OK"))))))))</f>
        <v/>
      </c>
      <c r="H299" s="15"/>
      <c r="I299" s="15"/>
      <c r="J299" s="17" t="str">
        <f aca="false">IF(OR(H299="",H299=0),"",I299/H299)</f>
        <v/>
      </c>
      <c r="K299" s="15"/>
      <c r="L299" s="15"/>
      <c r="M299" s="18"/>
      <c r="N299" s="15"/>
      <c r="O299" s="16" t="str">
        <f aca="false">IF(AND(OR(K299="At risk",K299="Late"),L299=""),"Add a reason code",IF(AND(L299="OTH",N299=""),"Explain OTH in notes",IF(AND(K299="Finished",I299&lt;H299,L299=""),"Add a reason code","")))</f>
        <v/>
      </c>
    </row>
    <row r="300" customFormat="false" ht="15" hidden="false" customHeight="false" outlineLevel="0" collapsed="false">
      <c r="A300" s="14"/>
      <c r="B300" s="15"/>
      <c r="C300" s="15"/>
      <c r="D300" s="15"/>
      <c r="E300" s="16" t="str">
        <f aca="false">IF(C300="","",IFERROR(INDEX(Drivers!$B:$B,MATCH(C300,Drivers!$A:$A,0)),"ID not found"))</f>
        <v/>
      </c>
      <c r="F300" s="16" t="str">
        <f aca="false">IF(B300="","",IFERROR(INDEX(Routes!$B:$B,MATCH(B300,Routes!$A:$A,0)),"ID not found"))</f>
        <v/>
      </c>
      <c r="G300" s="16" t="str">
        <f aca="false">IF(OR(B300="",C300="",D300=""),"",IF(OR(ISNA(MATCH(B300,Routes!$A:$A,0)),ISNA(MATCH(C300,Drivers!$A:$A,0)),ISNA(MATCH(D300,Vehicles!$A:$A,0))),"CHECK: ID not found",IF(INDEX(Routes!$C:$C,MATCH(B300,Routes!$A:$A,0))&lt;&gt;INDEX(Vehicles!$B:$B,MATCH(D300,Vehicles!$A:$A,0)),"CHECK: vehicle type does not fit route",IF(INDEX(Routes!$C:$C,MATCH(B300,Routes!$A:$A,0))&lt;&gt;INDEX(Drivers!$D:$D,MATCH(C300,Drivers!$A:$A,0)),"CHECK: driver type does not fit route",IF(OR(INDEX(Vehicles!$E:$E,MATCH(D300,Vehicles!$A:$A,0))="Workshop",INDEX(Vehicles!$E:$E,MATCH(D300,Vehicles!$A:$A,0))="Out of service"),"CHECK: vehicle not available",IF(INDEX(Drivers!$G:$G,MATCH(C300,Drivers!$A:$A,0))&lt;&gt;"Active","CHECK: driver not active",IF(COUNTIFS($A:$A,A300,$C:$C,C300)&gt;1,"CHECK: driver assigned twice",IF(COUNTIFS($A:$A,A300,$D:$D,D300)&gt;1,"CHECK: vehicle assigned twice","OK"))))))))</f>
        <v/>
      </c>
      <c r="H300" s="15"/>
      <c r="I300" s="15"/>
      <c r="J300" s="17" t="str">
        <f aca="false">IF(OR(H300="",H300=0),"",I300/H300)</f>
        <v/>
      </c>
      <c r="K300" s="15"/>
      <c r="L300" s="15"/>
      <c r="M300" s="18"/>
      <c r="N300" s="15"/>
      <c r="O300" s="16" t="str">
        <f aca="false">IF(AND(OR(K300="At risk",K300="Late"),L300=""),"Add a reason code",IF(AND(L300="OTH",N300=""),"Explain OTH in notes",IF(AND(K300="Finished",I300&lt;H300,L300=""),"Add a reason code","")))</f>
        <v/>
      </c>
    </row>
    <row r="301" customFormat="false" ht="15" hidden="false" customHeight="false" outlineLevel="0" collapsed="false">
      <c r="A301" s="14"/>
      <c r="B301" s="15"/>
      <c r="C301" s="15"/>
      <c r="D301" s="15"/>
      <c r="E301" s="16" t="str">
        <f aca="false">IF(C301="","",IFERROR(INDEX(Drivers!$B:$B,MATCH(C301,Drivers!$A:$A,0)),"ID not found"))</f>
        <v/>
      </c>
      <c r="F301" s="16" t="str">
        <f aca="false">IF(B301="","",IFERROR(INDEX(Routes!$B:$B,MATCH(B301,Routes!$A:$A,0)),"ID not found"))</f>
        <v/>
      </c>
      <c r="G301" s="16" t="str">
        <f aca="false">IF(OR(B301="",C301="",D301=""),"",IF(OR(ISNA(MATCH(B301,Routes!$A:$A,0)),ISNA(MATCH(C301,Drivers!$A:$A,0)),ISNA(MATCH(D301,Vehicles!$A:$A,0))),"CHECK: ID not found",IF(INDEX(Routes!$C:$C,MATCH(B301,Routes!$A:$A,0))&lt;&gt;INDEX(Vehicles!$B:$B,MATCH(D301,Vehicles!$A:$A,0)),"CHECK: vehicle type does not fit route",IF(INDEX(Routes!$C:$C,MATCH(B301,Routes!$A:$A,0))&lt;&gt;INDEX(Drivers!$D:$D,MATCH(C301,Drivers!$A:$A,0)),"CHECK: driver type does not fit route",IF(OR(INDEX(Vehicles!$E:$E,MATCH(D301,Vehicles!$A:$A,0))="Workshop",INDEX(Vehicles!$E:$E,MATCH(D301,Vehicles!$A:$A,0))="Out of service"),"CHECK: vehicle not available",IF(INDEX(Drivers!$G:$G,MATCH(C301,Drivers!$A:$A,0))&lt;&gt;"Active","CHECK: driver not active",IF(COUNTIFS($A:$A,A301,$C:$C,C301)&gt;1,"CHECK: driver assigned twice",IF(COUNTIFS($A:$A,A301,$D:$D,D301)&gt;1,"CHECK: vehicle assigned twice","OK"))))))))</f>
        <v/>
      </c>
      <c r="H301" s="15"/>
      <c r="I301" s="15"/>
      <c r="J301" s="17" t="str">
        <f aca="false">IF(OR(H301="",H301=0),"",I301/H301)</f>
        <v/>
      </c>
      <c r="K301" s="15"/>
      <c r="L301" s="15"/>
      <c r="M301" s="18"/>
      <c r="N301" s="15"/>
      <c r="O301" s="16" t="str">
        <f aca="false">IF(AND(OR(K301="At risk",K301="Late"),L301=""),"Add a reason code",IF(AND(L301="OTH",N301=""),"Explain OTH in notes",IF(AND(K301="Finished",I301&lt;H301,L301=""),"Add a reason code","")))</f>
        <v/>
      </c>
    </row>
  </sheetData>
  <autoFilter ref="A1:O301"/>
  <conditionalFormatting sqref="K2:K301">
    <cfRule type="cellIs" priority="2" operator="equal" aboveAverage="0" equalAverage="0" bottom="0" percent="0" rank="0" text="" dxfId="10">
      <formula>"On track"</formula>
    </cfRule>
    <cfRule type="cellIs" priority="3" operator="equal" aboveAverage="0" equalAverage="0" bottom="0" percent="0" rank="0" text="" dxfId="11">
      <formula>"At risk"</formula>
    </cfRule>
    <cfRule type="cellIs" priority="4" operator="equal" aboveAverage="0" equalAverage="0" bottom="0" percent="0" rank="0" text="" dxfId="12">
      <formula>"Late"</formula>
    </cfRule>
    <cfRule type="cellIs" priority="5" operator="equal" aboveAverage="0" equalAverage="0" bottom="0" percent="0" rank="0" text="" dxfId="13">
      <formula>"Finished"</formula>
    </cfRule>
    <cfRule type="cellIs" priority="6" operator="equal" aboveAverage="0" equalAverage="0" bottom="0" percent="0" rank="0" text="" dxfId="13">
      <formula>"Cancelled"</formula>
    </cfRule>
  </conditionalFormatting>
  <conditionalFormatting sqref="G2:G301">
    <cfRule type="expression" priority="7" aboveAverage="0" equalAverage="0" bottom="0" percent="0" rank="0" text="" dxfId="14">
      <formula>LEFT(G2,5)="CHECK"</formula>
    </cfRule>
  </conditionalFormatting>
  <conditionalFormatting sqref="O2:O301">
    <cfRule type="expression" priority="8" aboveAverage="0" equalAverage="0" bottom="0" percent="0" rank="0" text="" dxfId="14">
      <formula>O2&lt;&gt;""</formula>
    </cfRule>
  </conditionalFormatting>
  <dataValidations count="6">
    <dataValidation allowBlank="true" error="Enter a valid date, for example 2026-10-09." errorStyle="stop" errorTitle="Date needed" operator="greaterThan" showDropDown="false" showErrorMessage="true" showInputMessage="false" sqref="A2:A301" type="date">
      <formula1>36526</formula1>
      <formula2>0</formula2>
    </dataValidation>
    <dataValidation allowBlank="true" error="Use a route ID that exists in the Routes tab." errorStyle="stop" errorTitle="Not allowed" operator="between" showDropDown="false" showErrorMessage="true" showInputMessage="false" sqref="B2:B301" type="list">
      <formula1>Routes!$A$2:$A$301</formula1>
      <formula2>0</formula2>
    </dataValidation>
    <dataValidation allowBlank="true" error="Use a driver ID that exists in the Drivers tab." errorStyle="stop" errorTitle="Not allowed" operator="between" showDropDown="false" showErrorMessage="true" showInputMessage="false" sqref="C2:C301" type="list">
      <formula1>Drivers!$A$2:$A$301</formula1>
      <formula2>0</formula2>
    </dataValidation>
    <dataValidation allowBlank="true" error="Use a vehicle ID that exists in the Vehicles tab." errorStyle="stop" errorTitle="Not allowed" operator="between" showDropDown="false" showErrorMessage="true" showInputMessage="false" sqref="D2:D301" type="list">
      <formula1>Vehicles!$A$2:$A$301</formula1>
      <formula2>0</formula2>
    </dataValidation>
    <dataValidation allowBlank="true" error="Choose a value from the list." errorStyle="stop" errorTitle="Not allowed" operator="between" showDropDown="false" showErrorMessage="true" showInputMessage="false" sqref="K2:K301" type="list">
      <formula1>Lists!$G$2:$G$7</formula1>
      <formula2>0</formula2>
    </dataValidation>
    <dataValidation allowBlank="true" error="Choose a reason code from the Lists tab." errorStyle="stop" errorTitle="Not allowed" operator="between" showDropDown="false" showErrorMessage="true" showInputMessage="false" sqref="L2:L301" type="list">
      <formula1>Lists!$L$2:$L$13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10" min="9" style="0" width="40"/>
    <col collapsed="false" customWidth="true" hidden="false" outlineLevel="0" max="11" min="11" style="0" width="17"/>
    <col collapsed="false" customWidth="true" hidden="false" outlineLevel="0" max="12" min="12" style="0" width="11"/>
  </cols>
  <sheetData>
    <row r="1" customFormat="false" ht="31.5" hidden="false" customHeight="true" outlineLevel="0" collapsed="false">
      <c r="A1" s="7" t="s">
        <v>99</v>
      </c>
      <c r="B1" s="7" t="s">
        <v>64</v>
      </c>
      <c r="C1" s="7" t="s">
        <v>100</v>
      </c>
      <c r="D1" s="7" t="s">
        <v>65</v>
      </c>
      <c r="E1" s="7" t="s">
        <v>66</v>
      </c>
      <c r="F1" s="7" t="s">
        <v>75</v>
      </c>
      <c r="G1" s="8" t="s">
        <v>101</v>
      </c>
      <c r="H1" s="7" t="s">
        <v>102</v>
      </c>
      <c r="I1" s="7" t="s">
        <v>103</v>
      </c>
      <c r="J1" s="7" t="s">
        <v>104</v>
      </c>
      <c r="K1" s="7" t="s">
        <v>105</v>
      </c>
      <c r="L1" s="7" t="s">
        <v>106</v>
      </c>
    </row>
    <row r="2" customFormat="false" ht="23.85" hidden="false" customHeight="false" outlineLevel="0" collapsed="false">
      <c r="A2" s="10" t="s">
        <v>107</v>
      </c>
      <c r="B2" s="9" t="n">
        <v>46304</v>
      </c>
      <c r="C2" s="13" t="n">
        <v>0.486111111111111</v>
      </c>
      <c r="D2" s="10" t="s">
        <v>88</v>
      </c>
      <c r="E2" s="10" t="s">
        <v>89</v>
      </c>
      <c r="F2" s="10" t="s">
        <v>92</v>
      </c>
      <c r="G2" s="11" t="str">
        <f aca="false">IF(F2="","",IFERROR(INDEX(Lists!$M$2:$M$13,MATCH(F2,Lists!$L$2:$L$13,0)),"Unknown code"))</f>
        <v>Traffic or road closure</v>
      </c>
      <c r="H2" s="10" t="s">
        <v>108</v>
      </c>
      <c r="I2" s="19" t="s">
        <v>109</v>
      </c>
      <c r="J2" s="19" t="s">
        <v>110</v>
      </c>
      <c r="K2" s="10" t="s">
        <v>111</v>
      </c>
      <c r="L2" s="10" t="s">
        <v>112</v>
      </c>
    </row>
    <row r="3" customFormat="false" ht="15" hidden="false" customHeight="false" outlineLevel="0" collapsed="false">
      <c r="A3" s="15"/>
      <c r="B3" s="14"/>
      <c r="C3" s="18"/>
      <c r="D3" s="15"/>
      <c r="E3" s="15"/>
      <c r="F3" s="15"/>
      <c r="G3" s="16" t="str">
        <f aca="false">IF(F3="","",IFERROR(INDEX(Lists!$M$2:$M$13,MATCH(F3,Lists!$L$2:$L$13,0)),"Unknown code"))</f>
        <v/>
      </c>
      <c r="H3" s="15"/>
      <c r="I3" s="20"/>
      <c r="J3" s="20"/>
      <c r="K3" s="15"/>
      <c r="L3" s="15"/>
    </row>
    <row r="4" customFormat="false" ht="15" hidden="false" customHeight="false" outlineLevel="0" collapsed="false">
      <c r="A4" s="15"/>
      <c r="B4" s="14"/>
      <c r="C4" s="18"/>
      <c r="D4" s="15"/>
      <c r="E4" s="15"/>
      <c r="F4" s="15"/>
      <c r="G4" s="16" t="str">
        <f aca="false">IF(F4="","",IFERROR(INDEX(Lists!$M$2:$M$13,MATCH(F4,Lists!$L$2:$L$13,0)),"Unknown code"))</f>
        <v/>
      </c>
      <c r="H4" s="15"/>
      <c r="I4" s="20"/>
      <c r="J4" s="20"/>
      <c r="K4" s="15"/>
      <c r="L4" s="15"/>
    </row>
    <row r="5" customFormat="false" ht="15" hidden="false" customHeight="false" outlineLevel="0" collapsed="false">
      <c r="A5" s="15"/>
      <c r="B5" s="14"/>
      <c r="C5" s="18"/>
      <c r="D5" s="15"/>
      <c r="E5" s="15"/>
      <c r="F5" s="15"/>
      <c r="G5" s="16" t="str">
        <f aca="false">IF(F5="","",IFERROR(INDEX(Lists!$M$2:$M$13,MATCH(F5,Lists!$L$2:$L$13,0)),"Unknown code"))</f>
        <v/>
      </c>
      <c r="H5" s="15"/>
      <c r="I5" s="20"/>
      <c r="J5" s="20"/>
      <c r="K5" s="15"/>
      <c r="L5" s="15"/>
    </row>
    <row r="6" customFormat="false" ht="15" hidden="false" customHeight="false" outlineLevel="0" collapsed="false">
      <c r="A6" s="15"/>
      <c r="B6" s="14"/>
      <c r="C6" s="18"/>
      <c r="D6" s="15"/>
      <c r="E6" s="15"/>
      <c r="F6" s="15"/>
      <c r="G6" s="16" t="str">
        <f aca="false">IF(F6="","",IFERROR(INDEX(Lists!$M$2:$M$13,MATCH(F6,Lists!$L$2:$L$13,0)),"Unknown code"))</f>
        <v/>
      </c>
      <c r="H6" s="15"/>
      <c r="I6" s="20"/>
      <c r="J6" s="20"/>
      <c r="K6" s="15"/>
      <c r="L6" s="15"/>
    </row>
    <row r="7" customFormat="false" ht="15" hidden="false" customHeight="false" outlineLevel="0" collapsed="false">
      <c r="A7" s="15"/>
      <c r="B7" s="14"/>
      <c r="C7" s="18"/>
      <c r="D7" s="15"/>
      <c r="E7" s="15"/>
      <c r="F7" s="15"/>
      <c r="G7" s="16" t="str">
        <f aca="false">IF(F7="","",IFERROR(INDEX(Lists!$M$2:$M$13,MATCH(F7,Lists!$L$2:$L$13,0)),"Unknown code"))</f>
        <v/>
      </c>
      <c r="H7" s="15"/>
      <c r="I7" s="20"/>
      <c r="J7" s="20"/>
      <c r="K7" s="15"/>
      <c r="L7" s="15"/>
    </row>
    <row r="8" customFormat="false" ht="15" hidden="false" customHeight="false" outlineLevel="0" collapsed="false">
      <c r="A8" s="15"/>
      <c r="B8" s="14"/>
      <c r="C8" s="18"/>
      <c r="D8" s="15"/>
      <c r="E8" s="15"/>
      <c r="F8" s="15"/>
      <c r="G8" s="16" t="str">
        <f aca="false">IF(F8="","",IFERROR(INDEX(Lists!$M$2:$M$13,MATCH(F8,Lists!$L$2:$L$13,0)),"Unknown code"))</f>
        <v/>
      </c>
      <c r="H8" s="15"/>
      <c r="I8" s="20"/>
      <c r="J8" s="20"/>
      <c r="K8" s="15"/>
      <c r="L8" s="15"/>
    </row>
    <row r="9" customFormat="false" ht="15" hidden="false" customHeight="false" outlineLevel="0" collapsed="false">
      <c r="A9" s="15"/>
      <c r="B9" s="14"/>
      <c r="C9" s="18"/>
      <c r="D9" s="15"/>
      <c r="E9" s="15"/>
      <c r="F9" s="15"/>
      <c r="G9" s="16" t="str">
        <f aca="false">IF(F9="","",IFERROR(INDEX(Lists!$M$2:$M$13,MATCH(F9,Lists!$L$2:$L$13,0)),"Unknown code"))</f>
        <v/>
      </c>
      <c r="H9" s="15"/>
      <c r="I9" s="20"/>
      <c r="J9" s="20"/>
      <c r="K9" s="15"/>
      <c r="L9" s="15"/>
    </row>
    <row r="10" customFormat="false" ht="15" hidden="false" customHeight="false" outlineLevel="0" collapsed="false">
      <c r="A10" s="15"/>
      <c r="B10" s="14"/>
      <c r="C10" s="18"/>
      <c r="D10" s="15"/>
      <c r="E10" s="15"/>
      <c r="F10" s="15"/>
      <c r="G10" s="16" t="str">
        <f aca="false">IF(F10="","",IFERROR(INDEX(Lists!$M$2:$M$13,MATCH(F10,Lists!$L$2:$L$13,0)),"Unknown code"))</f>
        <v/>
      </c>
      <c r="H10" s="15"/>
      <c r="I10" s="20"/>
      <c r="J10" s="20"/>
      <c r="K10" s="15"/>
      <c r="L10" s="15"/>
    </row>
    <row r="11" customFormat="false" ht="15" hidden="false" customHeight="false" outlineLevel="0" collapsed="false">
      <c r="A11" s="15"/>
      <c r="B11" s="14"/>
      <c r="C11" s="18"/>
      <c r="D11" s="15"/>
      <c r="E11" s="15"/>
      <c r="F11" s="15"/>
      <c r="G11" s="16" t="str">
        <f aca="false">IF(F11="","",IFERROR(INDEX(Lists!$M$2:$M$13,MATCH(F11,Lists!$L$2:$L$13,0)),"Unknown code"))</f>
        <v/>
      </c>
      <c r="H11" s="15"/>
      <c r="I11" s="20"/>
      <c r="J11" s="20"/>
      <c r="K11" s="15"/>
      <c r="L11" s="15"/>
    </row>
    <row r="12" customFormat="false" ht="15" hidden="false" customHeight="false" outlineLevel="0" collapsed="false">
      <c r="A12" s="15"/>
      <c r="B12" s="14"/>
      <c r="C12" s="18"/>
      <c r="D12" s="15"/>
      <c r="E12" s="15"/>
      <c r="F12" s="15"/>
      <c r="G12" s="16" t="str">
        <f aca="false">IF(F12="","",IFERROR(INDEX(Lists!$M$2:$M$13,MATCH(F12,Lists!$L$2:$L$13,0)),"Unknown code"))</f>
        <v/>
      </c>
      <c r="H12" s="15"/>
      <c r="I12" s="20"/>
      <c r="J12" s="20"/>
      <c r="K12" s="15"/>
      <c r="L12" s="15"/>
    </row>
    <row r="13" customFormat="false" ht="15" hidden="false" customHeight="false" outlineLevel="0" collapsed="false">
      <c r="A13" s="15"/>
      <c r="B13" s="14"/>
      <c r="C13" s="18"/>
      <c r="D13" s="15"/>
      <c r="E13" s="15"/>
      <c r="F13" s="15"/>
      <c r="G13" s="16" t="str">
        <f aca="false">IF(F13="","",IFERROR(INDEX(Lists!$M$2:$M$13,MATCH(F13,Lists!$L$2:$L$13,0)),"Unknown code"))</f>
        <v/>
      </c>
      <c r="H13" s="15"/>
      <c r="I13" s="20"/>
      <c r="J13" s="20"/>
      <c r="K13" s="15"/>
      <c r="L13" s="15"/>
    </row>
    <row r="14" customFormat="false" ht="15" hidden="false" customHeight="false" outlineLevel="0" collapsed="false">
      <c r="A14" s="15"/>
      <c r="B14" s="14"/>
      <c r="C14" s="18"/>
      <c r="D14" s="15"/>
      <c r="E14" s="15"/>
      <c r="F14" s="15"/>
      <c r="G14" s="16" t="str">
        <f aca="false">IF(F14="","",IFERROR(INDEX(Lists!$M$2:$M$13,MATCH(F14,Lists!$L$2:$L$13,0)),"Unknown code"))</f>
        <v/>
      </c>
      <c r="H14" s="15"/>
      <c r="I14" s="20"/>
      <c r="J14" s="20"/>
      <c r="K14" s="15"/>
      <c r="L14" s="15"/>
    </row>
    <row r="15" customFormat="false" ht="15" hidden="false" customHeight="false" outlineLevel="0" collapsed="false">
      <c r="A15" s="15"/>
      <c r="B15" s="14"/>
      <c r="C15" s="18"/>
      <c r="D15" s="15"/>
      <c r="E15" s="15"/>
      <c r="F15" s="15"/>
      <c r="G15" s="16" t="str">
        <f aca="false">IF(F15="","",IFERROR(INDEX(Lists!$M$2:$M$13,MATCH(F15,Lists!$L$2:$L$13,0)),"Unknown code"))</f>
        <v/>
      </c>
      <c r="H15" s="15"/>
      <c r="I15" s="20"/>
      <c r="J15" s="20"/>
      <c r="K15" s="15"/>
      <c r="L15" s="15"/>
    </row>
    <row r="16" customFormat="false" ht="15" hidden="false" customHeight="false" outlineLevel="0" collapsed="false">
      <c r="A16" s="15"/>
      <c r="B16" s="14"/>
      <c r="C16" s="18"/>
      <c r="D16" s="15"/>
      <c r="E16" s="15"/>
      <c r="F16" s="15"/>
      <c r="G16" s="16" t="str">
        <f aca="false">IF(F16="","",IFERROR(INDEX(Lists!$M$2:$M$13,MATCH(F16,Lists!$L$2:$L$13,0)),"Unknown code"))</f>
        <v/>
      </c>
      <c r="H16" s="15"/>
      <c r="I16" s="20"/>
      <c r="J16" s="20"/>
      <c r="K16" s="15"/>
      <c r="L16" s="15"/>
    </row>
    <row r="17" customFormat="false" ht="15" hidden="false" customHeight="false" outlineLevel="0" collapsed="false">
      <c r="A17" s="15"/>
      <c r="B17" s="14"/>
      <c r="C17" s="18"/>
      <c r="D17" s="15"/>
      <c r="E17" s="15"/>
      <c r="F17" s="15"/>
      <c r="G17" s="16" t="str">
        <f aca="false">IF(F17="","",IFERROR(INDEX(Lists!$M$2:$M$13,MATCH(F17,Lists!$L$2:$L$13,0)),"Unknown code"))</f>
        <v/>
      </c>
      <c r="H17" s="15"/>
      <c r="I17" s="20"/>
      <c r="J17" s="20"/>
      <c r="K17" s="15"/>
      <c r="L17" s="15"/>
    </row>
    <row r="18" customFormat="false" ht="15" hidden="false" customHeight="false" outlineLevel="0" collapsed="false">
      <c r="A18" s="15"/>
      <c r="B18" s="14"/>
      <c r="C18" s="18"/>
      <c r="D18" s="15"/>
      <c r="E18" s="15"/>
      <c r="F18" s="15"/>
      <c r="G18" s="16" t="str">
        <f aca="false">IF(F18="","",IFERROR(INDEX(Lists!$M$2:$M$13,MATCH(F18,Lists!$L$2:$L$13,0)),"Unknown code"))</f>
        <v/>
      </c>
      <c r="H18" s="15"/>
      <c r="I18" s="20"/>
      <c r="J18" s="20"/>
      <c r="K18" s="15"/>
      <c r="L18" s="15"/>
    </row>
    <row r="19" customFormat="false" ht="15" hidden="false" customHeight="false" outlineLevel="0" collapsed="false">
      <c r="A19" s="15"/>
      <c r="B19" s="14"/>
      <c r="C19" s="18"/>
      <c r="D19" s="15"/>
      <c r="E19" s="15"/>
      <c r="F19" s="15"/>
      <c r="G19" s="16" t="str">
        <f aca="false">IF(F19="","",IFERROR(INDEX(Lists!$M$2:$M$13,MATCH(F19,Lists!$L$2:$L$13,0)),"Unknown code"))</f>
        <v/>
      </c>
      <c r="H19" s="15"/>
      <c r="I19" s="20"/>
      <c r="J19" s="20"/>
      <c r="K19" s="15"/>
      <c r="L19" s="15"/>
    </row>
    <row r="20" customFormat="false" ht="15" hidden="false" customHeight="false" outlineLevel="0" collapsed="false">
      <c r="A20" s="15"/>
      <c r="B20" s="14"/>
      <c r="C20" s="18"/>
      <c r="D20" s="15"/>
      <c r="E20" s="15"/>
      <c r="F20" s="15"/>
      <c r="G20" s="16" t="str">
        <f aca="false">IF(F20="","",IFERROR(INDEX(Lists!$M$2:$M$13,MATCH(F20,Lists!$L$2:$L$13,0)),"Unknown code"))</f>
        <v/>
      </c>
      <c r="H20" s="15"/>
      <c r="I20" s="20"/>
      <c r="J20" s="20"/>
      <c r="K20" s="15"/>
      <c r="L20" s="15"/>
    </row>
    <row r="21" customFormat="false" ht="15" hidden="false" customHeight="false" outlineLevel="0" collapsed="false">
      <c r="A21" s="15"/>
      <c r="B21" s="14"/>
      <c r="C21" s="18"/>
      <c r="D21" s="15"/>
      <c r="E21" s="15"/>
      <c r="F21" s="15"/>
      <c r="G21" s="16" t="str">
        <f aca="false">IF(F21="","",IFERROR(INDEX(Lists!$M$2:$M$13,MATCH(F21,Lists!$L$2:$L$13,0)),"Unknown code"))</f>
        <v/>
      </c>
      <c r="H21" s="15"/>
      <c r="I21" s="20"/>
      <c r="J21" s="20"/>
      <c r="K21" s="15"/>
      <c r="L21" s="15"/>
    </row>
    <row r="22" customFormat="false" ht="15" hidden="false" customHeight="false" outlineLevel="0" collapsed="false">
      <c r="A22" s="15"/>
      <c r="B22" s="14"/>
      <c r="C22" s="18"/>
      <c r="D22" s="15"/>
      <c r="E22" s="15"/>
      <c r="F22" s="15"/>
      <c r="G22" s="16" t="str">
        <f aca="false">IF(F22="","",IFERROR(INDEX(Lists!$M$2:$M$13,MATCH(F22,Lists!$L$2:$L$13,0)),"Unknown code"))</f>
        <v/>
      </c>
      <c r="H22" s="15"/>
      <c r="I22" s="20"/>
      <c r="J22" s="20"/>
      <c r="K22" s="15"/>
      <c r="L22" s="15"/>
    </row>
    <row r="23" customFormat="false" ht="15" hidden="false" customHeight="false" outlineLevel="0" collapsed="false">
      <c r="A23" s="15"/>
      <c r="B23" s="14"/>
      <c r="C23" s="18"/>
      <c r="D23" s="15"/>
      <c r="E23" s="15"/>
      <c r="F23" s="15"/>
      <c r="G23" s="16" t="str">
        <f aca="false">IF(F23="","",IFERROR(INDEX(Lists!$M$2:$M$13,MATCH(F23,Lists!$L$2:$L$13,0)),"Unknown code"))</f>
        <v/>
      </c>
      <c r="H23" s="15"/>
      <c r="I23" s="20"/>
      <c r="J23" s="20"/>
      <c r="K23" s="15"/>
      <c r="L23" s="15"/>
    </row>
    <row r="24" customFormat="false" ht="15" hidden="false" customHeight="false" outlineLevel="0" collapsed="false">
      <c r="A24" s="15"/>
      <c r="B24" s="14"/>
      <c r="C24" s="18"/>
      <c r="D24" s="15"/>
      <c r="E24" s="15"/>
      <c r="F24" s="15"/>
      <c r="G24" s="16" t="str">
        <f aca="false">IF(F24="","",IFERROR(INDEX(Lists!$M$2:$M$13,MATCH(F24,Lists!$L$2:$L$13,0)),"Unknown code"))</f>
        <v/>
      </c>
      <c r="H24" s="15"/>
      <c r="I24" s="20"/>
      <c r="J24" s="20"/>
      <c r="K24" s="15"/>
      <c r="L24" s="15"/>
    </row>
    <row r="25" customFormat="false" ht="15" hidden="false" customHeight="false" outlineLevel="0" collapsed="false">
      <c r="A25" s="15"/>
      <c r="B25" s="14"/>
      <c r="C25" s="18"/>
      <c r="D25" s="15"/>
      <c r="E25" s="15"/>
      <c r="F25" s="15"/>
      <c r="G25" s="16" t="str">
        <f aca="false">IF(F25="","",IFERROR(INDEX(Lists!$M$2:$M$13,MATCH(F25,Lists!$L$2:$L$13,0)),"Unknown code"))</f>
        <v/>
      </c>
      <c r="H25" s="15"/>
      <c r="I25" s="20"/>
      <c r="J25" s="20"/>
      <c r="K25" s="15"/>
      <c r="L25" s="15"/>
    </row>
    <row r="26" customFormat="false" ht="15" hidden="false" customHeight="false" outlineLevel="0" collapsed="false">
      <c r="A26" s="15"/>
      <c r="B26" s="14"/>
      <c r="C26" s="18"/>
      <c r="D26" s="15"/>
      <c r="E26" s="15"/>
      <c r="F26" s="15"/>
      <c r="G26" s="16" t="str">
        <f aca="false">IF(F26="","",IFERROR(INDEX(Lists!$M$2:$M$13,MATCH(F26,Lists!$L$2:$L$13,0)),"Unknown code"))</f>
        <v/>
      </c>
      <c r="H26" s="15"/>
      <c r="I26" s="20"/>
      <c r="J26" s="20"/>
      <c r="K26" s="15"/>
      <c r="L26" s="15"/>
    </row>
    <row r="27" customFormat="false" ht="15" hidden="false" customHeight="false" outlineLevel="0" collapsed="false">
      <c r="A27" s="15"/>
      <c r="B27" s="14"/>
      <c r="C27" s="18"/>
      <c r="D27" s="15"/>
      <c r="E27" s="15"/>
      <c r="F27" s="15"/>
      <c r="G27" s="16" t="str">
        <f aca="false">IF(F27="","",IFERROR(INDEX(Lists!$M$2:$M$13,MATCH(F27,Lists!$L$2:$L$13,0)),"Unknown code"))</f>
        <v/>
      </c>
      <c r="H27" s="15"/>
      <c r="I27" s="20"/>
      <c r="J27" s="20"/>
      <c r="K27" s="15"/>
      <c r="L27" s="15"/>
    </row>
    <row r="28" customFormat="false" ht="15" hidden="false" customHeight="false" outlineLevel="0" collapsed="false">
      <c r="A28" s="15"/>
      <c r="B28" s="14"/>
      <c r="C28" s="18"/>
      <c r="D28" s="15"/>
      <c r="E28" s="15"/>
      <c r="F28" s="15"/>
      <c r="G28" s="16" t="str">
        <f aca="false">IF(F28="","",IFERROR(INDEX(Lists!$M$2:$M$13,MATCH(F28,Lists!$L$2:$L$13,0)),"Unknown code"))</f>
        <v/>
      </c>
      <c r="H28" s="15"/>
      <c r="I28" s="20"/>
      <c r="J28" s="20"/>
      <c r="K28" s="15"/>
      <c r="L28" s="15"/>
    </row>
    <row r="29" customFormat="false" ht="15" hidden="false" customHeight="false" outlineLevel="0" collapsed="false">
      <c r="A29" s="15"/>
      <c r="B29" s="14"/>
      <c r="C29" s="18"/>
      <c r="D29" s="15"/>
      <c r="E29" s="15"/>
      <c r="F29" s="15"/>
      <c r="G29" s="16" t="str">
        <f aca="false">IF(F29="","",IFERROR(INDEX(Lists!$M$2:$M$13,MATCH(F29,Lists!$L$2:$L$13,0)),"Unknown code"))</f>
        <v/>
      </c>
      <c r="H29" s="15"/>
      <c r="I29" s="20"/>
      <c r="J29" s="20"/>
      <c r="K29" s="15"/>
      <c r="L29" s="15"/>
    </row>
    <row r="30" customFormat="false" ht="15" hidden="false" customHeight="false" outlineLevel="0" collapsed="false">
      <c r="A30" s="15"/>
      <c r="B30" s="14"/>
      <c r="C30" s="18"/>
      <c r="D30" s="15"/>
      <c r="E30" s="15"/>
      <c r="F30" s="15"/>
      <c r="G30" s="16" t="str">
        <f aca="false">IF(F30="","",IFERROR(INDEX(Lists!$M$2:$M$13,MATCH(F30,Lists!$L$2:$L$13,0)),"Unknown code"))</f>
        <v/>
      </c>
      <c r="H30" s="15"/>
      <c r="I30" s="20"/>
      <c r="J30" s="20"/>
      <c r="K30" s="15"/>
      <c r="L30" s="15"/>
    </row>
    <row r="31" customFormat="false" ht="15" hidden="false" customHeight="false" outlineLevel="0" collapsed="false">
      <c r="A31" s="15"/>
      <c r="B31" s="14"/>
      <c r="C31" s="18"/>
      <c r="D31" s="15"/>
      <c r="E31" s="15"/>
      <c r="F31" s="15"/>
      <c r="G31" s="16" t="str">
        <f aca="false">IF(F31="","",IFERROR(INDEX(Lists!$M$2:$M$13,MATCH(F31,Lists!$L$2:$L$13,0)),"Unknown code"))</f>
        <v/>
      </c>
      <c r="H31" s="15"/>
      <c r="I31" s="20"/>
      <c r="J31" s="20"/>
      <c r="K31" s="15"/>
      <c r="L31" s="15"/>
    </row>
    <row r="32" customFormat="false" ht="15" hidden="false" customHeight="false" outlineLevel="0" collapsed="false">
      <c r="A32" s="15"/>
      <c r="B32" s="14"/>
      <c r="C32" s="18"/>
      <c r="D32" s="15"/>
      <c r="E32" s="15"/>
      <c r="F32" s="15"/>
      <c r="G32" s="16" t="str">
        <f aca="false">IF(F32="","",IFERROR(INDEX(Lists!$M$2:$M$13,MATCH(F32,Lists!$L$2:$L$13,0)),"Unknown code"))</f>
        <v/>
      </c>
      <c r="H32" s="15"/>
      <c r="I32" s="20"/>
      <c r="J32" s="20"/>
      <c r="K32" s="15"/>
      <c r="L32" s="15"/>
    </row>
    <row r="33" customFormat="false" ht="15" hidden="false" customHeight="false" outlineLevel="0" collapsed="false">
      <c r="A33" s="15"/>
      <c r="B33" s="14"/>
      <c r="C33" s="18"/>
      <c r="D33" s="15"/>
      <c r="E33" s="15"/>
      <c r="F33" s="15"/>
      <c r="G33" s="16" t="str">
        <f aca="false">IF(F33="","",IFERROR(INDEX(Lists!$M$2:$M$13,MATCH(F33,Lists!$L$2:$L$13,0)),"Unknown code"))</f>
        <v/>
      </c>
      <c r="H33" s="15"/>
      <c r="I33" s="20"/>
      <c r="J33" s="20"/>
      <c r="K33" s="15"/>
      <c r="L33" s="15"/>
    </row>
    <row r="34" customFormat="false" ht="15" hidden="false" customHeight="false" outlineLevel="0" collapsed="false">
      <c r="A34" s="15"/>
      <c r="B34" s="14"/>
      <c r="C34" s="18"/>
      <c r="D34" s="15"/>
      <c r="E34" s="15"/>
      <c r="F34" s="15"/>
      <c r="G34" s="16" t="str">
        <f aca="false">IF(F34="","",IFERROR(INDEX(Lists!$M$2:$M$13,MATCH(F34,Lists!$L$2:$L$13,0)),"Unknown code"))</f>
        <v/>
      </c>
      <c r="H34" s="15"/>
      <c r="I34" s="20"/>
      <c r="J34" s="20"/>
      <c r="K34" s="15"/>
      <c r="L34" s="15"/>
    </row>
    <row r="35" customFormat="false" ht="15" hidden="false" customHeight="false" outlineLevel="0" collapsed="false">
      <c r="A35" s="15"/>
      <c r="B35" s="14"/>
      <c r="C35" s="18"/>
      <c r="D35" s="15"/>
      <c r="E35" s="15"/>
      <c r="F35" s="15"/>
      <c r="G35" s="16" t="str">
        <f aca="false">IF(F35="","",IFERROR(INDEX(Lists!$M$2:$M$13,MATCH(F35,Lists!$L$2:$L$13,0)),"Unknown code"))</f>
        <v/>
      </c>
      <c r="H35" s="15"/>
      <c r="I35" s="20"/>
      <c r="J35" s="20"/>
      <c r="K35" s="15"/>
      <c r="L35" s="15"/>
    </row>
    <row r="36" customFormat="false" ht="15" hidden="false" customHeight="false" outlineLevel="0" collapsed="false">
      <c r="A36" s="15"/>
      <c r="B36" s="14"/>
      <c r="C36" s="18"/>
      <c r="D36" s="15"/>
      <c r="E36" s="15"/>
      <c r="F36" s="15"/>
      <c r="G36" s="16" t="str">
        <f aca="false">IF(F36="","",IFERROR(INDEX(Lists!$M$2:$M$13,MATCH(F36,Lists!$L$2:$L$13,0)),"Unknown code"))</f>
        <v/>
      </c>
      <c r="H36" s="15"/>
      <c r="I36" s="20"/>
      <c r="J36" s="20"/>
      <c r="K36" s="15"/>
      <c r="L36" s="15"/>
    </row>
    <row r="37" customFormat="false" ht="15" hidden="false" customHeight="false" outlineLevel="0" collapsed="false">
      <c r="A37" s="15"/>
      <c r="B37" s="14"/>
      <c r="C37" s="18"/>
      <c r="D37" s="15"/>
      <c r="E37" s="15"/>
      <c r="F37" s="15"/>
      <c r="G37" s="16" t="str">
        <f aca="false">IF(F37="","",IFERROR(INDEX(Lists!$M$2:$M$13,MATCH(F37,Lists!$L$2:$L$13,0)),"Unknown code"))</f>
        <v/>
      </c>
      <c r="H37" s="15"/>
      <c r="I37" s="20"/>
      <c r="J37" s="20"/>
      <c r="K37" s="15"/>
      <c r="L37" s="15"/>
    </row>
    <row r="38" customFormat="false" ht="15" hidden="false" customHeight="false" outlineLevel="0" collapsed="false">
      <c r="A38" s="15"/>
      <c r="B38" s="14"/>
      <c r="C38" s="18"/>
      <c r="D38" s="15"/>
      <c r="E38" s="15"/>
      <c r="F38" s="15"/>
      <c r="G38" s="16" t="str">
        <f aca="false">IF(F38="","",IFERROR(INDEX(Lists!$M$2:$M$13,MATCH(F38,Lists!$L$2:$L$13,0)),"Unknown code"))</f>
        <v/>
      </c>
      <c r="H38" s="15"/>
      <c r="I38" s="20"/>
      <c r="J38" s="20"/>
      <c r="K38" s="15"/>
      <c r="L38" s="15"/>
    </row>
    <row r="39" customFormat="false" ht="15" hidden="false" customHeight="false" outlineLevel="0" collapsed="false">
      <c r="A39" s="15"/>
      <c r="B39" s="14"/>
      <c r="C39" s="18"/>
      <c r="D39" s="15"/>
      <c r="E39" s="15"/>
      <c r="F39" s="15"/>
      <c r="G39" s="16" t="str">
        <f aca="false">IF(F39="","",IFERROR(INDEX(Lists!$M$2:$M$13,MATCH(F39,Lists!$L$2:$L$13,0)),"Unknown code"))</f>
        <v/>
      </c>
      <c r="H39" s="15"/>
      <c r="I39" s="20"/>
      <c r="J39" s="20"/>
      <c r="K39" s="15"/>
      <c r="L39" s="15"/>
    </row>
    <row r="40" customFormat="false" ht="15" hidden="false" customHeight="false" outlineLevel="0" collapsed="false">
      <c r="A40" s="15"/>
      <c r="B40" s="14"/>
      <c r="C40" s="18"/>
      <c r="D40" s="15"/>
      <c r="E40" s="15"/>
      <c r="F40" s="15"/>
      <c r="G40" s="16" t="str">
        <f aca="false">IF(F40="","",IFERROR(INDEX(Lists!$M$2:$M$13,MATCH(F40,Lists!$L$2:$L$13,0)),"Unknown code"))</f>
        <v/>
      </c>
      <c r="H40" s="15"/>
      <c r="I40" s="20"/>
      <c r="J40" s="20"/>
      <c r="K40" s="15"/>
      <c r="L40" s="15"/>
    </row>
    <row r="41" customFormat="false" ht="15" hidden="false" customHeight="false" outlineLevel="0" collapsed="false">
      <c r="A41" s="15"/>
      <c r="B41" s="14"/>
      <c r="C41" s="18"/>
      <c r="D41" s="15"/>
      <c r="E41" s="15"/>
      <c r="F41" s="15"/>
      <c r="G41" s="16" t="str">
        <f aca="false">IF(F41="","",IFERROR(INDEX(Lists!$M$2:$M$13,MATCH(F41,Lists!$L$2:$L$13,0)),"Unknown code"))</f>
        <v/>
      </c>
      <c r="H41" s="15"/>
      <c r="I41" s="20"/>
      <c r="J41" s="20"/>
      <c r="K41" s="15"/>
      <c r="L41" s="15"/>
    </row>
    <row r="42" customFormat="false" ht="15" hidden="false" customHeight="false" outlineLevel="0" collapsed="false">
      <c r="A42" s="15"/>
      <c r="B42" s="14"/>
      <c r="C42" s="18"/>
      <c r="D42" s="15"/>
      <c r="E42" s="15"/>
      <c r="F42" s="15"/>
      <c r="G42" s="16" t="str">
        <f aca="false">IF(F42="","",IFERROR(INDEX(Lists!$M$2:$M$13,MATCH(F42,Lists!$L$2:$L$13,0)),"Unknown code"))</f>
        <v/>
      </c>
      <c r="H42" s="15"/>
      <c r="I42" s="20"/>
      <c r="J42" s="20"/>
      <c r="K42" s="15"/>
      <c r="L42" s="15"/>
    </row>
    <row r="43" customFormat="false" ht="15" hidden="false" customHeight="false" outlineLevel="0" collapsed="false">
      <c r="A43" s="15"/>
      <c r="B43" s="14"/>
      <c r="C43" s="18"/>
      <c r="D43" s="15"/>
      <c r="E43" s="15"/>
      <c r="F43" s="15"/>
      <c r="G43" s="16" t="str">
        <f aca="false">IF(F43="","",IFERROR(INDEX(Lists!$M$2:$M$13,MATCH(F43,Lists!$L$2:$L$13,0)),"Unknown code"))</f>
        <v/>
      </c>
      <c r="H43" s="15"/>
      <c r="I43" s="20"/>
      <c r="J43" s="20"/>
      <c r="K43" s="15"/>
      <c r="L43" s="15"/>
    </row>
    <row r="44" customFormat="false" ht="15" hidden="false" customHeight="false" outlineLevel="0" collapsed="false">
      <c r="A44" s="15"/>
      <c r="B44" s="14"/>
      <c r="C44" s="18"/>
      <c r="D44" s="15"/>
      <c r="E44" s="15"/>
      <c r="F44" s="15"/>
      <c r="G44" s="16" t="str">
        <f aca="false">IF(F44="","",IFERROR(INDEX(Lists!$M$2:$M$13,MATCH(F44,Lists!$L$2:$L$13,0)),"Unknown code"))</f>
        <v/>
      </c>
      <c r="H44" s="15"/>
      <c r="I44" s="20"/>
      <c r="J44" s="20"/>
      <c r="K44" s="15"/>
      <c r="L44" s="15"/>
    </row>
    <row r="45" customFormat="false" ht="15" hidden="false" customHeight="false" outlineLevel="0" collapsed="false">
      <c r="A45" s="15"/>
      <c r="B45" s="14"/>
      <c r="C45" s="18"/>
      <c r="D45" s="15"/>
      <c r="E45" s="15"/>
      <c r="F45" s="15"/>
      <c r="G45" s="16" t="str">
        <f aca="false">IF(F45="","",IFERROR(INDEX(Lists!$M$2:$M$13,MATCH(F45,Lists!$L$2:$L$13,0)),"Unknown code"))</f>
        <v/>
      </c>
      <c r="H45" s="15"/>
      <c r="I45" s="20"/>
      <c r="J45" s="20"/>
      <c r="K45" s="15"/>
      <c r="L45" s="15"/>
    </row>
    <row r="46" customFormat="false" ht="15" hidden="false" customHeight="false" outlineLevel="0" collapsed="false">
      <c r="A46" s="15"/>
      <c r="B46" s="14"/>
      <c r="C46" s="18"/>
      <c r="D46" s="15"/>
      <c r="E46" s="15"/>
      <c r="F46" s="15"/>
      <c r="G46" s="16" t="str">
        <f aca="false">IF(F46="","",IFERROR(INDEX(Lists!$M$2:$M$13,MATCH(F46,Lists!$L$2:$L$13,0)),"Unknown code"))</f>
        <v/>
      </c>
      <c r="H46" s="15"/>
      <c r="I46" s="20"/>
      <c r="J46" s="20"/>
      <c r="K46" s="15"/>
      <c r="L46" s="15"/>
    </row>
    <row r="47" customFormat="false" ht="15" hidden="false" customHeight="false" outlineLevel="0" collapsed="false">
      <c r="A47" s="15"/>
      <c r="B47" s="14"/>
      <c r="C47" s="18"/>
      <c r="D47" s="15"/>
      <c r="E47" s="15"/>
      <c r="F47" s="15"/>
      <c r="G47" s="16" t="str">
        <f aca="false">IF(F47="","",IFERROR(INDEX(Lists!$M$2:$M$13,MATCH(F47,Lists!$L$2:$L$13,0)),"Unknown code"))</f>
        <v/>
      </c>
      <c r="H47" s="15"/>
      <c r="I47" s="20"/>
      <c r="J47" s="20"/>
      <c r="K47" s="15"/>
      <c r="L47" s="15"/>
    </row>
    <row r="48" customFormat="false" ht="15" hidden="false" customHeight="false" outlineLevel="0" collapsed="false">
      <c r="A48" s="15"/>
      <c r="B48" s="14"/>
      <c r="C48" s="18"/>
      <c r="D48" s="15"/>
      <c r="E48" s="15"/>
      <c r="F48" s="15"/>
      <c r="G48" s="16" t="str">
        <f aca="false">IF(F48="","",IFERROR(INDEX(Lists!$M$2:$M$13,MATCH(F48,Lists!$L$2:$L$13,0)),"Unknown code"))</f>
        <v/>
      </c>
      <c r="H48" s="15"/>
      <c r="I48" s="20"/>
      <c r="J48" s="20"/>
      <c r="K48" s="15"/>
      <c r="L48" s="15"/>
    </row>
    <row r="49" customFormat="false" ht="15" hidden="false" customHeight="false" outlineLevel="0" collapsed="false">
      <c r="A49" s="15"/>
      <c r="B49" s="14"/>
      <c r="C49" s="18"/>
      <c r="D49" s="15"/>
      <c r="E49" s="15"/>
      <c r="F49" s="15"/>
      <c r="G49" s="16" t="str">
        <f aca="false">IF(F49="","",IFERROR(INDEX(Lists!$M$2:$M$13,MATCH(F49,Lists!$L$2:$L$13,0)),"Unknown code"))</f>
        <v/>
      </c>
      <c r="H49" s="15"/>
      <c r="I49" s="20"/>
      <c r="J49" s="20"/>
      <c r="K49" s="15"/>
      <c r="L49" s="15"/>
    </row>
    <row r="50" customFormat="false" ht="15" hidden="false" customHeight="false" outlineLevel="0" collapsed="false">
      <c r="A50" s="15"/>
      <c r="B50" s="14"/>
      <c r="C50" s="18"/>
      <c r="D50" s="15"/>
      <c r="E50" s="15"/>
      <c r="F50" s="15"/>
      <c r="G50" s="16" t="str">
        <f aca="false">IF(F50="","",IFERROR(INDEX(Lists!$M$2:$M$13,MATCH(F50,Lists!$L$2:$L$13,0)),"Unknown code"))</f>
        <v/>
      </c>
      <c r="H50" s="15"/>
      <c r="I50" s="20"/>
      <c r="J50" s="20"/>
      <c r="K50" s="15"/>
      <c r="L50" s="15"/>
    </row>
    <row r="51" customFormat="false" ht="15" hidden="false" customHeight="false" outlineLevel="0" collapsed="false">
      <c r="A51" s="15"/>
      <c r="B51" s="14"/>
      <c r="C51" s="18"/>
      <c r="D51" s="15"/>
      <c r="E51" s="15"/>
      <c r="F51" s="15"/>
      <c r="G51" s="16" t="str">
        <f aca="false">IF(F51="","",IFERROR(INDEX(Lists!$M$2:$M$13,MATCH(F51,Lists!$L$2:$L$13,0)),"Unknown code"))</f>
        <v/>
      </c>
      <c r="H51" s="15"/>
      <c r="I51" s="20"/>
      <c r="J51" s="20"/>
      <c r="K51" s="15"/>
      <c r="L51" s="15"/>
    </row>
    <row r="52" customFormat="false" ht="15" hidden="false" customHeight="false" outlineLevel="0" collapsed="false">
      <c r="A52" s="15"/>
      <c r="B52" s="14"/>
      <c r="C52" s="18"/>
      <c r="D52" s="15"/>
      <c r="E52" s="15"/>
      <c r="F52" s="15"/>
      <c r="G52" s="16" t="str">
        <f aca="false">IF(F52="","",IFERROR(INDEX(Lists!$M$2:$M$13,MATCH(F52,Lists!$L$2:$L$13,0)),"Unknown code"))</f>
        <v/>
      </c>
      <c r="H52" s="15"/>
      <c r="I52" s="20"/>
      <c r="J52" s="20"/>
      <c r="K52" s="15"/>
      <c r="L52" s="15"/>
    </row>
    <row r="53" customFormat="false" ht="15" hidden="false" customHeight="false" outlineLevel="0" collapsed="false">
      <c r="A53" s="15"/>
      <c r="B53" s="14"/>
      <c r="C53" s="18"/>
      <c r="D53" s="15"/>
      <c r="E53" s="15"/>
      <c r="F53" s="15"/>
      <c r="G53" s="16" t="str">
        <f aca="false">IF(F53="","",IFERROR(INDEX(Lists!$M$2:$M$13,MATCH(F53,Lists!$L$2:$L$13,0)),"Unknown code"))</f>
        <v/>
      </c>
      <c r="H53" s="15"/>
      <c r="I53" s="20"/>
      <c r="J53" s="20"/>
      <c r="K53" s="15"/>
      <c r="L53" s="15"/>
    </row>
    <row r="54" customFormat="false" ht="15" hidden="false" customHeight="false" outlineLevel="0" collapsed="false">
      <c r="A54" s="15"/>
      <c r="B54" s="14"/>
      <c r="C54" s="18"/>
      <c r="D54" s="15"/>
      <c r="E54" s="15"/>
      <c r="F54" s="15"/>
      <c r="G54" s="16" t="str">
        <f aca="false">IF(F54="","",IFERROR(INDEX(Lists!$M$2:$M$13,MATCH(F54,Lists!$L$2:$L$13,0)),"Unknown code"))</f>
        <v/>
      </c>
      <c r="H54" s="15"/>
      <c r="I54" s="20"/>
      <c r="J54" s="20"/>
      <c r="K54" s="15"/>
      <c r="L54" s="15"/>
    </row>
    <row r="55" customFormat="false" ht="15" hidden="false" customHeight="false" outlineLevel="0" collapsed="false">
      <c r="A55" s="15"/>
      <c r="B55" s="14"/>
      <c r="C55" s="18"/>
      <c r="D55" s="15"/>
      <c r="E55" s="15"/>
      <c r="F55" s="15"/>
      <c r="G55" s="16" t="str">
        <f aca="false">IF(F55="","",IFERROR(INDEX(Lists!$M$2:$M$13,MATCH(F55,Lists!$L$2:$L$13,0)),"Unknown code"))</f>
        <v/>
      </c>
      <c r="H55" s="15"/>
      <c r="I55" s="20"/>
      <c r="J55" s="20"/>
      <c r="K55" s="15"/>
      <c r="L55" s="15"/>
    </row>
    <row r="56" customFormat="false" ht="15" hidden="false" customHeight="false" outlineLevel="0" collapsed="false">
      <c r="A56" s="15"/>
      <c r="B56" s="14"/>
      <c r="C56" s="18"/>
      <c r="D56" s="15"/>
      <c r="E56" s="15"/>
      <c r="F56" s="15"/>
      <c r="G56" s="16" t="str">
        <f aca="false">IF(F56="","",IFERROR(INDEX(Lists!$M$2:$M$13,MATCH(F56,Lists!$L$2:$L$13,0)),"Unknown code"))</f>
        <v/>
      </c>
      <c r="H56" s="15"/>
      <c r="I56" s="20"/>
      <c r="J56" s="20"/>
      <c r="K56" s="15"/>
      <c r="L56" s="15"/>
    </row>
    <row r="57" customFormat="false" ht="15" hidden="false" customHeight="false" outlineLevel="0" collapsed="false">
      <c r="A57" s="15"/>
      <c r="B57" s="14"/>
      <c r="C57" s="18"/>
      <c r="D57" s="15"/>
      <c r="E57" s="15"/>
      <c r="F57" s="15"/>
      <c r="G57" s="16" t="str">
        <f aca="false">IF(F57="","",IFERROR(INDEX(Lists!$M$2:$M$13,MATCH(F57,Lists!$L$2:$L$13,0)),"Unknown code"))</f>
        <v/>
      </c>
      <c r="H57" s="15"/>
      <c r="I57" s="20"/>
      <c r="J57" s="20"/>
      <c r="K57" s="15"/>
      <c r="L57" s="15"/>
    </row>
    <row r="58" customFormat="false" ht="15" hidden="false" customHeight="false" outlineLevel="0" collapsed="false">
      <c r="A58" s="15"/>
      <c r="B58" s="14"/>
      <c r="C58" s="18"/>
      <c r="D58" s="15"/>
      <c r="E58" s="15"/>
      <c r="F58" s="15"/>
      <c r="G58" s="16" t="str">
        <f aca="false">IF(F58="","",IFERROR(INDEX(Lists!$M$2:$M$13,MATCH(F58,Lists!$L$2:$L$13,0)),"Unknown code"))</f>
        <v/>
      </c>
      <c r="H58" s="15"/>
      <c r="I58" s="20"/>
      <c r="J58" s="20"/>
      <c r="K58" s="15"/>
      <c r="L58" s="15"/>
    </row>
    <row r="59" customFormat="false" ht="15" hidden="false" customHeight="false" outlineLevel="0" collapsed="false">
      <c r="A59" s="15"/>
      <c r="B59" s="14"/>
      <c r="C59" s="18"/>
      <c r="D59" s="15"/>
      <c r="E59" s="15"/>
      <c r="F59" s="15"/>
      <c r="G59" s="16" t="str">
        <f aca="false">IF(F59="","",IFERROR(INDEX(Lists!$M$2:$M$13,MATCH(F59,Lists!$L$2:$L$13,0)),"Unknown code"))</f>
        <v/>
      </c>
      <c r="H59" s="15"/>
      <c r="I59" s="20"/>
      <c r="J59" s="20"/>
      <c r="K59" s="15"/>
      <c r="L59" s="15"/>
    </row>
    <row r="60" customFormat="false" ht="15" hidden="false" customHeight="false" outlineLevel="0" collapsed="false">
      <c r="A60" s="15"/>
      <c r="B60" s="14"/>
      <c r="C60" s="18"/>
      <c r="D60" s="15"/>
      <c r="E60" s="15"/>
      <c r="F60" s="15"/>
      <c r="G60" s="16" t="str">
        <f aca="false">IF(F60="","",IFERROR(INDEX(Lists!$M$2:$M$13,MATCH(F60,Lists!$L$2:$L$13,0)),"Unknown code"))</f>
        <v/>
      </c>
      <c r="H60" s="15"/>
      <c r="I60" s="20"/>
      <c r="J60" s="20"/>
      <c r="K60" s="15"/>
      <c r="L60" s="15"/>
    </row>
    <row r="61" customFormat="false" ht="15" hidden="false" customHeight="false" outlineLevel="0" collapsed="false">
      <c r="A61" s="15"/>
      <c r="B61" s="14"/>
      <c r="C61" s="18"/>
      <c r="D61" s="15"/>
      <c r="E61" s="15"/>
      <c r="F61" s="15"/>
      <c r="G61" s="16" t="str">
        <f aca="false">IF(F61="","",IFERROR(INDEX(Lists!$M$2:$M$13,MATCH(F61,Lists!$L$2:$L$13,0)),"Unknown code"))</f>
        <v/>
      </c>
      <c r="H61" s="15"/>
      <c r="I61" s="20"/>
      <c r="J61" s="20"/>
      <c r="K61" s="15"/>
      <c r="L61" s="15"/>
    </row>
    <row r="62" customFormat="false" ht="15" hidden="false" customHeight="false" outlineLevel="0" collapsed="false">
      <c r="A62" s="15"/>
      <c r="B62" s="14"/>
      <c r="C62" s="18"/>
      <c r="D62" s="15"/>
      <c r="E62" s="15"/>
      <c r="F62" s="15"/>
      <c r="G62" s="16" t="str">
        <f aca="false">IF(F62="","",IFERROR(INDEX(Lists!$M$2:$M$13,MATCH(F62,Lists!$L$2:$L$13,0)),"Unknown code"))</f>
        <v/>
      </c>
      <c r="H62" s="15"/>
      <c r="I62" s="20"/>
      <c r="J62" s="20"/>
      <c r="K62" s="15"/>
      <c r="L62" s="15"/>
    </row>
    <row r="63" customFormat="false" ht="15" hidden="false" customHeight="false" outlineLevel="0" collapsed="false">
      <c r="A63" s="15"/>
      <c r="B63" s="14"/>
      <c r="C63" s="18"/>
      <c r="D63" s="15"/>
      <c r="E63" s="15"/>
      <c r="F63" s="15"/>
      <c r="G63" s="16" t="str">
        <f aca="false">IF(F63="","",IFERROR(INDEX(Lists!$M$2:$M$13,MATCH(F63,Lists!$L$2:$L$13,0)),"Unknown code"))</f>
        <v/>
      </c>
      <c r="H63" s="15"/>
      <c r="I63" s="20"/>
      <c r="J63" s="20"/>
      <c r="K63" s="15"/>
      <c r="L63" s="15"/>
    </row>
    <row r="64" customFormat="false" ht="15" hidden="false" customHeight="false" outlineLevel="0" collapsed="false">
      <c r="A64" s="15"/>
      <c r="B64" s="14"/>
      <c r="C64" s="18"/>
      <c r="D64" s="15"/>
      <c r="E64" s="15"/>
      <c r="F64" s="15"/>
      <c r="G64" s="16" t="str">
        <f aca="false">IF(F64="","",IFERROR(INDEX(Lists!$M$2:$M$13,MATCH(F64,Lists!$L$2:$L$13,0)),"Unknown code"))</f>
        <v/>
      </c>
      <c r="H64" s="15"/>
      <c r="I64" s="20"/>
      <c r="J64" s="20"/>
      <c r="K64" s="15"/>
      <c r="L64" s="15"/>
    </row>
    <row r="65" customFormat="false" ht="15" hidden="false" customHeight="false" outlineLevel="0" collapsed="false">
      <c r="A65" s="15"/>
      <c r="B65" s="14"/>
      <c r="C65" s="18"/>
      <c r="D65" s="15"/>
      <c r="E65" s="15"/>
      <c r="F65" s="15"/>
      <c r="G65" s="16" t="str">
        <f aca="false">IF(F65="","",IFERROR(INDEX(Lists!$M$2:$M$13,MATCH(F65,Lists!$L$2:$L$13,0)),"Unknown code"))</f>
        <v/>
      </c>
      <c r="H65" s="15"/>
      <c r="I65" s="20"/>
      <c r="J65" s="20"/>
      <c r="K65" s="15"/>
      <c r="L65" s="15"/>
    </row>
    <row r="66" customFormat="false" ht="15" hidden="false" customHeight="false" outlineLevel="0" collapsed="false">
      <c r="A66" s="15"/>
      <c r="B66" s="14"/>
      <c r="C66" s="18"/>
      <c r="D66" s="15"/>
      <c r="E66" s="15"/>
      <c r="F66" s="15"/>
      <c r="G66" s="16" t="str">
        <f aca="false">IF(F66="","",IFERROR(INDEX(Lists!$M$2:$M$13,MATCH(F66,Lists!$L$2:$L$13,0)),"Unknown code"))</f>
        <v/>
      </c>
      <c r="H66" s="15"/>
      <c r="I66" s="20"/>
      <c r="J66" s="20"/>
      <c r="K66" s="15"/>
      <c r="L66" s="15"/>
    </row>
    <row r="67" customFormat="false" ht="15" hidden="false" customHeight="false" outlineLevel="0" collapsed="false">
      <c r="A67" s="15"/>
      <c r="B67" s="14"/>
      <c r="C67" s="18"/>
      <c r="D67" s="15"/>
      <c r="E67" s="15"/>
      <c r="F67" s="15"/>
      <c r="G67" s="16" t="str">
        <f aca="false">IF(F67="","",IFERROR(INDEX(Lists!$M$2:$M$13,MATCH(F67,Lists!$L$2:$L$13,0)),"Unknown code"))</f>
        <v/>
      </c>
      <c r="H67" s="15"/>
      <c r="I67" s="20"/>
      <c r="J67" s="20"/>
      <c r="K67" s="15"/>
      <c r="L67" s="15"/>
    </row>
    <row r="68" customFormat="false" ht="15" hidden="false" customHeight="false" outlineLevel="0" collapsed="false">
      <c r="A68" s="15"/>
      <c r="B68" s="14"/>
      <c r="C68" s="18"/>
      <c r="D68" s="15"/>
      <c r="E68" s="15"/>
      <c r="F68" s="15"/>
      <c r="G68" s="16" t="str">
        <f aca="false">IF(F68="","",IFERROR(INDEX(Lists!$M$2:$M$13,MATCH(F68,Lists!$L$2:$L$13,0)),"Unknown code"))</f>
        <v/>
      </c>
      <c r="H68" s="15"/>
      <c r="I68" s="20"/>
      <c r="J68" s="20"/>
      <c r="K68" s="15"/>
      <c r="L68" s="15"/>
    </row>
    <row r="69" customFormat="false" ht="15" hidden="false" customHeight="false" outlineLevel="0" collapsed="false">
      <c r="A69" s="15"/>
      <c r="B69" s="14"/>
      <c r="C69" s="18"/>
      <c r="D69" s="15"/>
      <c r="E69" s="15"/>
      <c r="F69" s="15"/>
      <c r="G69" s="16" t="str">
        <f aca="false">IF(F69="","",IFERROR(INDEX(Lists!$M$2:$M$13,MATCH(F69,Lists!$L$2:$L$13,0)),"Unknown code"))</f>
        <v/>
      </c>
      <c r="H69" s="15"/>
      <c r="I69" s="20"/>
      <c r="J69" s="20"/>
      <c r="K69" s="15"/>
      <c r="L69" s="15"/>
    </row>
    <row r="70" customFormat="false" ht="15" hidden="false" customHeight="false" outlineLevel="0" collapsed="false">
      <c r="A70" s="15"/>
      <c r="B70" s="14"/>
      <c r="C70" s="18"/>
      <c r="D70" s="15"/>
      <c r="E70" s="15"/>
      <c r="F70" s="15"/>
      <c r="G70" s="16" t="str">
        <f aca="false">IF(F70="","",IFERROR(INDEX(Lists!$M$2:$M$13,MATCH(F70,Lists!$L$2:$L$13,0)),"Unknown code"))</f>
        <v/>
      </c>
      <c r="H70" s="15"/>
      <c r="I70" s="20"/>
      <c r="J70" s="20"/>
      <c r="K70" s="15"/>
      <c r="L70" s="15"/>
    </row>
    <row r="71" customFormat="false" ht="15" hidden="false" customHeight="false" outlineLevel="0" collapsed="false">
      <c r="A71" s="15"/>
      <c r="B71" s="14"/>
      <c r="C71" s="18"/>
      <c r="D71" s="15"/>
      <c r="E71" s="15"/>
      <c r="F71" s="15"/>
      <c r="G71" s="16" t="str">
        <f aca="false">IF(F71="","",IFERROR(INDEX(Lists!$M$2:$M$13,MATCH(F71,Lists!$L$2:$L$13,0)),"Unknown code"))</f>
        <v/>
      </c>
      <c r="H71" s="15"/>
      <c r="I71" s="20"/>
      <c r="J71" s="20"/>
      <c r="K71" s="15"/>
      <c r="L71" s="15"/>
    </row>
    <row r="72" customFormat="false" ht="15" hidden="false" customHeight="false" outlineLevel="0" collapsed="false">
      <c r="A72" s="15"/>
      <c r="B72" s="14"/>
      <c r="C72" s="18"/>
      <c r="D72" s="15"/>
      <c r="E72" s="15"/>
      <c r="F72" s="15"/>
      <c r="G72" s="16" t="str">
        <f aca="false">IF(F72="","",IFERROR(INDEX(Lists!$M$2:$M$13,MATCH(F72,Lists!$L$2:$L$13,0)),"Unknown code"))</f>
        <v/>
      </c>
      <c r="H72" s="15"/>
      <c r="I72" s="20"/>
      <c r="J72" s="20"/>
      <c r="K72" s="15"/>
      <c r="L72" s="15"/>
    </row>
    <row r="73" customFormat="false" ht="15" hidden="false" customHeight="false" outlineLevel="0" collapsed="false">
      <c r="A73" s="15"/>
      <c r="B73" s="14"/>
      <c r="C73" s="18"/>
      <c r="D73" s="15"/>
      <c r="E73" s="15"/>
      <c r="F73" s="15"/>
      <c r="G73" s="16" t="str">
        <f aca="false">IF(F73="","",IFERROR(INDEX(Lists!$M$2:$M$13,MATCH(F73,Lists!$L$2:$L$13,0)),"Unknown code"))</f>
        <v/>
      </c>
      <c r="H73" s="15"/>
      <c r="I73" s="20"/>
      <c r="J73" s="20"/>
      <c r="K73" s="15"/>
      <c r="L73" s="15"/>
    </row>
    <row r="74" customFormat="false" ht="15" hidden="false" customHeight="false" outlineLevel="0" collapsed="false">
      <c r="A74" s="15"/>
      <c r="B74" s="14"/>
      <c r="C74" s="18"/>
      <c r="D74" s="15"/>
      <c r="E74" s="15"/>
      <c r="F74" s="15"/>
      <c r="G74" s="16" t="str">
        <f aca="false">IF(F74="","",IFERROR(INDEX(Lists!$M$2:$M$13,MATCH(F74,Lists!$L$2:$L$13,0)),"Unknown code"))</f>
        <v/>
      </c>
      <c r="H74" s="15"/>
      <c r="I74" s="20"/>
      <c r="J74" s="20"/>
      <c r="K74" s="15"/>
      <c r="L74" s="15"/>
    </row>
    <row r="75" customFormat="false" ht="15" hidden="false" customHeight="false" outlineLevel="0" collapsed="false">
      <c r="A75" s="15"/>
      <c r="B75" s="14"/>
      <c r="C75" s="18"/>
      <c r="D75" s="15"/>
      <c r="E75" s="15"/>
      <c r="F75" s="15"/>
      <c r="G75" s="16" t="str">
        <f aca="false">IF(F75="","",IFERROR(INDEX(Lists!$M$2:$M$13,MATCH(F75,Lists!$L$2:$L$13,0)),"Unknown code"))</f>
        <v/>
      </c>
      <c r="H75" s="15"/>
      <c r="I75" s="20"/>
      <c r="J75" s="20"/>
      <c r="K75" s="15"/>
      <c r="L75" s="15"/>
    </row>
    <row r="76" customFormat="false" ht="15" hidden="false" customHeight="false" outlineLevel="0" collapsed="false">
      <c r="A76" s="15"/>
      <c r="B76" s="14"/>
      <c r="C76" s="18"/>
      <c r="D76" s="15"/>
      <c r="E76" s="15"/>
      <c r="F76" s="15"/>
      <c r="G76" s="16" t="str">
        <f aca="false">IF(F76="","",IFERROR(INDEX(Lists!$M$2:$M$13,MATCH(F76,Lists!$L$2:$L$13,0)),"Unknown code"))</f>
        <v/>
      </c>
      <c r="H76" s="15"/>
      <c r="I76" s="20"/>
      <c r="J76" s="20"/>
      <c r="K76" s="15"/>
      <c r="L76" s="15"/>
    </row>
    <row r="77" customFormat="false" ht="15" hidden="false" customHeight="false" outlineLevel="0" collapsed="false">
      <c r="A77" s="15"/>
      <c r="B77" s="14"/>
      <c r="C77" s="18"/>
      <c r="D77" s="15"/>
      <c r="E77" s="15"/>
      <c r="F77" s="15"/>
      <c r="G77" s="16" t="str">
        <f aca="false">IF(F77="","",IFERROR(INDEX(Lists!$M$2:$M$13,MATCH(F77,Lists!$L$2:$L$13,0)),"Unknown code"))</f>
        <v/>
      </c>
      <c r="H77" s="15"/>
      <c r="I77" s="20"/>
      <c r="J77" s="20"/>
      <c r="K77" s="15"/>
      <c r="L77" s="15"/>
    </row>
    <row r="78" customFormat="false" ht="15" hidden="false" customHeight="false" outlineLevel="0" collapsed="false">
      <c r="A78" s="15"/>
      <c r="B78" s="14"/>
      <c r="C78" s="18"/>
      <c r="D78" s="15"/>
      <c r="E78" s="15"/>
      <c r="F78" s="15"/>
      <c r="G78" s="16" t="str">
        <f aca="false">IF(F78="","",IFERROR(INDEX(Lists!$M$2:$M$13,MATCH(F78,Lists!$L$2:$L$13,0)),"Unknown code"))</f>
        <v/>
      </c>
      <c r="H78" s="15"/>
      <c r="I78" s="20"/>
      <c r="J78" s="20"/>
      <c r="K78" s="15"/>
      <c r="L78" s="15"/>
    </row>
    <row r="79" customFormat="false" ht="15" hidden="false" customHeight="false" outlineLevel="0" collapsed="false">
      <c r="A79" s="15"/>
      <c r="B79" s="14"/>
      <c r="C79" s="18"/>
      <c r="D79" s="15"/>
      <c r="E79" s="15"/>
      <c r="F79" s="15"/>
      <c r="G79" s="16" t="str">
        <f aca="false">IF(F79="","",IFERROR(INDEX(Lists!$M$2:$M$13,MATCH(F79,Lists!$L$2:$L$13,0)),"Unknown code"))</f>
        <v/>
      </c>
      <c r="H79" s="15"/>
      <c r="I79" s="20"/>
      <c r="J79" s="20"/>
      <c r="K79" s="15"/>
      <c r="L79" s="15"/>
    </row>
    <row r="80" customFormat="false" ht="15" hidden="false" customHeight="false" outlineLevel="0" collapsed="false">
      <c r="A80" s="15"/>
      <c r="B80" s="14"/>
      <c r="C80" s="18"/>
      <c r="D80" s="15"/>
      <c r="E80" s="15"/>
      <c r="F80" s="15"/>
      <c r="G80" s="16" t="str">
        <f aca="false">IF(F80="","",IFERROR(INDEX(Lists!$M$2:$M$13,MATCH(F80,Lists!$L$2:$L$13,0)),"Unknown code"))</f>
        <v/>
      </c>
      <c r="H80" s="15"/>
      <c r="I80" s="20"/>
      <c r="J80" s="20"/>
      <c r="K80" s="15"/>
      <c r="L80" s="15"/>
    </row>
    <row r="81" customFormat="false" ht="15" hidden="false" customHeight="false" outlineLevel="0" collapsed="false">
      <c r="A81" s="15"/>
      <c r="B81" s="14"/>
      <c r="C81" s="18"/>
      <c r="D81" s="15"/>
      <c r="E81" s="15"/>
      <c r="F81" s="15"/>
      <c r="G81" s="16" t="str">
        <f aca="false">IF(F81="","",IFERROR(INDEX(Lists!$M$2:$M$13,MATCH(F81,Lists!$L$2:$L$13,0)),"Unknown code"))</f>
        <v/>
      </c>
      <c r="H81" s="15"/>
      <c r="I81" s="20"/>
      <c r="J81" s="20"/>
      <c r="K81" s="15"/>
      <c r="L81" s="15"/>
    </row>
    <row r="82" customFormat="false" ht="15" hidden="false" customHeight="false" outlineLevel="0" collapsed="false">
      <c r="A82" s="15"/>
      <c r="B82" s="14"/>
      <c r="C82" s="18"/>
      <c r="D82" s="15"/>
      <c r="E82" s="15"/>
      <c r="F82" s="15"/>
      <c r="G82" s="16" t="str">
        <f aca="false">IF(F82="","",IFERROR(INDEX(Lists!$M$2:$M$13,MATCH(F82,Lists!$L$2:$L$13,0)),"Unknown code"))</f>
        <v/>
      </c>
      <c r="H82" s="15"/>
      <c r="I82" s="20"/>
      <c r="J82" s="20"/>
      <c r="K82" s="15"/>
      <c r="L82" s="15"/>
    </row>
    <row r="83" customFormat="false" ht="15" hidden="false" customHeight="false" outlineLevel="0" collapsed="false">
      <c r="A83" s="15"/>
      <c r="B83" s="14"/>
      <c r="C83" s="18"/>
      <c r="D83" s="15"/>
      <c r="E83" s="15"/>
      <c r="F83" s="15"/>
      <c r="G83" s="16" t="str">
        <f aca="false">IF(F83="","",IFERROR(INDEX(Lists!$M$2:$M$13,MATCH(F83,Lists!$L$2:$L$13,0)),"Unknown code"))</f>
        <v/>
      </c>
      <c r="H83" s="15"/>
      <c r="I83" s="20"/>
      <c r="J83" s="20"/>
      <c r="K83" s="15"/>
      <c r="L83" s="15"/>
    </row>
    <row r="84" customFormat="false" ht="15" hidden="false" customHeight="false" outlineLevel="0" collapsed="false">
      <c r="A84" s="15"/>
      <c r="B84" s="14"/>
      <c r="C84" s="18"/>
      <c r="D84" s="15"/>
      <c r="E84" s="15"/>
      <c r="F84" s="15"/>
      <c r="G84" s="16" t="str">
        <f aca="false">IF(F84="","",IFERROR(INDEX(Lists!$M$2:$M$13,MATCH(F84,Lists!$L$2:$L$13,0)),"Unknown code"))</f>
        <v/>
      </c>
      <c r="H84" s="15"/>
      <c r="I84" s="20"/>
      <c r="J84" s="20"/>
      <c r="K84" s="15"/>
      <c r="L84" s="15"/>
    </row>
    <row r="85" customFormat="false" ht="15" hidden="false" customHeight="false" outlineLevel="0" collapsed="false">
      <c r="A85" s="15"/>
      <c r="B85" s="14"/>
      <c r="C85" s="18"/>
      <c r="D85" s="15"/>
      <c r="E85" s="15"/>
      <c r="F85" s="15"/>
      <c r="G85" s="16" t="str">
        <f aca="false">IF(F85="","",IFERROR(INDEX(Lists!$M$2:$M$13,MATCH(F85,Lists!$L$2:$L$13,0)),"Unknown code"))</f>
        <v/>
      </c>
      <c r="H85" s="15"/>
      <c r="I85" s="20"/>
      <c r="J85" s="20"/>
      <c r="K85" s="15"/>
      <c r="L85" s="15"/>
    </row>
    <row r="86" customFormat="false" ht="15" hidden="false" customHeight="false" outlineLevel="0" collapsed="false">
      <c r="A86" s="15"/>
      <c r="B86" s="14"/>
      <c r="C86" s="18"/>
      <c r="D86" s="15"/>
      <c r="E86" s="15"/>
      <c r="F86" s="15"/>
      <c r="G86" s="16" t="str">
        <f aca="false">IF(F86="","",IFERROR(INDEX(Lists!$M$2:$M$13,MATCH(F86,Lists!$L$2:$L$13,0)),"Unknown code"))</f>
        <v/>
      </c>
      <c r="H86" s="15"/>
      <c r="I86" s="20"/>
      <c r="J86" s="20"/>
      <c r="K86" s="15"/>
      <c r="L86" s="15"/>
    </row>
    <row r="87" customFormat="false" ht="15" hidden="false" customHeight="false" outlineLevel="0" collapsed="false">
      <c r="A87" s="15"/>
      <c r="B87" s="14"/>
      <c r="C87" s="18"/>
      <c r="D87" s="15"/>
      <c r="E87" s="15"/>
      <c r="F87" s="15"/>
      <c r="G87" s="16" t="str">
        <f aca="false">IF(F87="","",IFERROR(INDEX(Lists!$M$2:$M$13,MATCH(F87,Lists!$L$2:$L$13,0)),"Unknown code"))</f>
        <v/>
      </c>
      <c r="H87" s="15"/>
      <c r="I87" s="20"/>
      <c r="J87" s="20"/>
      <c r="K87" s="15"/>
      <c r="L87" s="15"/>
    </row>
    <row r="88" customFormat="false" ht="15" hidden="false" customHeight="false" outlineLevel="0" collapsed="false">
      <c r="A88" s="15"/>
      <c r="B88" s="14"/>
      <c r="C88" s="18"/>
      <c r="D88" s="15"/>
      <c r="E88" s="15"/>
      <c r="F88" s="15"/>
      <c r="G88" s="16" t="str">
        <f aca="false">IF(F88="","",IFERROR(INDEX(Lists!$M$2:$M$13,MATCH(F88,Lists!$L$2:$L$13,0)),"Unknown code"))</f>
        <v/>
      </c>
      <c r="H88" s="15"/>
      <c r="I88" s="20"/>
      <c r="J88" s="20"/>
      <c r="K88" s="15"/>
      <c r="L88" s="15"/>
    </row>
    <row r="89" customFormat="false" ht="15" hidden="false" customHeight="false" outlineLevel="0" collapsed="false">
      <c r="A89" s="15"/>
      <c r="B89" s="14"/>
      <c r="C89" s="18"/>
      <c r="D89" s="15"/>
      <c r="E89" s="15"/>
      <c r="F89" s="15"/>
      <c r="G89" s="16" t="str">
        <f aca="false">IF(F89="","",IFERROR(INDEX(Lists!$M$2:$M$13,MATCH(F89,Lists!$L$2:$L$13,0)),"Unknown code"))</f>
        <v/>
      </c>
      <c r="H89" s="15"/>
      <c r="I89" s="20"/>
      <c r="J89" s="20"/>
      <c r="K89" s="15"/>
      <c r="L89" s="15"/>
    </row>
    <row r="90" customFormat="false" ht="15" hidden="false" customHeight="false" outlineLevel="0" collapsed="false">
      <c r="A90" s="15"/>
      <c r="B90" s="14"/>
      <c r="C90" s="18"/>
      <c r="D90" s="15"/>
      <c r="E90" s="15"/>
      <c r="F90" s="15"/>
      <c r="G90" s="16" t="str">
        <f aca="false">IF(F90="","",IFERROR(INDEX(Lists!$M$2:$M$13,MATCH(F90,Lists!$L$2:$L$13,0)),"Unknown code"))</f>
        <v/>
      </c>
      <c r="H90" s="15"/>
      <c r="I90" s="20"/>
      <c r="J90" s="20"/>
      <c r="K90" s="15"/>
      <c r="L90" s="15"/>
    </row>
    <row r="91" customFormat="false" ht="15" hidden="false" customHeight="false" outlineLevel="0" collapsed="false">
      <c r="A91" s="15"/>
      <c r="B91" s="14"/>
      <c r="C91" s="18"/>
      <c r="D91" s="15"/>
      <c r="E91" s="15"/>
      <c r="F91" s="15"/>
      <c r="G91" s="16" t="str">
        <f aca="false">IF(F91="","",IFERROR(INDEX(Lists!$M$2:$M$13,MATCH(F91,Lists!$L$2:$L$13,0)),"Unknown code"))</f>
        <v/>
      </c>
      <c r="H91" s="15"/>
      <c r="I91" s="20"/>
      <c r="J91" s="20"/>
      <c r="K91" s="15"/>
      <c r="L91" s="15"/>
    </row>
    <row r="92" customFormat="false" ht="15" hidden="false" customHeight="false" outlineLevel="0" collapsed="false">
      <c r="A92" s="15"/>
      <c r="B92" s="14"/>
      <c r="C92" s="18"/>
      <c r="D92" s="15"/>
      <c r="E92" s="15"/>
      <c r="F92" s="15"/>
      <c r="G92" s="16" t="str">
        <f aca="false">IF(F92="","",IFERROR(INDEX(Lists!$M$2:$M$13,MATCH(F92,Lists!$L$2:$L$13,0)),"Unknown code"))</f>
        <v/>
      </c>
      <c r="H92" s="15"/>
      <c r="I92" s="20"/>
      <c r="J92" s="20"/>
      <c r="K92" s="15"/>
      <c r="L92" s="15"/>
    </row>
    <row r="93" customFormat="false" ht="15" hidden="false" customHeight="false" outlineLevel="0" collapsed="false">
      <c r="A93" s="15"/>
      <c r="B93" s="14"/>
      <c r="C93" s="18"/>
      <c r="D93" s="15"/>
      <c r="E93" s="15"/>
      <c r="F93" s="15"/>
      <c r="G93" s="16" t="str">
        <f aca="false">IF(F93="","",IFERROR(INDEX(Lists!$M$2:$M$13,MATCH(F93,Lists!$L$2:$L$13,0)),"Unknown code"))</f>
        <v/>
      </c>
      <c r="H93" s="15"/>
      <c r="I93" s="20"/>
      <c r="J93" s="20"/>
      <c r="K93" s="15"/>
      <c r="L93" s="15"/>
    </row>
    <row r="94" customFormat="false" ht="15" hidden="false" customHeight="false" outlineLevel="0" collapsed="false">
      <c r="A94" s="15"/>
      <c r="B94" s="14"/>
      <c r="C94" s="18"/>
      <c r="D94" s="15"/>
      <c r="E94" s="15"/>
      <c r="F94" s="15"/>
      <c r="G94" s="16" t="str">
        <f aca="false">IF(F94="","",IFERROR(INDEX(Lists!$M$2:$M$13,MATCH(F94,Lists!$L$2:$L$13,0)),"Unknown code"))</f>
        <v/>
      </c>
      <c r="H94" s="15"/>
      <c r="I94" s="20"/>
      <c r="J94" s="20"/>
      <c r="K94" s="15"/>
      <c r="L94" s="15"/>
    </row>
    <row r="95" customFormat="false" ht="15" hidden="false" customHeight="false" outlineLevel="0" collapsed="false">
      <c r="A95" s="15"/>
      <c r="B95" s="14"/>
      <c r="C95" s="18"/>
      <c r="D95" s="15"/>
      <c r="E95" s="15"/>
      <c r="F95" s="15"/>
      <c r="G95" s="16" t="str">
        <f aca="false">IF(F95="","",IFERROR(INDEX(Lists!$M$2:$M$13,MATCH(F95,Lists!$L$2:$L$13,0)),"Unknown code"))</f>
        <v/>
      </c>
      <c r="H95" s="15"/>
      <c r="I95" s="20"/>
      <c r="J95" s="20"/>
      <c r="K95" s="15"/>
      <c r="L95" s="15"/>
    </row>
    <row r="96" customFormat="false" ht="15" hidden="false" customHeight="false" outlineLevel="0" collapsed="false">
      <c r="A96" s="15"/>
      <c r="B96" s="14"/>
      <c r="C96" s="18"/>
      <c r="D96" s="15"/>
      <c r="E96" s="15"/>
      <c r="F96" s="15"/>
      <c r="G96" s="16" t="str">
        <f aca="false">IF(F96="","",IFERROR(INDEX(Lists!$M$2:$M$13,MATCH(F96,Lists!$L$2:$L$13,0)),"Unknown code"))</f>
        <v/>
      </c>
      <c r="H96" s="15"/>
      <c r="I96" s="20"/>
      <c r="J96" s="20"/>
      <c r="K96" s="15"/>
      <c r="L96" s="15"/>
    </row>
    <row r="97" customFormat="false" ht="15" hidden="false" customHeight="false" outlineLevel="0" collapsed="false">
      <c r="A97" s="15"/>
      <c r="B97" s="14"/>
      <c r="C97" s="18"/>
      <c r="D97" s="15"/>
      <c r="E97" s="15"/>
      <c r="F97" s="15"/>
      <c r="G97" s="16" t="str">
        <f aca="false">IF(F97="","",IFERROR(INDEX(Lists!$M$2:$M$13,MATCH(F97,Lists!$L$2:$L$13,0)),"Unknown code"))</f>
        <v/>
      </c>
      <c r="H97" s="15"/>
      <c r="I97" s="20"/>
      <c r="J97" s="20"/>
      <c r="K97" s="15"/>
      <c r="L97" s="15"/>
    </row>
    <row r="98" customFormat="false" ht="15" hidden="false" customHeight="false" outlineLevel="0" collapsed="false">
      <c r="A98" s="15"/>
      <c r="B98" s="14"/>
      <c r="C98" s="18"/>
      <c r="D98" s="15"/>
      <c r="E98" s="15"/>
      <c r="F98" s="15"/>
      <c r="G98" s="16" t="str">
        <f aca="false">IF(F98="","",IFERROR(INDEX(Lists!$M$2:$M$13,MATCH(F98,Lists!$L$2:$L$13,0)),"Unknown code"))</f>
        <v/>
      </c>
      <c r="H98" s="15"/>
      <c r="I98" s="20"/>
      <c r="J98" s="20"/>
      <c r="K98" s="15"/>
      <c r="L98" s="15"/>
    </row>
    <row r="99" customFormat="false" ht="15" hidden="false" customHeight="false" outlineLevel="0" collapsed="false">
      <c r="A99" s="15"/>
      <c r="B99" s="14"/>
      <c r="C99" s="18"/>
      <c r="D99" s="15"/>
      <c r="E99" s="15"/>
      <c r="F99" s="15"/>
      <c r="G99" s="16" t="str">
        <f aca="false">IF(F99="","",IFERROR(INDEX(Lists!$M$2:$M$13,MATCH(F99,Lists!$L$2:$L$13,0)),"Unknown code"))</f>
        <v/>
      </c>
      <c r="H99" s="15"/>
      <c r="I99" s="20"/>
      <c r="J99" s="20"/>
      <c r="K99" s="15"/>
      <c r="L99" s="15"/>
    </row>
    <row r="100" customFormat="false" ht="15" hidden="false" customHeight="false" outlineLevel="0" collapsed="false">
      <c r="A100" s="15"/>
      <c r="B100" s="14"/>
      <c r="C100" s="18"/>
      <c r="D100" s="15"/>
      <c r="E100" s="15"/>
      <c r="F100" s="15"/>
      <c r="G100" s="16" t="str">
        <f aca="false">IF(F100="","",IFERROR(INDEX(Lists!$M$2:$M$13,MATCH(F100,Lists!$L$2:$L$13,0)),"Unknown code"))</f>
        <v/>
      </c>
      <c r="H100" s="15"/>
      <c r="I100" s="20"/>
      <c r="J100" s="20"/>
      <c r="K100" s="15"/>
      <c r="L100" s="15"/>
    </row>
    <row r="101" customFormat="false" ht="15" hidden="false" customHeight="false" outlineLevel="0" collapsed="false">
      <c r="A101" s="15"/>
      <c r="B101" s="14"/>
      <c r="C101" s="18"/>
      <c r="D101" s="15"/>
      <c r="E101" s="15"/>
      <c r="F101" s="15"/>
      <c r="G101" s="16" t="str">
        <f aca="false">IF(F101="","",IFERROR(INDEX(Lists!$M$2:$M$13,MATCH(F101,Lists!$L$2:$L$13,0)),"Unknown code"))</f>
        <v/>
      </c>
      <c r="H101" s="15"/>
      <c r="I101" s="20"/>
      <c r="J101" s="20"/>
      <c r="K101" s="15"/>
      <c r="L101" s="15"/>
    </row>
    <row r="102" customFormat="false" ht="15" hidden="false" customHeight="false" outlineLevel="0" collapsed="false">
      <c r="A102" s="15"/>
      <c r="B102" s="14"/>
      <c r="C102" s="18"/>
      <c r="D102" s="15"/>
      <c r="E102" s="15"/>
      <c r="F102" s="15"/>
      <c r="G102" s="16" t="str">
        <f aca="false">IF(F102="","",IFERROR(INDEX(Lists!$M$2:$M$13,MATCH(F102,Lists!$L$2:$L$13,0)),"Unknown code"))</f>
        <v/>
      </c>
      <c r="H102" s="15"/>
      <c r="I102" s="20"/>
      <c r="J102" s="20"/>
      <c r="K102" s="15"/>
      <c r="L102" s="15"/>
    </row>
    <row r="103" customFormat="false" ht="15" hidden="false" customHeight="false" outlineLevel="0" collapsed="false">
      <c r="A103" s="15"/>
      <c r="B103" s="14"/>
      <c r="C103" s="18"/>
      <c r="D103" s="15"/>
      <c r="E103" s="15"/>
      <c r="F103" s="15"/>
      <c r="G103" s="16" t="str">
        <f aca="false">IF(F103="","",IFERROR(INDEX(Lists!$M$2:$M$13,MATCH(F103,Lists!$L$2:$L$13,0)),"Unknown code"))</f>
        <v/>
      </c>
      <c r="H103" s="15"/>
      <c r="I103" s="20"/>
      <c r="J103" s="20"/>
      <c r="K103" s="15"/>
      <c r="L103" s="15"/>
    </row>
    <row r="104" customFormat="false" ht="15" hidden="false" customHeight="false" outlineLevel="0" collapsed="false">
      <c r="A104" s="15"/>
      <c r="B104" s="14"/>
      <c r="C104" s="18"/>
      <c r="D104" s="15"/>
      <c r="E104" s="15"/>
      <c r="F104" s="15"/>
      <c r="G104" s="16" t="str">
        <f aca="false">IF(F104="","",IFERROR(INDEX(Lists!$M$2:$M$13,MATCH(F104,Lists!$L$2:$L$13,0)),"Unknown code"))</f>
        <v/>
      </c>
      <c r="H104" s="15"/>
      <c r="I104" s="20"/>
      <c r="J104" s="20"/>
      <c r="K104" s="15"/>
      <c r="L104" s="15"/>
    </row>
    <row r="105" customFormat="false" ht="15" hidden="false" customHeight="false" outlineLevel="0" collapsed="false">
      <c r="A105" s="15"/>
      <c r="B105" s="14"/>
      <c r="C105" s="18"/>
      <c r="D105" s="15"/>
      <c r="E105" s="15"/>
      <c r="F105" s="15"/>
      <c r="G105" s="16" t="str">
        <f aca="false">IF(F105="","",IFERROR(INDEX(Lists!$M$2:$M$13,MATCH(F105,Lists!$L$2:$L$13,0)),"Unknown code"))</f>
        <v/>
      </c>
      <c r="H105" s="15"/>
      <c r="I105" s="20"/>
      <c r="J105" s="20"/>
      <c r="K105" s="15"/>
      <c r="L105" s="15"/>
    </row>
    <row r="106" customFormat="false" ht="15" hidden="false" customHeight="false" outlineLevel="0" collapsed="false">
      <c r="A106" s="15"/>
      <c r="B106" s="14"/>
      <c r="C106" s="18"/>
      <c r="D106" s="15"/>
      <c r="E106" s="15"/>
      <c r="F106" s="15"/>
      <c r="G106" s="16" t="str">
        <f aca="false">IF(F106="","",IFERROR(INDEX(Lists!$M$2:$M$13,MATCH(F106,Lists!$L$2:$L$13,0)),"Unknown code"))</f>
        <v/>
      </c>
      <c r="H106" s="15"/>
      <c r="I106" s="20"/>
      <c r="J106" s="20"/>
      <c r="K106" s="15"/>
      <c r="L106" s="15"/>
    </row>
    <row r="107" customFormat="false" ht="15" hidden="false" customHeight="false" outlineLevel="0" collapsed="false">
      <c r="A107" s="15"/>
      <c r="B107" s="14"/>
      <c r="C107" s="18"/>
      <c r="D107" s="15"/>
      <c r="E107" s="15"/>
      <c r="F107" s="15"/>
      <c r="G107" s="16" t="str">
        <f aca="false">IF(F107="","",IFERROR(INDEX(Lists!$M$2:$M$13,MATCH(F107,Lists!$L$2:$L$13,0)),"Unknown code"))</f>
        <v/>
      </c>
      <c r="H107" s="15"/>
      <c r="I107" s="20"/>
      <c r="J107" s="20"/>
      <c r="K107" s="15"/>
      <c r="L107" s="15"/>
    </row>
    <row r="108" customFormat="false" ht="15" hidden="false" customHeight="false" outlineLevel="0" collapsed="false">
      <c r="A108" s="15"/>
      <c r="B108" s="14"/>
      <c r="C108" s="18"/>
      <c r="D108" s="15"/>
      <c r="E108" s="15"/>
      <c r="F108" s="15"/>
      <c r="G108" s="16" t="str">
        <f aca="false">IF(F108="","",IFERROR(INDEX(Lists!$M$2:$M$13,MATCH(F108,Lists!$L$2:$L$13,0)),"Unknown code"))</f>
        <v/>
      </c>
      <c r="H108" s="15"/>
      <c r="I108" s="20"/>
      <c r="J108" s="20"/>
      <c r="K108" s="15"/>
      <c r="L108" s="15"/>
    </row>
    <row r="109" customFormat="false" ht="15" hidden="false" customHeight="false" outlineLevel="0" collapsed="false">
      <c r="A109" s="15"/>
      <c r="B109" s="14"/>
      <c r="C109" s="18"/>
      <c r="D109" s="15"/>
      <c r="E109" s="15"/>
      <c r="F109" s="15"/>
      <c r="G109" s="16" t="str">
        <f aca="false">IF(F109="","",IFERROR(INDEX(Lists!$M$2:$M$13,MATCH(F109,Lists!$L$2:$L$13,0)),"Unknown code"))</f>
        <v/>
      </c>
      <c r="H109" s="15"/>
      <c r="I109" s="20"/>
      <c r="J109" s="20"/>
      <c r="K109" s="15"/>
      <c r="L109" s="15"/>
    </row>
    <row r="110" customFormat="false" ht="15" hidden="false" customHeight="false" outlineLevel="0" collapsed="false">
      <c r="A110" s="15"/>
      <c r="B110" s="14"/>
      <c r="C110" s="18"/>
      <c r="D110" s="15"/>
      <c r="E110" s="15"/>
      <c r="F110" s="15"/>
      <c r="G110" s="16" t="str">
        <f aca="false">IF(F110="","",IFERROR(INDEX(Lists!$M$2:$M$13,MATCH(F110,Lists!$L$2:$L$13,0)),"Unknown code"))</f>
        <v/>
      </c>
      <c r="H110" s="15"/>
      <c r="I110" s="20"/>
      <c r="J110" s="20"/>
      <c r="K110" s="15"/>
      <c r="L110" s="15"/>
    </row>
    <row r="111" customFormat="false" ht="15" hidden="false" customHeight="false" outlineLevel="0" collapsed="false">
      <c r="A111" s="15"/>
      <c r="B111" s="14"/>
      <c r="C111" s="18"/>
      <c r="D111" s="15"/>
      <c r="E111" s="15"/>
      <c r="F111" s="15"/>
      <c r="G111" s="16" t="str">
        <f aca="false">IF(F111="","",IFERROR(INDEX(Lists!$M$2:$M$13,MATCH(F111,Lists!$L$2:$L$13,0)),"Unknown code"))</f>
        <v/>
      </c>
      <c r="H111" s="15"/>
      <c r="I111" s="20"/>
      <c r="J111" s="20"/>
      <c r="K111" s="15"/>
      <c r="L111" s="15"/>
    </row>
    <row r="112" customFormat="false" ht="15" hidden="false" customHeight="false" outlineLevel="0" collapsed="false">
      <c r="A112" s="15"/>
      <c r="B112" s="14"/>
      <c r="C112" s="18"/>
      <c r="D112" s="15"/>
      <c r="E112" s="15"/>
      <c r="F112" s="15"/>
      <c r="G112" s="16" t="str">
        <f aca="false">IF(F112="","",IFERROR(INDEX(Lists!$M$2:$M$13,MATCH(F112,Lists!$L$2:$L$13,0)),"Unknown code"))</f>
        <v/>
      </c>
      <c r="H112" s="15"/>
      <c r="I112" s="20"/>
      <c r="J112" s="20"/>
      <c r="K112" s="15"/>
      <c r="L112" s="15"/>
    </row>
    <row r="113" customFormat="false" ht="15" hidden="false" customHeight="false" outlineLevel="0" collapsed="false">
      <c r="A113" s="15"/>
      <c r="B113" s="14"/>
      <c r="C113" s="18"/>
      <c r="D113" s="15"/>
      <c r="E113" s="15"/>
      <c r="F113" s="15"/>
      <c r="G113" s="16" t="str">
        <f aca="false">IF(F113="","",IFERROR(INDEX(Lists!$M$2:$M$13,MATCH(F113,Lists!$L$2:$L$13,0)),"Unknown code"))</f>
        <v/>
      </c>
      <c r="H113" s="15"/>
      <c r="I113" s="20"/>
      <c r="J113" s="20"/>
      <c r="K113" s="15"/>
      <c r="L113" s="15"/>
    </row>
    <row r="114" customFormat="false" ht="15" hidden="false" customHeight="false" outlineLevel="0" collapsed="false">
      <c r="A114" s="15"/>
      <c r="B114" s="14"/>
      <c r="C114" s="18"/>
      <c r="D114" s="15"/>
      <c r="E114" s="15"/>
      <c r="F114" s="15"/>
      <c r="G114" s="16" t="str">
        <f aca="false">IF(F114="","",IFERROR(INDEX(Lists!$M$2:$M$13,MATCH(F114,Lists!$L$2:$L$13,0)),"Unknown code"))</f>
        <v/>
      </c>
      <c r="H114" s="15"/>
      <c r="I114" s="20"/>
      <c r="J114" s="20"/>
      <c r="K114" s="15"/>
      <c r="L114" s="15"/>
    </row>
    <row r="115" customFormat="false" ht="15" hidden="false" customHeight="false" outlineLevel="0" collapsed="false">
      <c r="A115" s="15"/>
      <c r="B115" s="14"/>
      <c r="C115" s="18"/>
      <c r="D115" s="15"/>
      <c r="E115" s="15"/>
      <c r="F115" s="15"/>
      <c r="G115" s="16" t="str">
        <f aca="false">IF(F115="","",IFERROR(INDEX(Lists!$M$2:$M$13,MATCH(F115,Lists!$L$2:$L$13,0)),"Unknown code"))</f>
        <v/>
      </c>
      <c r="H115" s="15"/>
      <c r="I115" s="20"/>
      <c r="J115" s="20"/>
      <c r="K115" s="15"/>
      <c r="L115" s="15"/>
    </row>
    <row r="116" customFormat="false" ht="15" hidden="false" customHeight="false" outlineLevel="0" collapsed="false">
      <c r="A116" s="15"/>
      <c r="B116" s="14"/>
      <c r="C116" s="18"/>
      <c r="D116" s="15"/>
      <c r="E116" s="15"/>
      <c r="F116" s="15"/>
      <c r="G116" s="16" t="str">
        <f aca="false">IF(F116="","",IFERROR(INDEX(Lists!$M$2:$M$13,MATCH(F116,Lists!$L$2:$L$13,0)),"Unknown code"))</f>
        <v/>
      </c>
      <c r="H116" s="15"/>
      <c r="I116" s="20"/>
      <c r="J116" s="20"/>
      <c r="K116" s="15"/>
      <c r="L116" s="15"/>
    </row>
    <row r="117" customFormat="false" ht="15" hidden="false" customHeight="false" outlineLevel="0" collapsed="false">
      <c r="A117" s="15"/>
      <c r="B117" s="14"/>
      <c r="C117" s="18"/>
      <c r="D117" s="15"/>
      <c r="E117" s="15"/>
      <c r="F117" s="15"/>
      <c r="G117" s="16" t="str">
        <f aca="false">IF(F117="","",IFERROR(INDEX(Lists!$M$2:$M$13,MATCH(F117,Lists!$L$2:$L$13,0)),"Unknown code"))</f>
        <v/>
      </c>
      <c r="H117" s="15"/>
      <c r="I117" s="20"/>
      <c r="J117" s="20"/>
      <c r="K117" s="15"/>
      <c r="L117" s="15"/>
    </row>
    <row r="118" customFormat="false" ht="15" hidden="false" customHeight="false" outlineLevel="0" collapsed="false">
      <c r="A118" s="15"/>
      <c r="B118" s="14"/>
      <c r="C118" s="18"/>
      <c r="D118" s="15"/>
      <c r="E118" s="15"/>
      <c r="F118" s="15"/>
      <c r="G118" s="16" t="str">
        <f aca="false">IF(F118="","",IFERROR(INDEX(Lists!$M$2:$M$13,MATCH(F118,Lists!$L$2:$L$13,0)),"Unknown code"))</f>
        <v/>
      </c>
      <c r="H118" s="15"/>
      <c r="I118" s="20"/>
      <c r="J118" s="20"/>
      <c r="K118" s="15"/>
      <c r="L118" s="15"/>
    </row>
    <row r="119" customFormat="false" ht="15" hidden="false" customHeight="false" outlineLevel="0" collapsed="false">
      <c r="A119" s="15"/>
      <c r="B119" s="14"/>
      <c r="C119" s="18"/>
      <c r="D119" s="15"/>
      <c r="E119" s="15"/>
      <c r="F119" s="15"/>
      <c r="G119" s="16" t="str">
        <f aca="false">IF(F119="","",IFERROR(INDEX(Lists!$M$2:$M$13,MATCH(F119,Lists!$L$2:$L$13,0)),"Unknown code"))</f>
        <v/>
      </c>
      <c r="H119" s="15"/>
      <c r="I119" s="20"/>
      <c r="J119" s="20"/>
      <c r="K119" s="15"/>
      <c r="L119" s="15"/>
    </row>
    <row r="120" customFormat="false" ht="15" hidden="false" customHeight="false" outlineLevel="0" collapsed="false">
      <c r="A120" s="15"/>
      <c r="B120" s="14"/>
      <c r="C120" s="18"/>
      <c r="D120" s="15"/>
      <c r="E120" s="15"/>
      <c r="F120" s="15"/>
      <c r="G120" s="16" t="str">
        <f aca="false">IF(F120="","",IFERROR(INDEX(Lists!$M$2:$M$13,MATCH(F120,Lists!$L$2:$L$13,0)),"Unknown code"))</f>
        <v/>
      </c>
      <c r="H120" s="15"/>
      <c r="I120" s="20"/>
      <c r="J120" s="20"/>
      <c r="K120" s="15"/>
      <c r="L120" s="15"/>
    </row>
    <row r="121" customFormat="false" ht="15" hidden="false" customHeight="false" outlineLevel="0" collapsed="false">
      <c r="A121" s="15"/>
      <c r="B121" s="14"/>
      <c r="C121" s="18"/>
      <c r="D121" s="15"/>
      <c r="E121" s="15"/>
      <c r="F121" s="15"/>
      <c r="G121" s="16" t="str">
        <f aca="false">IF(F121="","",IFERROR(INDEX(Lists!$M$2:$M$13,MATCH(F121,Lists!$L$2:$L$13,0)),"Unknown code"))</f>
        <v/>
      </c>
      <c r="H121" s="15"/>
      <c r="I121" s="20"/>
      <c r="J121" s="20"/>
      <c r="K121" s="15"/>
      <c r="L121" s="15"/>
    </row>
    <row r="122" customFormat="false" ht="15" hidden="false" customHeight="false" outlineLevel="0" collapsed="false">
      <c r="A122" s="15"/>
      <c r="B122" s="14"/>
      <c r="C122" s="18"/>
      <c r="D122" s="15"/>
      <c r="E122" s="15"/>
      <c r="F122" s="15"/>
      <c r="G122" s="16" t="str">
        <f aca="false">IF(F122="","",IFERROR(INDEX(Lists!$M$2:$M$13,MATCH(F122,Lists!$L$2:$L$13,0)),"Unknown code"))</f>
        <v/>
      </c>
      <c r="H122" s="15"/>
      <c r="I122" s="20"/>
      <c r="J122" s="20"/>
      <c r="K122" s="15"/>
      <c r="L122" s="15"/>
    </row>
    <row r="123" customFormat="false" ht="15" hidden="false" customHeight="false" outlineLevel="0" collapsed="false">
      <c r="A123" s="15"/>
      <c r="B123" s="14"/>
      <c r="C123" s="18"/>
      <c r="D123" s="15"/>
      <c r="E123" s="15"/>
      <c r="F123" s="15"/>
      <c r="G123" s="16" t="str">
        <f aca="false">IF(F123="","",IFERROR(INDEX(Lists!$M$2:$M$13,MATCH(F123,Lists!$L$2:$L$13,0)),"Unknown code"))</f>
        <v/>
      </c>
      <c r="H123" s="15"/>
      <c r="I123" s="20"/>
      <c r="J123" s="20"/>
      <c r="K123" s="15"/>
      <c r="L123" s="15"/>
    </row>
    <row r="124" customFormat="false" ht="15" hidden="false" customHeight="false" outlineLevel="0" collapsed="false">
      <c r="A124" s="15"/>
      <c r="B124" s="14"/>
      <c r="C124" s="18"/>
      <c r="D124" s="15"/>
      <c r="E124" s="15"/>
      <c r="F124" s="15"/>
      <c r="G124" s="16" t="str">
        <f aca="false">IF(F124="","",IFERROR(INDEX(Lists!$M$2:$M$13,MATCH(F124,Lists!$L$2:$L$13,0)),"Unknown code"))</f>
        <v/>
      </c>
      <c r="H124" s="15"/>
      <c r="I124" s="20"/>
      <c r="J124" s="20"/>
      <c r="K124" s="15"/>
      <c r="L124" s="15"/>
    </row>
    <row r="125" customFormat="false" ht="15" hidden="false" customHeight="false" outlineLevel="0" collapsed="false">
      <c r="A125" s="15"/>
      <c r="B125" s="14"/>
      <c r="C125" s="18"/>
      <c r="D125" s="15"/>
      <c r="E125" s="15"/>
      <c r="F125" s="15"/>
      <c r="G125" s="16" t="str">
        <f aca="false">IF(F125="","",IFERROR(INDEX(Lists!$M$2:$M$13,MATCH(F125,Lists!$L$2:$L$13,0)),"Unknown code"))</f>
        <v/>
      </c>
      <c r="H125" s="15"/>
      <c r="I125" s="20"/>
      <c r="J125" s="20"/>
      <c r="K125" s="15"/>
      <c r="L125" s="15"/>
    </row>
    <row r="126" customFormat="false" ht="15" hidden="false" customHeight="false" outlineLevel="0" collapsed="false">
      <c r="A126" s="15"/>
      <c r="B126" s="14"/>
      <c r="C126" s="18"/>
      <c r="D126" s="15"/>
      <c r="E126" s="15"/>
      <c r="F126" s="15"/>
      <c r="G126" s="16" t="str">
        <f aca="false">IF(F126="","",IFERROR(INDEX(Lists!$M$2:$M$13,MATCH(F126,Lists!$L$2:$L$13,0)),"Unknown code"))</f>
        <v/>
      </c>
      <c r="H126" s="15"/>
      <c r="I126" s="20"/>
      <c r="J126" s="20"/>
      <c r="K126" s="15"/>
      <c r="L126" s="15"/>
    </row>
    <row r="127" customFormat="false" ht="15" hidden="false" customHeight="false" outlineLevel="0" collapsed="false">
      <c r="A127" s="15"/>
      <c r="B127" s="14"/>
      <c r="C127" s="18"/>
      <c r="D127" s="15"/>
      <c r="E127" s="15"/>
      <c r="F127" s="15"/>
      <c r="G127" s="16" t="str">
        <f aca="false">IF(F127="","",IFERROR(INDEX(Lists!$M$2:$M$13,MATCH(F127,Lists!$L$2:$L$13,0)),"Unknown code"))</f>
        <v/>
      </c>
      <c r="H127" s="15"/>
      <c r="I127" s="20"/>
      <c r="J127" s="20"/>
      <c r="K127" s="15"/>
      <c r="L127" s="15"/>
    </row>
    <row r="128" customFormat="false" ht="15" hidden="false" customHeight="false" outlineLevel="0" collapsed="false">
      <c r="A128" s="15"/>
      <c r="B128" s="14"/>
      <c r="C128" s="18"/>
      <c r="D128" s="15"/>
      <c r="E128" s="15"/>
      <c r="F128" s="15"/>
      <c r="G128" s="16" t="str">
        <f aca="false">IF(F128="","",IFERROR(INDEX(Lists!$M$2:$M$13,MATCH(F128,Lists!$L$2:$L$13,0)),"Unknown code"))</f>
        <v/>
      </c>
      <c r="H128" s="15"/>
      <c r="I128" s="20"/>
      <c r="J128" s="20"/>
      <c r="K128" s="15"/>
      <c r="L128" s="15"/>
    </row>
    <row r="129" customFormat="false" ht="15" hidden="false" customHeight="false" outlineLevel="0" collapsed="false">
      <c r="A129" s="15"/>
      <c r="B129" s="14"/>
      <c r="C129" s="18"/>
      <c r="D129" s="15"/>
      <c r="E129" s="15"/>
      <c r="F129" s="15"/>
      <c r="G129" s="16" t="str">
        <f aca="false">IF(F129="","",IFERROR(INDEX(Lists!$M$2:$M$13,MATCH(F129,Lists!$L$2:$L$13,0)),"Unknown code"))</f>
        <v/>
      </c>
      <c r="H129" s="15"/>
      <c r="I129" s="20"/>
      <c r="J129" s="20"/>
      <c r="K129" s="15"/>
      <c r="L129" s="15"/>
    </row>
    <row r="130" customFormat="false" ht="15" hidden="false" customHeight="false" outlineLevel="0" collapsed="false">
      <c r="A130" s="15"/>
      <c r="B130" s="14"/>
      <c r="C130" s="18"/>
      <c r="D130" s="15"/>
      <c r="E130" s="15"/>
      <c r="F130" s="15"/>
      <c r="G130" s="16" t="str">
        <f aca="false">IF(F130="","",IFERROR(INDEX(Lists!$M$2:$M$13,MATCH(F130,Lists!$L$2:$L$13,0)),"Unknown code"))</f>
        <v/>
      </c>
      <c r="H130" s="15"/>
      <c r="I130" s="20"/>
      <c r="J130" s="20"/>
      <c r="K130" s="15"/>
      <c r="L130" s="15"/>
    </row>
    <row r="131" customFormat="false" ht="15" hidden="false" customHeight="false" outlineLevel="0" collapsed="false">
      <c r="A131" s="15"/>
      <c r="B131" s="14"/>
      <c r="C131" s="18"/>
      <c r="D131" s="15"/>
      <c r="E131" s="15"/>
      <c r="F131" s="15"/>
      <c r="G131" s="16" t="str">
        <f aca="false">IF(F131="","",IFERROR(INDEX(Lists!$M$2:$M$13,MATCH(F131,Lists!$L$2:$L$13,0)),"Unknown code"))</f>
        <v/>
      </c>
      <c r="H131" s="15"/>
      <c r="I131" s="20"/>
      <c r="J131" s="20"/>
      <c r="K131" s="15"/>
      <c r="L131" s="15"/>
    </row>
    <row r="132" customFormat="false" ht="15" hidden="false" customHeight="false" outlineLevel="0" collapsed="false">
      <c r="A132" s="15"/>
      <c r="B132" s="14"/>
      <c r="C132" s="18"/>
      <c r="D132" s="15"/>
      <c r="E132" s="15"/>
      <c r="F132" s="15"/>
      <c r="G132" s="16" t="str">
        <f aca="false">IF(F132="","",IFERROR(INDEX(Lists!$M$2:$M$13,MATCH(F132,Lists!$L$2:$L$13,0)),"Unknown code"))</f>
        <v/>
      </c>
      <c r="H132" s="15"/>
      <c r="I132" s="20"/>
      <c r="J132" s="20"/>
      <c r="K132" s="15"/>
      <c r="L132" s="15"/>
    </row>
    <row r="133" customFormat="false" ht="15" hidden="false" customHeight="false" outlineLevel="0" collapsed="false">
      <c r="A133" s="15"/>
      <c r="B133" s="14"/>
      <c r="C133" s="18"/>
      <c r="D133" s="15"/>
      <c r="E133" s="15"/>
      <c r="F133" s="15"/>
      <c r="G133" s="16" t="str">
        <f aca="false">IF(F133="","",IFERROR(INDEX(Lists!$M$2:$M$13,MATCH(F133,Lists!$L$2:$L$13,0)),"Unknown code"))</f>
        <v/>
      </c>
      <c r="H133" s="15"/>
      <c r="I133" s="20"/>
      <c r="J133" s="20"/>
      <c r="K133" s="15"/>
      <c r="L133" s="15"/>
    </row>
    <row r="134" customFormat="false" ht="15" hidden="false" customHeight="false" outlineLevel="0" collapsed="false">
      <c r="A134" s="15"/>
      <c r="B134" s="14"/>
      <c r="C134" s="18"/>
      <c r="D134" s="15"/>
      <c r="E134" s="15"/>
      <c r="F134" s="15"/>
      <c r="G134" s="16" t="str">
        <f aca="false">IF(F134="","",IFERROR(INDEX(Lists!$M$2:$M$13,MATCH(F134,Lists!$L$2:$L$13,0)),"Unknown code"))</f>
        <v/>
      </c>
      <c r="H134" s="15"/>
      <c r="I134" s="20"/>
      <c r="J134" s="20"/>
      <c r="K134" s="15"/>
      <c r="L134" s="15"/>
    </row>
    <row r="135" customFormat="false" ht="15" hidden="false" customHeight="false" outlineLevel="0" collapsed="false">
      <c r="A135" s="15"/>
      <c r="B135" s="14"/>
      <c r="C135" s="18"/>
      <c r="D135" s="15"/>
      <c r="E135" s="15"/>
      <c r="F135" s="15"/>
      <c r="G135" s="16" t="str">
        <f aca="false">IF(F135="","",IFERROR(INDEX(Lists!$M$2:$M$13,MATCH(F135,Lists!$L$2:$L$13,0)),"Unknown code"))</f>
        <v/>
      </c>
      <c r="H135" s="15"/>
      <c r="I135" s="20"/>
      <c r="J135" s="20"/>
      <c r="K135" s="15"/>
      <c r="L135" s="15"/>
    </row>
    <row r="136" customFormat="false" ht="15" hidden="false" customHeight="false" outlineLevel="0" collapsed="false">
      <c r="A136" s="15"/>
      <c r="B136" s="14"/>
      <c r="C136" s="18"/>
      <c r="D136" s="15"/>
      <c r="E136" s="15"/>
      <c r="F136" s="15"/>
      <c r="G136" s="16" t="str">
        <f aca="false">IF(F136="","",IFERROR(INDEX(Lists!$M$2:$M$13,MATCH(F136,Lists!$L$2:$L$13,0)),"Unknown code"))</f>
        <v/>
      </c>
      <c r="H136" s="15"/>
      <c r="I136" s="20"/>
      <c r="J136" s="20"/>
      <c r="K136" s="15"/>
      <c r="L136" s="15"/>
    </row>
    <row r="137" customFormat="false" ht="15" hidden="false" customHeight="false" outlineLevel="0" collapsed="false">
      <c r="A137" s="15"/>
      <c r="B137" s="14"/>
      <c r="C137" s="18"/>
      <c r="D137" s="15"/>
      <c r="E137" s="15"/>
      <c r="F137" s="15"/>
      <c r="G137" s="16" t="str">
        <f aca="false">IF(F137="","",IFERROR(INDEX(Lists!$M$2:$M$13,MATCH(F137,Lists!$L$2:$L$13,0)),"Unknown code"))</f>
        <v/>
      </c>
      <c r="H137" s="15"/>
      <c r="I137" s="20"/>
      <c r="J137" s="20"/>
      <c r="K137" s="15"/>
      <c r="L137" s="15"/>
    </row>
    <row r="138" customFormat="false" ht="15" hidden="false" customHeight="false" outlineLevel="0" collapsed="false">
      <c r="A138" s="15"/>
      <c r="B138" s="14"/>
      <c r="C138" s="18"/>
      <c r="D138" s="15"/>
      <c r="E138" s="15"/>
      <c r="F138" s="15"/>
      <c r="G138" s="16" t="str">
        <f aca="false">IF(F138="","",IFERROR(INDEX(Lists!$M$2:$M$13,MATCH(F138,Lists!$L$2:$L$13,0)),"Unknown code"))</f>
        <v/>
      </c>
      <c r="H138" s="15"/>
      <c r="I138" s="20"/>
      <c r="J138" s="20"/>
      <c r="K138" s="15"/>
      <c r="L138" s="15"/>
    </row>
    <row r="139" customFormat="false" ht="15" hidden="false" customHeight="false" outlineLevel="0" collapsed="false">
      <c r="A139" s="15"/>
      <c r="B139" s="14"/>
      <c r="C139" s="18"/>
      <c r="D139" s="15"/>
      <c r="E139" s="15"/>
      <c r="F139" s="15"/>
      <c r="G139" s="16" t="str">
        <f aca="false">IF(F139="","",IFERROR(INDEX(Lists!$M$2:$M$13,MATCH(F139,Lists!$L$2:$L$13,0)),"Unknown code"))</f>
        <v/>
      </c>
      <c r="H139" s="15"/>
      <c r="I139" s="20"/>
      <c r="J139" s="20"/>
      <c r="K139" s="15"/>
      <c r="L139" s="15"/>
    </row>
    <row r="140" customFormat="false" ht="15" hidden="false" customHeight="false" outlineLevel="0" collapsed="false">
      <c r="A140" s="15"/>
      <c r="B140" s="14"/>
      <c r="C140" s="18"/>
      <c r="D140" s="15"/>
      <c r="E140" s="15"/>
      <c r="F140" s="15"/>
      <c r="G140" s="16" t="str">
        <f aca="false">IF(F140="","",IFERROR(INDEX(Lists!$M$2:$M$13,MATCH(F140,Lists!$L$2:$L$13,0)),"Unknown code"))</f>
        <v/>
      </c>
      <c r="H140" s="15"/>
      <c r="I140" s="20"/>
      <c r="J140" s="20"/>
      <c r="K140" s="15"/>
      <c r="L140" s="15"/>
    </row>
    <row r="141" customFormat="false" ht="15" hidden="false" customHeight="false" outlineLevel="0" collapsed="false">
      <c r="A141" s="15"/>
      <c r="B141" s="14"/>
      <c r="C141" s="18"/>
      <c r="D141" s="15"/>
      <c r="E141" s="15"/>
      <c r="F141" s="15"/>
      <c r="G141" s="16" t="str">
        <f aca="false">IF(F141="","",IFERROR(INDEX(Lists!$M$2:$M$13,MATCH(F141,Lists!$L$2:$L$13,0)),"Unknown code"))</f>
        <v/>
      </c>
      <c r="H141" s="15"/>
      <c r="I141" s="20"/>
      <c r="J141" s="20"/>
      <c r="K141" s="15"/>
      <c r="L141" s="15"/>
    </row>
    <row r="142" customFormat="false" ht="15" hidden="false" customHeight="false" outlineLevel="0" collapsed="false">
      <c r="A142" s="15"/>
      <c r="B142" s="14"/>
      <c r="C142" s="18"/>
      <c r="D142" s="15"/>
      <c r="E142" s="15"/>
      <c r="F142" s="15"/>
      <c r="G142" s="16" t="str">
        <f aca="false">IF(F142="","",IFERROR(INDEX(Lists!$M$2:$M$13,MATCH(F142,Lists!$L$2:$L$13,0)),"Unknown code"))</f>
        <v/>
      </c>
      <c r="H142" s="15"/>
      <c r="I142" s="20"/>
      <c r="J142" s="20"/>
      <c r="K142" s="15"/>
      <c r="L142" s="15"/>
    </row>
    <row r="143" customFormat="false" ht="15" hidden="false" customHeight="false" outlineLevel="0" collapsed="false">
      <c r="A143" s="15"/>
      <c r="B143" s="14"/>
      <c r="C143" s="18"/>
      <c r="D143" s="15"/>
      <c r="E143" s="15"/>
      <c r="F143" s="15"/>
      <c r="G143" s="16" t="str">
        <f aca="false">IF(F143="","",IFERROR(INDEX(Lists!$M$2:$M$13,MATCH(F143,Lists!$L$2:$L$13,0)),"Unknown code"))</f>
        <v/>
      </c>
      <c r="H143" s="15"/>
      <c r="I143" s="20"/>
      <c r="J143" s="20"/>
      <c r="K143" s="15"/>
      <c r="L143" s="15"/>
    </row>
    <row r="144" customFormat="false" ht="15" hidden="false" customHeight="false" outlineLevel="0" collapsed="false">
      <c r="A144" s="15"/>
      <c r="B144" s="14"/>
      <c r="C144" s="18"/>
      <c r="D144" s="15"/>
      <c r="E144" s="15"/>
      <c r="F144" s="15"/>
      <c r="G144" s="16" t="str">
        <f aca="false">IF(F144="","",IFERROR(INDEX(Lists!$M$2:$M$13,MATCH(F144,Lists!$L$2:$L$13,0)),"Unknown code"))</f>
        <v/>
      </c>
      <c r="H144" s="15"/>
      <c r="I144" s="20"/>
      <c r="J144" s="20"/>
      <c r="K144" s="15"/>
      <c r="L144" s="15"/>
    </row>
    <row r="145" customFormat="false" ht="15" hidden="false" customHeight="false" outlineLevel="0" collapsed="false">
      <c r="A145" s="15"/>
      <c r="B145" s="14"/>
      <c r="C145" s="18"/>
      <c r="D145" s="15"/>
      <c r="E145" s="15"/>
      <c r="F145" s="15"/>
      <c r="G145" s="16" t="str">
        <f aca="false">IF(F145="","",IFERROR(INDEX(Lists!$M$2:$M$13,MATCH(F145,Lists!$L$2:$L$13,0)),"Unknown code"))</f>
        <v/>
      </c>
      <c r="H145" s="15"/>
      <c r="I145" s="20"/>
      <c r="J145" s="20"/>
      <c r="K145" s="15"/>
      <c r="L145" s="15"/>
    </row>
    <row r="146" customFormat="false" ht="15" hidden="false" customHeight="false" outlineLevel="0" collapsed="false">
      <c r="A146" s="15"/>
      <c r="B146" s="14"/>
      <c r="C146" s="18"/>
      <c r="D146" s="15"/>
      <c r="E146" s="15"/>
      <c r="F146" s="15"/>
      <c r="G146" s="16" t="str">
        <f aca="false">IF(F146="","",IFERROR(INDEX(Lists!$M$2:$M$13,MATCH(F146,Lists!$L$2:$L$13,0)),"Unknown code"))</f>
        <v/>
      </c>
      <c r="H146" s="15"/>
      <c r="I146" s="20"/>
      <c r="J146" s="20"/>
      <c r="K146" s="15"/>
      <c r="L146" s="15"/>
    </row>
    <row r="147" customFormat="false" ht="15" hidden="false" customHeight="false" outlineLevel="0" collapsed="false">
      <c r="A147" s="15"/>
      <c r="B147" s="14"/>
      <c r="C147" s="18"/>
      <c r="D147" s="15"/>
      <c r="E147" s="15"/>
      <c r="F147" s="15"/>
      <c r="G147" s="16" t="str">
        <f aca="false">IF(F147="","",IFERROR(INDEX(Lists!$M$2:$M$13,MATCH(F147,Lists!$L$2:$L$13,0)),"Unknown code"))</f>
        <v/>
      </c>
      <c r="H147" s="15"/>
      <c r="I147" s="20"/>
      <c r="J147" s="20"/>
      <c r="K147" s="15"/>
      <c r="L147" s="15"/>
    </row>
    <row r="148" customFormat="false" ht="15" hidden="false" customHeight="false" outlineLevel="0" collapsed="false">
      <c r="A148" s="15"/>
      <c r="B148" s="14"/>
      <c r="C148" s="18"/>
      <c r="D148" s="15"/>
      <c r="E148" s="15"/>
      <c r="F148" s="15"/>
      <c r="G148" s="16" t="str">
        <f aca="false">IF(F148="","",IFERROR(INDEX(Lists!$M$2:$M$13,MATCH(F148,Lists!$L$2:$L$13,0)),"Unknown code"))</f>
        <v/>
      </c>
      <c r="H148" s="15"/>
      <c r="I148" s="20"/>
      <c r="J148" s="20"/>
      <c r="K148" s="15"/>
      <c r="L148" s="15"/>
    </row>
    <row r="149" customFormat="false" ht="15" hidden="false" customHeight="false" outlineLevel="0" collapsed="false">
      <c r="A149" s="15"/>
      <c r="B149" s="14"/>
      <c r="C149" s="18"/>
      <c r="D149" s="15"/>
      <c r="E149" s="15"/>
      <c r="F149" s="15"/>
      <c r="G149" s="16" t="str">
        <f aca="false">IF(F149="","",IFERROR(INDEX(Lists!$M$2:$M$13,MATCH(F149,Lists!$L$2:$L$13,0)),"Unknown code"))</f>
        <v/>
      </c>
      <c r="H149" s="15"/>
      <c r="I149" s="20"/>
      <c r="J149" s="20"/>
      <c r="K149" s="15"/>
      <c r="L149" s="15"/>
    </row>
    <row r="150" customFormat="false" ht="15" hidden="false" customHeight="false" outlineLevel="0" collapsed="false">
      <c r="A150" s="15"/>
      <c r="B150" s="14"/>
      <c r="C150" s="18"/>
      <c r="D150" s="15"/>
      <c r="E150" s="15"/>
      <c r="F150" s="15"/>
      <c r="G150" s="16" t="str">
        <f aca="false">IF(F150="","",IFERROR(INDEX(Lists!$M$2:$M$13,MATCH(F150,Lists!$L$2:$L$13,0)),"Unknown code"))</f>
        <v/>
      </c>
      <c r="H150" s="15"/>
      <c r="I150" s="20"/>
      <c r="J150" s="20"/>
      <c r="K150" s="15"/>
      <c r="L150" s="15"/>
    </row>
    <row r="151" customFormat="false" ht="15" hidden="false" customHeight="false" outlineLevel="0" collapsed="false">
      <c r="A151" s="15"/>
      <c r="B151" s="14"/>
      <c r="C151" s="18"/>
      <c r="D151" s="15"/>
      <c r="E151" s="15"/>
      <c r="F151" s="15"/>
      <c r="G151" s="16" t="str">
        <f aca="false">IF(F151="","",IFERROR(INDEX(Lists!$M$2:$M$13,MATCH(F151,Lists!$L$2:$L$13,0)),"Unknown code"))</f>
        <v/>
      </c>
      <c r="H151" s="15"/>
      <c r="I151" s="20"/>
      <c r="J151" s="20"/>
      <c r="K151" s="15"/>
      <c r="L151" s="15"/>
    </row>
    <row r="152" customFormat="false" ht="15" hidden="false" customHeight="false" outlineLevel="0" collapsed="false">
      <c r="A152" s="15"/>
      <c r="B152" s="14"/>
      <c r="C152" s="18"/>
      <c r="D152" s="15"/>
      <c r="E152" s="15"/>
      <c r="F152" s="15"/>
      <c r="G152" s="16" t="str">
        <f aca="false">IF(F152="","",IFERROR(INDEX(Lists!$M$2:$M$13,MATCH(F152,Lists!$L$2:$L$13,0)),"Unknown code"))</f>
        <v/>
      </c>
      <c r="H152" s="15"/>
      <c r="I152" s="20"/>
      <c r="J152" s="20"/>
      <c r="K152" s="15"/>
      <c r="L152" s="15"/>
    </row>
    <row r="153" customFormat="false" ht="15" hidden="false" customHeight="false" outlineLevel="0" collapsed="false">
      <c r="A153" s="15"/>
      <c r="B153" s="14"/>
      <c r="C153" s="18"/>
      <c r="D153" s="15"/>
      <c r="E153" s="15"/>
      <c r="F153" s="15"/>
      <c r="G153" s="16" t="str">
        <f aca="false">IF(F153="","",IFERROR(INDEX(Lists!$M$2:$M$13,MATCH(F153,Lists!$L$2:$L$13,0)),"Unknown code"))</f>
        <v/>
      </c>
      <c r="H153" s="15"/>
      <c r="I153" s="20"/>
      <c r="J153" s="20"/>
      <c r="K153" s="15"/>
      <c r="L153" s="15"/>
    </row>
    <row r="154" customFormat="false" ht="15" hidden="false" customHeight="false" outlineLevel="0" collapsed="false">
      <c r="A154" s="15"/>
      <c r="B154" s="14"/>
      <c r="C154" s="18"/>
      <c r="D154" s="15"/>
      <c r="E154" s="15"/>
      <c r="F154" s="15"/>
      <c r="G154" s="16" t="str">
        <f aca="false">IF(F154="","",IFERROR(INDEX(Lists!$M$2:$M$13,MATCH(F154,Lists!$L$2:$L$13,0)),"Unknown code"))</f>
        <v/>
      </c>
      <c r="H154" s="15"/>
      <c r="I154" s="20"/>
      <c r="J154" s="20"/>
      <c r="K154" s="15"/>
      <c r="L154" s="15"/>
    </row>
    <row r="155" customFormat="false" ht="15" hidden="false" customHeight="false" outlineLevel="0" collapsed="false">
      <c r="A155" s="15"/>
      <c r="B155" s="14"/>
      <c r="C155" s="18"/>
      <c r="D155" s="15"/>
      <c r="E155" s="15"/>
      <c r="F155" s="15"/>
      <c r="G155" s="16" t="str">
        <f aca="false">IF(F155="","",IFERROR(INDEX(Lists!$M$2:$M$13,MATCH(F155,Lists!$L$2:$L$13,0)),"Unknown code"))</f>
        <v/>
      </c>
      <c r="H155" s="15"/>
      <c r="I155" s="20"/>
      <c r="J155" s="20"/>
      <c r="K155" s="15"/>
      <c r="L155" s="15"/>
    </row>
    <row r="156" customFormat="false" ht="15" hidden="false" customHeight="false" outlineLevel="0" collapsed="false">
      <c r="A156" s="15"/>
      <c r="B156" s="14"/>
      <c r="C156" s="18"/>
      <c r="D156" s="15"/>
      <c r="E156" s="15"/>
      <c r="F156" s="15"/>
      <c r="G156" s="16" t="str">
        <f aca="false">IF(F156="","",IFERROR(INDEX(Lists!$M$2:$M$13,MATCH(F156,Lists!$L$2:$L$13,0)),"Unknown code"))</f>
        <v/>
      </c>
      <c r="H156" s="15"/>
      <c r="I156" s="20"/>
      <c r="J156" s="20"/>
      <c r="K156" s="15"/>
      <c r="L156" s="15"/>
    </row>
    <row r="157" customFormat="false" ht="15" hidden="false" customHeight="false" outlineLevel="0" collapsed="false">
      <c r="A157" s="15"/>
      <c r="B157" s="14"/>
      <c r="C157" s="18"/>
      <c r="D157" s="15"/>
      <c r="E157" s="15"/>
      <c r="F157" s="15"/>
      <c r="G157" s="16" t="str">
        <f aca="false">IF(F157="","",IFERROR(INDEX(Lists!$M$2:$M$13,MATCH(F157,Lists!$L$2:$L$13,0)),"Unknown code"))</f>
        <v/>
      </c>
      <c r="H157" s="15"/>
      <c r="I157" s="20"/>
      <c r="J157" s="20"/>
      <c r="K157" s="15"/>
      <c r="L157" s="15"/>
    </row>
    <row r="158" customFormat="false" ht="15" hidden="false" customHeight="false" outlineLevel="0" collapsed="false">
      <c r="A158" s="15"/>
      <c r="B158" s="14"/>
      <c r="C158" s="18"/>
      <c r="D158" s="15"/>
      <c r="E158" s="15"/>
      <c r="F158" s="15"/>
      <c r="G158" s="16" t="str">
        <f aca="false">IF(F158="","",IFERROR(INDEX(Lists!$M$2:$M$13,MATCH(F158,Lists!$L$2:$L$13,0)),"Unknown code"))</f>
        <v/>
      </c>
      <c r="H158" s="15"/>
      <c r="I158" s="20"/>
      <c r="J158" s="20"/>
      <c r="K158" s="15"/>
      <c r="L158" s="15"/>
    </row>
    <row r="159" customFormat="false" ht="15" hidden="false" customHeight="false" outlineLevel="0" collapsed="false">
      <c r="A159" s="15"/>
      <c r="B159" s="14"/>
      <c r="C159" s="18"/>
      <c r="D159" s="15"/>
      <c r="E159" s="15"/>
      <c r="F159" s="15"/>
      <c r="G159" s="16" t="str">
        <f aca="false">IF(F159="","",IFERROR(INDEX(Lists!$M$2:$M$13,MATCH(F159,Lists!$L$2:$L$13,0)),"Unknown code"))</f>
        <v/>
      </c>
      <c r="H159" s="15"/>
      <c r="I159" s="20"/>
      <c r="J159" s="20"/>
      <c r="K159" s="15"/>
      <c r="L159" s="15"/>
    </row>
    <row r="160" customFormat="false" ht="15" hidden="false" customHeight="false" outlineLevel="0" collapsed="false">
      <c r="A160" s="15"/>
      <c r="B160" s="14"/>
      <c r="C160" s="18"/>
      <c r="D160" s="15"/>
      <c r="E160" s="15"/>
      <c r="F160" s="15"/>
      <c r="G160" s="16" t="str">
        <f aca="false">IF(F160="","",IFERROR(INDEX(Lists!$M$2:$M$13,MATCH(F160,Lists!$L$2:$L$13,0)),"Unknown code"))</f>
        <v/>
      </c>
      <c r="H160" s="15"/>
      <c r="I160" s="20"/>
      <c r="J160" s="20"/>
      <c r="K160" s="15"/>
      <c r="L160" s="15"/>
    </row>
    <row r="161" customFormat="false" ht="15" hidden="false" customHeight="false" outlineLevel="0" collapsed="false">
      <c r="A161" s="15"/>
      <c r="B161" s="14"/>
      <c r="C161" s="18"/>
      <c r="D161" s="15"/>
      <c r="E161" s="15"/>
      <c r="F161" s="15"/>
      <c r="G161" s="16" t="str">
        <f aca="false">IF(F161="","",IFERROR(INDEX(Lists!$M$2:$M$13,MATCH(F161,Lists!$L$2:$L$13,0)),"Unknown code"))</f>
        <v/>
      </c>
      <c r="H161" s="15"/>
      <c r="I161" s="20"/>
      <c r="J161" s="20"/>
      <c r="K161" s="15"/>
      <c r="L161" s="15"/>
    </row>
    <row r="162" customFormat="false" ht="15" hidden="false" customHeight="false" outlineLevel="0" collapsed="false">
      <c r="A162" s="15"/>
      <c r="B162" s="14"/>
      <c r="C162" s="18"/>
      <c r="D162" s="15"/>
      <c r="E162" s="15"/>
      <c r="F162" s="15"/>
      <c r="G162" s="16" t="str">
        <f aca="false">IF(F162="","",IFERROR(INDEX(Lists!$M$2:$M$13,MATCH(F162,Lists!$L$2:$L$13,0)),"Unknown code"))</f>
        <v/>
      </c>
      <c r="H162" s="15"/>
      <c r="I162" s="20"/>
      <c r="J162" s="20"/>
      <c r="K162" s="15"/>
      <c r="L162" s="15"/>
    </row>
    <row r="163" customFormat="false" ht="15" hidden="false" customHeight="false" outlineLevel="0" collapsed="false">
      <c r="A163" s="15"/>
      <c r="B163" s="14"/>
      <c r="C163" s="18"/>
      <c r="D163" s="15"/>
      <c r="E163" s="15"/>
      <c r="F163" s="15"/>
      <c r="G163" s="16" t="str">
        <f aca="false">IF(F163="","",IFERROR(INDEX(Lists!$M$2:$M$13,MATCH(F163,Lists!$L$2:$L$13,0)),"Unknown code"))</f>
        <v/>
      </c>
      <c r="H163" s="15"/>
      <c r="I163" s="20"/>
      <c r="J163" s="20"/>
      <c r="K163" s="15"/>
      <c r="L163" s="15"/>
    </row>
    <row r="164" customFormat="false" ht="15" hidden="false" customHeight="false" outlineLevel="0" collapsed="false">
      <c r="A164" s="15"/>
      <c r="B164" s="14"/>
      <c r="C164" s="18"/>
      <c r="D164" s="15"/>
      <c r="E164" s="15"/>
      <c r="F164" s="15"/>
      <c r="G164" s="16" t="str">
        <f aca="false">IF(F164="","",IFERROR(INDEX(Lists!$M$2:$M$13,MATCH(F164,Lists!$L$2:$L$13,0)),"Unknown code"))</f>
        <v/>
      </c>
      <c r="H164" s="15"/>
      <c r="I164" s="20"/>
      <c r="J164" s="20"/>
      <c r="K164" s="15"/>
      <c r="L164" s="15"/>
    </row>
    <row r="165" customFormat="false" ht="15" hidden="false" customHeight="false" outlineLevel="0" collapsed="false">
      <c r="A165" s="15"/>
      <c r="B165" s="14"/>
      <c r="C165" s="18"/>
      <c r="D165" s="15"/>
      <c r="E165" s="15"/>
      <c r="F165" s="15"/>
      <c r="G165" s="16" t="str">
        <f aca="false">IF(F165="","",IFERROR(INDEX(Lists!$M$2:$M$13,MATCH(F165,Lists!$L$2:$L$13,0)),"Unknown code"))</f>
        <v/>
      </c>
      <c r="H165" s="15"/>
      <c r="I165" s="20"/>
      <c r="J165" s="20"/>
      <c r="K165" s="15"/>
      <c r="L165" s="15"/>
    </row>
    <row r="166" customFormat="false" ht="15" hidden="false" customHeight="false" outlineLevel="0" collapsed="false">
      <c r="A166" s="15"/>
      <c r="B166" s="14"/>
      <c r="C166" s="18"/>
      <c r="D166" s="15"/>
      <c r="E166" s="15"/>
      <c r="F166" s="15"/>
      <c r="G166" s="16" t="str">
        <f aca="false">IF(F166="","",IFERROR(INDEX(Lists!$M$2:$M$13,MATCH(F166,Lists!$L$2:$L$13,0)),"Unknown code"))</f>
        <v/>
      </c>
      <c r="H166" s="15"/>
      <c r="I166" s="20"/>
      <c r="J166" s="20"/>
      <c r="K166" s="15"/>
      <c r="L166" s="15"/>
    </row>
    <row r="167" customFormat="false" ht="15" hidden="false" customHeight="false" outlineLevel="0" collapsed="false">
      <c r="A167" s="15"/>
      <c r="B167" s="14"/>
      <c r="C167" s="18"/>
      <c r="D167" s="15"/>
      <c r="E167" s="15"/>
      <c r="F167" s="15"/>
      <c r="G167" s="16" t="str">
        <f aca="false">IF(F167="","",IFERROR(INDEX(Lists!$M$2:$M$13,MATCH(F167,Lists!$L$2:$L$13,0)),"Unknown code"))</f>
        <v/>
      </c>
      <c r="H167" s="15"/>
      <c r="I167" s="20"/>
      <c r="J167" s="20"/>
      <c r="K167" s="15"/>
      <c r="L167" s="15"/>
    </row>
    <row r="168" customFormat="false" ht="15" hidden="false" customHeight="false" outlineLevel="0" collapsed="false">
      <c r="A168" s="15"/>
      <c r="B168" s="14"/>
      <c r="C168" s="18"/>
      <c r="D168" s="15"/>
      <c r="E168" s="15"/>
      <c r="F168" s="15"/>
      <c r="G168" s="16" t="str">
        <f aca="false">IF(F168="","",IFERROR(INDEX(Lists!$M$2:$M$13,MATCH(F168,Lists!$L$2:$L$13,0)),"Unknown code"))</f>
        <v/>
      </c>
      <c r="H168" s="15"/>
      <c r="I168" s="20"/>
      <c r="J168" s="20"/>
      <c r="K168" s="15"/>
      <c r="L168" s="15"/>
    </row>
    <row r="169" customFormat="false" ht="15" hidden="false" customHeight="false" outlineLevel="0" collapsed="false">
      <c r="A169" s="15"/>
      <c r="B169" s="14"/>
      <c r="C169" s="18"/>
      <c r="D169" s="15"/>
      <c r="E169" s="15"/>
      <c r="F169" s="15"/>
      <c r="G169" s="16" t="str">
        <f aca="false">IF(F169="","",IFERROR(INDEX(Lists!$M$2:$M$13,MATCH(F169,Lists!$L$2:$L$13,0)),"Unknown code"))</f>
        <v/>
      </c>
      <c r="H169" s="15"/>
      <c r="I169" s="20"/>
      <c r="J169" s="20"/>
      <c r="K169" s="15"/>
      <c r="L169" s="15"/>
    </row>
    <row r="170" customFormat="false" ht="15" hidden="false" customHeight="false" outlineLevel="0" collapsed="false">
      <c r="A170" s="15"/>
      <c r="B170" s="14"/>
      <c r="C170" s="18"/>
      <c r="D170" s="15"/>
      <c r="E170" s="15"/>
      <c r="F170" s="15"/>
      <c r="G170" s="16" t="str">
        <f aca="false">IF(F170="","",IFERROR(INDEX(Lists!$M$2:$M$13,MATCH(F170,Lists!$L$2:$L$13,0)),"Unknown code"))</f>
        <v/>
      </c>
      <c r="H170" s="15"/>
      <c r="I170" s="20"/>
      <c r="J170" s="20"/>
      <c r="K170" s="15"/>
      <c r="L170" s="15"/>
    </row>
    <row r="171" customFormat="false" ht="15" hidden="false" customHeight="false" outlineLevel="0" collapsed="false">
      <c r="A171" s="15"/>
      <c r="B171" s="14"/>
      <c r="C171" s="18"/>
      <c r="D171" s="15"/>
      <c r="E171" s="15"/>
      <c r="F171" s="15"/>
      <c r="G171" s="16" t="str">
        <f aca="false">IF(F171="","",IFERROR(INDEX(Lists!$M$2:$M$13,MATCH(F171,Lists!$L$2:$L$13,0)),"Unknown code"))</f>
        <v/>
      </c>
      <c r="H171" s="15"/>
      <c r="I171" s="20"/>
      <c r="J171" s="20"/>
      <c r="K171" s="15"/>
      <c r="L171" s="15"/>
    </row>
    <row r="172" customFormat="false" ht="15" hidden="false" customHeight="false" outlineLevel="0" collapsed="false">
      <c r="A172" s="15"/>
      <c r="B172" s="14"/>
      <c r="C172" s="18"/>
      <c r="D172" s="15"/>
      <c r="E172" s="15"/>
      <c r="F172" s="15"/>
      <c r="G172" s="16" t="str">
        <f aca="false">IF(F172="","",IFERROR(INDEX(Lists!$M$2:$M$13,MATCH(F172,Lists!$L$2:$L$13,0)),"Unknown code"))</f>
        <v/>
      </c>
      <c r="H172" s="15"/>
      <c r="I172" s="20"/>
      <c r="J172" s="20"/>
      <c r="K172" s="15"/>
      <c r="L172" s="15"/>
    </row>
    <row r="173" customFormat="false" ht="15" hidden="false" customHeight="false" outlineLevel="0" collapsed="false">
      <c r="A173" s="15"/>
      <c r="B173" s="14"/>
      <c r="C173" s="18"/>
      <c r="D173" s="15"/>
      <c r="E173" s="15"/>
      <c r="F173" s="15"/>
      <c r="G173" s="16" t="str">
        <f aca="false">IF(F173="","",IFERROR(INDEX(Lists!$M$2:$M$13,MATCH(F173,Lists!$L$2:$L$13,0)),"Unknown code"))</f>
        <v/>
      </c>
      <c r="H173" s="15"/>
      <c r="I173" s="20"/>
      <c r="J173" s="20"/>
      <c r="K173" s="15"/>
      <c r="L173" s="15"/>
    </row>
    <row r="174" customFormat="false" ht="15" hidden="false" customHeight="false" outlineLevel="0" collapsed="false">
      <c r="A174" s="15"/>
      <c r="B174" s="14"/>
      <c r="C174" s="18"/>
      <c r="D174" s="15"/>
      <c r="E174" s="15"/>
      <c r="F174" s="15"/>
      <c r="G174" s="16" t="str">
        <f aca="false">IF(F174="","",IFERROR(INDEX(Lists!$M$2:$M$13,MATCH(F174,Lists!$L$2:$L$13,0)),"Unknown code"))</f>
        <v/>
      </c>
      <c r="H174" s="15"/>
      <c r="I174" s="20"/>
      <c r="J174" s="20"/>
      <c r="K174" s="15"/>
      <c r="L174" s="15"/>
    </row>
    <row r="175" customFormat="false" ht="15" hidden="false" customHeight="false" outlineLevel="0" collapsed="false">
      <c r="A175" s="15"/>
      <c r="B175" s="14"/>
      <c r="C175" s="18"/>
      <c r="D175" s="15"/>
      <c r="E175" s="15"/>
      <c r="F175" s="15"/>
      <c r="G175" s="16" t="str">
        <f aca="false">IF(F175="","",IFERROR(INDEX(Lists!$M$2:$M$13,MATCH(F175,Lists!$L$2:$L$13,0)),"Unknown code"))</f>
        <v/>
      </c>
      <c r="H175" s="15"/>
      <c r="I175" s="20"/>
      <c r="J175" s="20"/>
      <c r="K175" s="15"/>
      <c r="L175" s="15"/>
    </row>
    <row r="176" customFormat="false" ht="15" hidden="false" customHeight="false" outlineLevel="0" collapsed="false">
      <c r="A176" s="15"/>
      <c r="B176" s="14"/>
      <c r="C176" s="18"/>
      <c r="D176" s="15"/>
      <c r="E176" s="15"/>
      <c r="F176" s="15"/>
      <c r="G176" s="16" t="str">
        <f aca="false">IF(F176="","",IFERROR(INDEX(Lists!$M$2:$M$13,MATCH(F176,Lists!$L$2:$L$13,0)),"Unknown code"))</f>
        <v/>
      </c>
      <c r="H176" s="15"/>
      <c r="I176" s="20"/>
      <c r="J176" s="20"/>
      <c r="K176" s="15"/>
      <c r="L176" s="15"/>
    </row>
    <row r="177" customFormat="false" ht="15" hidden="false" customHeight="false" outlineLevel="0" collapsed="false">
      <c r="A177" s="15"/>
      <c r="B177" s="14"/>
      <c r="C177" s="18"/>
      <c r="D177" s="15"/>
      <c r="E177" s="15"/>
      <c r="F177" s="15"/>
      <c r="G177" s="16" t="str">
        <f aca="false">IF(F177="","",IFERROR(INDEX(Lists!$M$2:$M$13,MATCH(F177,Lists!$L$2:$L$13,0)),"Unknown code"))</f>
        <v/>
      </c>
      <c r="H177" s="15"/>
      <c r="I177" s="20"/>
      <c r="J177" s="20"/>
      <c r="K177" s="15"/>
      <c r="L177" s="15"/>
    </row>
    <row r="178" customFormat="false" ht="15" hidden="false" customHeight="false" outlineLevel="0" collapsed="false">
      <c r="A178" s="15"/>
      <c r="B178" s="14"/>
      <c r="C178" s="18"/>
      <c r="D178" s="15"/>
      <c r="E178" s="15"/>
      <c r="F178" s="15"/>
      <c r="G178" s="16" t="str">
        <f aca="false">IF(F178="","",IFERROR(INDEX(Lists!$M$2:$M$13,MATCH(F178,Lists!$L$2:$L$13,0)),"Unknown code"))</f>
        <v/>
      </c>
      <c r="H178" s="15"/>
      <c r="I178" s="20"/>
      <c r="J178" s="20"/>
      <c r="K178" s="15"/>
      <c r="L178" s="15"/>
    </row>
    <row r="179" customFormat="false" ht="15" hidden="false" customHeight="false" outlineLevel="0" collapsed="false">
      <c r="A179" s="15"/>
      <c r="B179" s="14"/>
      <c r="C179" s="18"/>
      <c r="D179" s="15"/>
      <c r="E179" s="15"/>
      <c r="F179" s="15"/>
      <c r="G179" s="16" t="str">
        <f aca="false">IF(F179="","",IFERROR(INDEX(Lists!$M$2:$M$13,MATCH(F179,Lists!$L$2:$L$13,0)),"Unknown code"))</f>
        <v/>
      </c>
      <c r="H179" s="15"/>
      <c r="I179" s="20"/>
      <c r="J179" s="20"/>
      <c r="K179" s="15"/>
      <c r="L179" s="15"/>
    </row>
    <row r="180" customFormat="false" ht="15" hidden="false" customHeight="false" outlineLevel="0" collapsed="false">
      <c r="A180" s="15"/>
      <c r="B180" s="14"/>
      <c r="C180" s="18"/>
      <c r="D180" s="15"/>
      <c r="E180" s="15"/>
      <c r="F180" s="15"/>
      <c r="G180" s="16" t="str">
        <f aca="false">IF(F180="","",IFERROR(INDEX(Lists!$M$2:$M$13,MATCH(F180,Lists!$L$2:$L$13,0)),"Unknown code"))</f>
        <v/>
      </c>
      <c r="H180" s="15"/>
      <c r="I180" s="20"/>
      <c r="J180" s="20"/>
      <c r="K180" s="15"/>
      <c r="L180" s="15"/>
    </row>
    <row r="181" customFormat="false" ht="15" hidden="false" customHeight="false" outlineLevel="0" collapsed="false">
      <c r="A181" s="15"/>
      <c r="B181" s="14"/>
      <c r="C181" s="18"/>
      <c r="D181" s="15"/>
      <c r="E181" s="15"/>
      <c r="F181" s="15"/>
      <c r="G181" s="16" t="str">
        <f aca="false">IF(F181="","",IFERROR(INDEX(Lists!$M$2:$M$13,MATCH(F181,Lists!$L$2:$L$13,0)),"Unknown code"))</f>
        <v/>
      </c>
      <c r="H181" s="15"/>
      <c r="I181" s="20"/>
      <c r="J181" s="20"/>
      <c r="K181" s="15"/>
      <c r="L181" s="15"/>
    </row>
    <row r="182" customFormat="false" ht="15" hidden="false" customHeight="false" outlineLevel="0" collapsed="false">
      <c r="A182" s="15"/>
      <c r="B182" s="14"/>
      <c r="C182" s="18"/>
      <c r="D182" s="15"/>
      <c r="E182" s="15"/>
      <c r="F182" s="15"/>
      <c r="G182" s="16" t="str">
        <f aca="false">IF(F182="","",IFERROR(INDEX(Lists!$M$2:$M$13,MATCH(F182,Lists!$L$2:$L$13,0)),"Unknown code"))</f>
        <v/>
      </c>
      <c r="H182" s="15"/>
      <c r="I182" s="20"/>
      <c r="J182" s="20"/>
      <c r="K182" s="15"/>
      <c r="L182" s="15"/>
    </row>
    <row r="183" customFormat="false" ht="15" hidden="false" customHeight="false" outlineLevel="0" collapsed="false">
      <c r="A183" s="15"/>
      <c r="B183" s="14"/>
      <c r="C183" s="18"/>
      <c r="D183" s="15"/>
      <c r="E183" s="15"/>
      <c r="F183" s="15"/>
      <c r="G183" s="16" t="str">
        <f aca="false">IF(F183="","",IFERROR(INDEX(Lists!$M$2:$M$13,MATCH(F183,Lists!$L$2:$L$13,0)),"Unknown code"))</f>
        <v/>
      </c>
      <c r="H183" s="15"/>
      <c r="I183" s="20"/>
      <c r="J183" s="20"/>
      <c r="K183" s="15"/>
      <c r="L183" s="15"/>
    </row>
    <row r="184" customFormat="false" ht="15" hidden="false" customHeight="false" outlineLevel="0" collapsed="false">
      <c r="A184" s="15"/>
      <c r="B184" s="14"/>
      <c r="C184" s="18"/>
      <c r="D184" s="15"/>
      <c r="E184" s="15"/>
      <c r="F184" s="15"/>
      <c r="G184" s="16" t="str">
        <f aca="false">IF(F184="","",IFERROR(INDEX(Lists!$M$2:$M$13,MATCH(F184,Lists!$L$2:$L$13,0)),"Unknown code"))</f>
        <v/>
      </c>
      <c r="H184" s="15"/>
      <c r="I184" s="20"/>
      <c r="J184" s="20"/>
      <c r="K184" s="15"/>
      <c r="L184" s="15"/>
    </row>
    <row r="185" customFormat="false" ht="15" hidden="false" customHeight="false" outlineLevel="0" collapsed="false">
      <c r="A185" s="15"/>
      <c r="B185" s="14"/>
      <c r="C185" s="18"/>
      <c r="D185" s="15"/>
      <c r="E185" s="15"/>
      <c r="F185" s="15"/>
      <c r="G185" s="16" t="str">
        <f aca="false">IF(F185="","",IFERROR(INDEX(Lists!$M$2:$M$13,MATCH(F185,Lists!$L$2:$L$13,0)),"Unknown code"))</f>
        <v/>
      </c>
      <c r="H185" s="15"/>
      <c r="I185" s="20"/>
      <c r="J185" s="20"/>
      <c r="K185" s="15"/>
      <c r="L185" s="15"/>
    </row>
    <row r="186" customFormat="false" ht="15" hidden="false" customHeight="false" outlineLevel="0" collapsed="false">
      <c r="A186" s="15"/>
      <c r="B186" s="14"/>
      <c r="C186" s="18"/>
      <c r="D186" s="15"/>
      <c r="E186" s="15"/>
      <c r="F186" s="15"/>
      <c r="G186" s="16" t="str">
        <f aca="false">IF(F186="","",IFERROR(INDEX(Lists!$M$2:$M$13,MATCH(F186,Lists!$L$2:$L$13,0)),"Unknown code"))</f>
        <v/>
      </c>
      <c r="H186" s="15"/>
      <c r="I186" s="20"/>
      <c r="J186" s="20"/>
      <c r="K186" s="15"/>
      <c r="L186" s="15"/>
    </row>
    <row r="187" customFormat="false" ht="15" hidden="false" customHeight="false" outlineLevel="0" collapsed="false">
      <c r="A187" s="15"/>
      <c r="B187" s="14"/>
      <c r="C187" s="18"/>
      <c r="D187" s="15"/>
      <c r="E187" s="15"/>
      <c r="F187" s="15"/>
      <c r="G187" s="16" t="str">
        <f aca="false">IF(F187="","",IFERROR(INDEX(Lists!$M$2:$M$13,MATCH(F187,Lists!$L$2:$L$13,0)),"Unknown code"))</f>
        <v/>
      </c>
      <c r="H187" s="15"/>
      <c r="I187" s="20"/>
      <c r="J187" s="20"/>
      <c r="K187" s="15"/>
      <c r="L187" s="15"/>
    </row>
    <row r="188" customFormat="false" ht="15" hidden="false" customHeight="false" outlineLevel="0" collapsed="false">
      <c r="A188" s="15"/>
      <c r="B188" s="14"/>
      <c r="C188" s="18"/>
      <c r="D188" s="15"/>
      <c r="E188" s="15"/>
      <c r="F188" s="15"/>
      <c r="G188" s="16" t="str">
        <f aca="false">IF(F188="","",IFERROR(INDEX(Lists!$M$2:$M$13,MATCH(F188,Lists!$L$2:$L$13,0)),"Unknown code"))</f>
        <v/>
      </c>
      <c r="H188" s="15"/>
      <c r="I188" s="20"/>
      <c r="J188" s="20"/>
      <c r="K188" s="15"/>
      <c r="L188" s="15"/>
    </row>
    <row r="189" customFormat="false" ht="15" hidden="false" customHeight="false" outlineLevel="0" collapsed="false">
      <c r="A189" s="15"/>
      <c r="B189" s="14"/>
      <c r="C189" s="18"/>
      <c r="D189" s="15"/>
      <c r="E189" s="15"/>
      <c r="F189" s="15"/>
      <c r="G189" s="16" t="str">
        <f aca="false">IF(F189="","",IFERROR(INDEX(Lists!$M$2:$M$13,MATCH(F189,Lists!$L$2:$L$13,0)),"Unknown code"))</f>
        <v/>
      </c>
      <c r="H189" s="15"/>
      <c r="I189" s="20"/>
      <c r="J189" s="20"/>
      <c r="K189" s="15"/>
      <c r="L189" s="15"/>
    </row>
    <row r="190" customFormat="false" ht="15" hidden="false" customHeight="false" outlineLevel="0" collapsed="false">
      <c r="A190" s="15"/>
      <c r="B190" s="14"/>
      <c r="C190" s="18"/>
      <c r="D190" s="15"/>
      <c r="E190" s="15"/>
      <c r="F190" s="15"/>
      <c r="G190" s="16" t="str">
        <f aca="false">IF(F190="","",IFERROR(INDEX(Lists!$M$2:$M$13,MATCH(F190,Lists!$L$2:$L$13,0)),"Unknown code"))</f>
        <v/>
      </c>
      <c r="H190" s="15"/>
      <c r="I190" s="20"/>
      <c r="J190" s="20"/>
      <c r="K190" s="15"/>
      <c r="L190" s="15"/>
    </row>
    <row r="191" customFormat="false" ht="15" hidden="false" customHeight="false" outlineLevel="0" collapsed="false">
      <c r="A191" s="15"/>
      <c r="B191" s="14"/>
      <c r="C191" s="18"/>
      <c r="D191" s="15"/>
      <c r="E191" s="15"/>
      <c r="F191" s="15"/>
      <c r="G191" s="16" t="str">
        <f aca="false">IF(F191="","",IFERROR(INDEX(Lists!$M$2:$M$13,MATCH(F191,Lists!$L$2:$L$13,0)),"Unknown code"))</f>
        <v/>
      </c>
      <c r="H191" s="15"/>
      <c r="I191" s="20"/>
      <c r="J191" s="20"/>
      <c r="K191" s="15"/>
      <c r="L191" s="15"/>
    </row>
    <row r="192" customFormat="false" ht="15" hidden="false" customHeight="false" outlineLevel="0" collapsed="false">
      <c r="A192" s="15"/>
      <c r="B192" s="14"/>
      <c r="C192" s="18"/>
      <c r="D192" s="15"/>
      <c r="E192" s="15"/>
      <c r="F192" s="15"/>
      <c r="G192" s="16" t="str">
        <f aca="false">IF(F192="","",IFERROR(INDEX(Lists!$M$2:$M$13,MATCH(F192,Lists!$L$2:$L$13,0)),"Unknown code"))</f>
        <v/>
      </c>
      <c r="H192" s="15"/>
      <c r="I192" s="20"/>
      <c r="J192" s="20"/>
      <c r="K192" s="15"/>
      <c r="L192" s="15"/>
    </row>
    <row r="193" customFormat="false" ht="15" hidden="false" customHeight="false" outlineLevel="0" collapsed="false">
      <c r="A193" s="15"/>
      <c r="B193" s="14"/>
      <c r="C193" s="18"/>
      <c r="D193" s="15"/>
      <c r="E193" s="15"/>
      <c r="F193" s="15"/>
      <c r="G193" s="16" t="str">
        <f aca="false">IF(F193="","",IFERROR(INDEX(Lists!$M$2:$M$13,MATCH(F193,Lists!$L$2:$L$13,0)),"Unknown code"))</f>
        <v/>
      </c>
      <c r="H193" s="15"/>
      <c r="I193" s="20"/>
      <c r="J193" s="20"/>
      <c r="K193" s="15"/>
      <c r="L193" s="15"/>
    </row>
    <row r="194" customFormat="false" ht="15" hidden="false" customHeight="false" outlineLevel="0" collapsed="false">
      <c r="A194" s="15"/>
      <c r="B194" s="14"/>
      <c r="C194" s="18"/>
      <c r="D194" s="15"/>
      <c r="E194" s="15"/>
      <c r="F194" s="15"/>
      <c r="G194" s="16" t="str">
        <f aca="false">IF(F194="","",IFERROR(INDEX(Lists!$M$2:$M$13,MATCH(F194,Lists!$L$2:$L$13,0)),"Unknown code"))</f>
        <v/>
      </c>
      <c r="H194" s="15"/>
      <c r="I194" s="20"/>
      <c r="J194" s="20"/>
      <c r="K194" s="15"/>
      <c r="L194" s="15"/>
    </row>
    <row r="195" customFormat="false" ht="15" hidden="false" customHeight="false" outlineLevel="0" collapsed="false">
      <c r="A195" s="15"/>
      <c r="B195" s="14"/>
      <c r="C195" s="18"/>
      <c r="D195" s="15"/>
      <c r="E195" s="15"/>
      <c r="F195" s="15"/>
      <c r="G195" s="16" t="str">
        <f aca="false">IF(F195="","",IFERROR(INDEX(Lists!$M$2:$M$13,MATCH(F195,Lists!$L$2:$L$13,0)),"Unknown code"))</f>
        <v/>
      </c>
      <c r="H195" s="15"/>
      <c r="I195" s="20"/>
      <c r="J195" s="20"/>
      <c r="K195" s="15"/>
      <c r="L195" s="15"/>
    </row>
    <row r="196" customFormat="false" ht="15" hidden="false" customHeight="false" outlineLevel="0" collapsed="false">
      <c r="A196" s="15"/>
      <c r="B196" s="14"/>
      <c r="C196" s="18"/>
      <c r="D196" s="15"/>
      <c r="E196" s="15"/>
      <c r="F196" s="15"/>
      <c r="G196" s="16" t="str">
        <f aca="false">IF(F196="","",IFERROR(INDEX(Lists!$M$2:$M$13,MATCH(F196,Lists!$L$2:$L$13,0)),"Unknown code"))</f>
        <v/>
      </c>
      <c r="H196" s="15"/>
      <c r="I196" s="20"/>
      <c r="J196" s="20"/>
      <c r="K196" s="15"/>
      <c r="L196" s="15"/>
    </row>
    <row r="197" customFormat="false" ht="15" hidden="false" customHeight="false" outlineLevel="0" collapsed="false">
      <c r="A197" s="15"/>
      <c r="B197" s="14"/>
      <c r="C197" s="18"/>
      <c r="D197" s="15"/>
      <c r="E197" s="15"/>
      <c r="F197" s="15"/>
      <c r="G197" s="16" t="str">
        <f aca="false">IF(F197="","",IFERROR(INDEX(Lists!$M$2:$M$13,MATCH(F197,Lists!$L$2:$L$13,0)),"Unknown code"))</f>
        <v/>
      </c>
      <c r="H197" s="15"/>
      <c r="I197" s="20"/>
      <c r="J197" s="20"/>
      <c r="K197" s="15"/>
      <c r="L197" s="15"/>
    </row>
    <row r="198" customFormat="false" ht="15" hidden="false" customHeight="false" outlineLevel="0" collapsed="false">
      <c r="A198" s="15"/>
      <c r="B198" s="14"/>
      <c r="C198" s="18"/>
      <c r="D198" s="15"/>
      <c r="E198" s="15"/>
      <c r="F198" s="15"/>
      <c r="G198" s="16" t="str">
        <f aca="false">IF(F198="","",IFERROR(INDEX(Lists!$M$2:$M$13,MATCH(F198,Lists!$L$2:$L$13,0)),"Unknown code"))</f>
        <v/>
      </c>
      <c r="H198" s="15"/>
      <c r="I198" s="20"/>
      <c r="J198" s="20"/>
      <c r="K198" s="15"/>
      <c r="L198" s="15"/>
    </row>
    <row r="199" customFormat="false" ht="15" hidden="false" customHeight="false" outlineLevel="0" collapsed="false">
      <c r="A199" s="15"/>
      <c r="B199" s="14"/>
      <c r="C199" s="18"/>
      <c r="D199" s="15"/>
      <c r="E199" s="15"/>
      <c r="F199" s="15"/>
      <c r="G199" s="16" t="str">
        <f aca="false">IF(F199="","",IFERROR(INDEX(Lists!$M$2:$M$13,MATCH(F199,Lists!$L$2:$L$13,0)),"Unknown code"))</f>
        <v/>
      </c>
      <c r="H199" s="15"/>
      <c r="I199" s="20"/>
      <c r="J199" s="20"/>
      <c r="K199" s="15"/>
      <c r="L199" s="15"/>
    </row>
    <row r="200" customFormat="false" ht="15" hidden="false" customHeight="false" outlineLevel="0" collapsed="false">
      <c r="A200" s="15"/>
      <c r="B200" s="14"/>
      <c r="C200" s="18"/>
      <c r="D200" s="15"/>
      <c r="E200" s="15"/>
      <c r="F200" s="15"/>
      <c r="G200" s="16" t="str">
        <f aca="false">IF(F200="","",IFERROR(INDEX(Lists!$M$2:$M$13,MATCH(F200,Lists!$L$2:$L$13,0)),"Unknown code"))</f>
        <v/>
      </c>
      <c r="H200" s="15"/>
      <c r="I200" s="20"/>
      <c r="J200" s="20"/>
      <c r="K200" s="15"/>
      <c r="L200" s="15"/>
    </row>
    <row r="201" customFormat="false" ht="15" hidden="false" customHeight="false" outlineLevel="0" collapsed="false">
      <c r="A201" s="15"/>
      <c r="B201" s="14"/>
      <c r="C201" s="18"/>
      <c r="D201" s="15"/>
      <c r="E201" s="15"/>
      <c r="F201" s="15"/>
      <c r="G201" s="16" t="str">
        <f aca="false">IF(F201="","",IFERROR(INDEX(Lists!$M$2:$M$13,MATCH(F201,Lists!$L$2:$L$13,0)),"Unknown code"))</f>
        <v/>
      </c>
      <c r="H201" s="15"/>
      <c r="I201" s="20"/>
      <c r="J201" s="20"/>
      <c r="K201" s="15"/>
      <c r="L201" s="15"/>
    </row>
    <row r="202" customFormat="false" ht="15" hidden="false" customHeight="false" outlineLevel="0" collapsed="false">
      <c r="A202" s="15"/>
      <c r="B202" s="14"/>
      <c r="C202" s="18"/>
      <c r="D202" s="15"/>
      <c r="E202" s="15"/>
      <c r="F202" s="15"/>
      <c r="G202" s="16" t="str">
        <f aca="false">IF(F202="","",IFERROR(INDEX(Lists!$M$2:$M$13,MATCH(F202,Lists!$L$2:$L$13,0)),"Unknown code"))</f>
        <v/>
      </c>
      <c r="H202" s="15"/>
      <c r="I202" s="20"/>
      <c r="J202" s="20"/>
      <c r="K202" s="15"/>
      <c r="L202" s="15"/>
    </row>
    <row r="203" customFormat="false" ht="15" hidden="false" customHeight="false" outlineLevel="0" collapsed="false">
      <c r="A203" s="15"/>
      <c r="B203" s="14"/>
      <c r="C203" s="18"/>
      <c r="D203" s="15"/>
      <c r="E203" s="15"/>
      <c r="F203" s="15"/>
      <c r="G203" s="16" t="str">
        <f aca="false">IF(F203="","",IFERROR(INDEX(Lists!$M$2:$M$13,MATCH(F203,Lists!$L$2:$L$13,0)),"Unknown code"))</f>
        <v/>
      </c>
      <c r="H203" s="15"/>
      <c r="I203" s="20"/>
      <c r="J203" s="20"/>
      <c r="K203" s="15"/>
      <c r="L203" s="15"/>
    </row>
    <row r="204" customFormat="false" ht="15" hidden="false" customHeight="false" outlineLevel="0" collapsed="false">
      <c r="A204" s="15"/>
      <c r="B204" s="14"/>
      <c r="C204" s="18"/>
      <c r="D204" s="15"/>
      <c r="E204" s="15"/>
      <c r="F204" s="15"/>
      <c r="G204" s="16" t="str">
        <f aca="false">IF(F204="","",IFERROR(INDEX(Lists!$M$2:$M$13,MATCH(F204,Lists!$L$2:$L$13,0)),"Unknown code"))</f>
        <v/>
      </c>
      <c r="H204" s="15"/>
      <c r="I204" s="20"/>
      <c r="J204" s="20"/>
      <c r="K204" s="15"/>
      <c r="L204" s="15"/>
    </row>
    <row r="205" customFormat="false" ht="15" hidden="false" customHeight="false" outlineLevel="0" collapsed="false">
      <c r="A205" s="15"/>
      <c r="B205" s="14"/>
      <c r="C205" s="18"/>
      <c r="D205" s="15"/>
      <c r="E205" s="15"/>
      <c r="F205" s="15"/>
      <c r="G205" s="16" t="str">
        <f aca="false">IF(F205="","",IFERROR(INDEX(Lists!$M$2:$M$13,MATCH(F205,Lists!$L$2:$L$13,0)),"Unknown code"))</f>
        <v/>
      </c>
      <c r="H205" s="15"/>
      <c r="I205" s="20"/>
      <c r="J205" s="20"/>
      <c r="K205" s="15"/>
      <c r="L205" s="15"/>
    </row>
    <row r="206" customFormat="false" ht="15" hidden="false" customHeight="false" outlineLevel="0" collapsed="false">
      <c r="A206" s="15"/>
      <c r="B206" s="14"/>
      <c r="C206" s="18"/>
      <c r="D206" s="15"/>
      <c r="E206" s="15"/>
      <c r="F206" s="15"/>
      <c r="G206" s="16" t="str">
        <f aca="false">IF(F206="","",IFERROR(INDEX(Lists!$M$2:$M$13,MATCH(F206,Lists!$L$2:$L$13,0)),"Unknown code"))</f>
        <v/>
      </c>
      <c r="H206" s="15"/>
      <c r="I206" s="20"/>
      <c r="J206" s="20"/>
      <c r="K206" s="15"/>
      <c r="L206" s="15"/>
    </row>
    <row r="207" customFormat="false" ht="15" hidden="false" customHeight="false" outlineLevel="0" collapsed="false">
      <c r="A207" s="15"/>
      <c r="B207" s="14"/>
      <c r="C207" s="18"/>
      <c r="D207" s="15"/>
      <c r="E207" s="15"/>
      <c r="F207" s="15"/>
      <c r="G207" s="16" t="str">
        <f aca="false">IF(F207="","",IFERROR(INDEX(Lists!$M$2:$M$13,MATCH(F207,Lists!$L$2:$L$13,0)),"Unknown code"))</f>
        <v/>
      </c>
      <c r="H207" s="15"/>
      <c r="I207" s="20"/>
      <c r="J207" s="20"/>
      <c r="K207" s="15"/>
      <c r="L207" s="15"/>
    </row>
    <row r="208" customFormat="false" ht="15" hidden="false" customHeight="false" outlineLevel="0" collapsed="false">
      <c r="A208" s="15"/>
      <c r="B208" s="14"/>
      <c r="C208" s="18"/>
      <c r="D208" s="15"/>
      <c r="E208" s="15"/>
      <c r="F208" s="15"/>
      <c r="G208" s="16" t="str">
        <f aca="false">IF(F208="","",IFERROR(INDEX(Lists!$M$2:$M$13,MATCH(F208,Lists!$L$2:$L$13,0)),"Unknown code"))</f>
        <v/>
      </c>
      <c r="H208" s="15"/>
      <c r="I208" s="20"/>
      <c r="J208" s="20"/>
      <c r="K208" s="15"/>
      <c r="L208" s="15"/>
    </row>
    <row r="209" customFormat="false" ht="15" hidden="false" customHeight="false" outlineLevel="0" collapsed="false">
      <c r="A209" s="15"/>
      <c r="B209" s="14"/>
      <c r="C209" s="18"/>
      <c r="D209" s="15"/>
      <c r="E209" s="15"/>
      <c r="F209" s="15"/>
      <c r="G209" s="16" t="str">
        <f aca="false">IF(F209="","",IFERROR(INDEX(Lists!$M$2:$M$13,MATCH(F209,Lists!$L$2:$L$13,0)),"Unknown code"))</f>
        <v/>
      </c>
      <c r="H209" s="15"/>
      <c r="I209" s="20"/>
      <c r="J209" s="20"/>
      <c r="K209" s="15"/>
      <c r="L209" s="15"/>
    </row>
    <row r="210" customFormat="false" ht="15" hidden="false" customHeight="false" outlineLevel="0" collapsed="false">
      <c r="A210" s="15"/>
      <c r="B210" s="14"/>
      <c r="C210" s="18"/>
      <c r="D210" s="15"/>
      <c r="E210" s="15"/>
      <c r="F210" s="15"/>
      <c r="G210" s="16" t="str">
        <f aca="false">IF(F210="","",IFERROR(INDEX(Lists!$M$2:$M$13,MATCH(F210,Lists!$L$2:$L$13,0)),"Unknown code"))</f>
        <v/>
      </c>
      <c r="H210" s="15"/>
      <c r="I210" s="20"/>
      <c r="J210" s="20"/>
      <c r="K210" s="15"/>
      <c r="L210" s="15"/>
    </row>
    <row r="211" customFormat="false" ht="15" hidden="false" customHeight="false" outlineLevel="0" collapsed="false">
      <c r="A211" s="15"/>
      <c r="B211" s="14"/>
      <c r="C211" s="18"/>
      <c r="D211" s="15"/>
      <c r="E211" s="15"/>
      <c r="F211" s="15"/>
      <c r="G211" s="16" t="str">
        <f aca="false">IF(F211="","",IFERROR(INDEX(Lists!$M$2:$M$13,MATCH(F211,Lists!$L$2:$L$13,0)),"Unknown code"))</f>
        <v/>
      </c>
      <c r="H211" s="15"/>
      <c r="I211" s="20"/>
      <c r="J211" s="20"/>
      <c r="K211" s="15"/>
      <c r="L211" s="15"/>
    </row>
    <row r="212" customFormat="false" ht="15" hidden="false" customHeight="false" outlineLevel="0" collapsed="false">
      <c r="A212" s="15"/>
      <c r="B212" s="14"/>
      <c r="C212" s="18"/>
      <c r="D212" s="15"/>
      <c r="E212" s="15"/>
      <c r="F212" s="15"/>
      <c r="G212" s="16" t="str">
        <f aca="false">IF(F212="","",IFERROR(INDEX(Lists!$M$2:$M$13,MATCH(F212,Lists!$L$2:$L$13,0)),"Unknown code"))</f>
        <v/>
      </c>
      <c r="H212" s="15"/>
      <c r="I212" s="20"/>
      <c r="J212" s="20"/>
      <c r="K212" s="15"/>
      <c r="L212" s="15"/>
    </row>
    <row r="213" customFormat="false" ht="15" hidden="false" customHeight="false" outlineLevel="0" collapsed="false">
      <c r="A213" s="15"/>
      <c r="B213" s="14"/>
      <c r="C213" s="18"/>
      <c r="D213" s="15"/>
      <c r="E213" s="15"/>
      <c r="F213" s="15"/>
      <c r="G213" s="16" t="str">
        <f aca="false">IF(F213="","",IFERROR(INDEX(Lists!$M$2:$M$13,MATCH(F213,Lists!$L$2:$L$13,0)),"Unknown code"))</f>
        <v/>
      </c>
      <c r="H213" s="15"/>
      <c r="I213" s="20"/>
      <c r="J213" s="20"/>
      <c r="K213" s="15"/>
      <c r="L213" s="15"/>
    </row>
    <row r="214" customFormat="false" ht="15" hidden="false" customHeight="false" outlineLevel="0" collapsed="false">
      <c r="A214" s="15"/>
      <c r="B214" s="14"/>
      <c r="C214" s="18"/>
      <c r="D214" s="15"/>
      <c r="E214" s="15"/>
      <c r="F214" s="15"/>
      <c r="G214" s="16" t="str">
        <f aca="false">IF(F214="","",IFERROR(INDEX(Lists!$M$2:$M$13,MATCH(F214,Lists!$L$2:$L$13,0)),"Unknown code"))</f>
        <v/>
      </c>
      <c r="H214" s="15"/>
      <c r="I214" s="20"/>
      <c r="J214" s="20"/>
      <c r="K214" s="15"/>
      <c r="L214" s="15"/>
    </row>
    <row r="215" customFormat="false" ht="15" hidden="false" customHeight="false" outlineLevel="0" collapsed="false">
      <c r="A215" s="15"/>
      <c r="B215" s="14"/>
      <c r="C215" s="18"/>
      <c r="D215" s="15"/>
      <c r="E215" s="15"/>
      <c r="F215" s="15"/>
      <c r="G215" s="16" t="str">
        <f aca="false">IF(F215="","",IFERROR(INDEX(Lists!$M$2:$M$13,MATCH(F215,Lists!$L$2:$L$13,0)),"Unknown code"))</f>
        <v/>
      </c>
      <c r="H215" s="15"/>
      <c r="I215" s="20"/>
      <c r="J215" s="20"/>
      <c r="K215" s="15"/>
      <c r="L215" s="15"/>
    </row>
    <row r="216" customFormat="false" ht="15" hidden="false" customHeight="false" outlineLevel="0" collapsed="false">
      <c r="A216" s="15"/>
      <c r="B216" s="14"/>
      <c r="C216" s="18"/>
      <c r="D216" s="15"/>
      <c r="E216" s="15"/>
      <c r="F216" s="15"/>
      <c r="G216" s="16" t="str">
        <f aca="false">IF(F216="","",IFERROR(INDEX(Lists!$M$2:$M$13,MATCH(F216,Lists!$L$2:$L$13,0)),"Unknown code"))</f>
        <v/>
      </c>
      <c r="H216" s="15"/>
      <c r="I216" s="20"/>
      <c r="J216" s="20"/>
      <c r="K216" s="15"/>
      <c r="L216" s="15"/>
    </row>
    <row r="217" customFormat="false" ht="15" hidden="false" customHeight="false" outlineLevel="0" collapsed="false">
      <c r="A217" s="15"/>
      <c r="B217" s="14"/>
      <c r="C217" s="18"/>
      <c r="D217" s="15"/>
      <c r="E217" s="15"/>
      <c r="F217" s="15"/>
      <c r="G217" s="16" t="str">
        <f aca="false">IF(F217="","",IFERROR(INDEX(Lists!$M$2:$M$13,MATCH(F217,Lists!$L$2:$L$13,0)),"Unknown code"))</f>
        <v/>
      </c>
      <c r="H217" s="15"/>
      <c r="I217" s="20"/>
      <c r="J217" s="20"/>
      <c r="K217" s="15"/>
      <c r="L217" s="15"/>
    </row>
    <row r="218" customFormat="false" ht="15" hidden="false" customHeight="false" outlineLevel="0" collapsed="false">
      <c r="A218" s="15"/>
      <c r="B218" s="14"/>
      <c r="C218" s="18"/>
      <c r="D218" s="15"/>
      <c r="E218" s="15"/>
      <c r="F218" s="15"/>
      <c r="G218" s="16" t="str">
        <f aca="false">IF(F218="","",IFERROR(INDEX(Lists!$M$2:$M$13,MATCH(F218,Lists!$L$2:$L$13,0)),"Unknown code"))</f>
        <v/>
      </c>
      <c r="H218" s="15"/>
      <c r="I218" s="20"/>
      <c r="J218" s="20"/>
      <c r="K218" s="15"/>
      <c r="L218" s="15"/>
    </row>
    <row r="219" customFormat="false" ht="15" hidden="false" customHeight="false" outlineLevel="0" collapsed="false">
      <c r="A219" s="15"/>
      <c r="B219" s="14"/>
      <c r="C219" s="18"/>
      <c r="D219" s="15"/>
      <c r="E219" s="15"/>
      <c r="F219" s="15"/>
      <c r="G219" s="16" t="str">
        <f aca="false">IF(F219="","",IFERROR(INDEX(Lists!$M$2:$M$13,MATCH(F219,Lists!$L$2:$L$13,0)),"Unknown code"))</f>
        <v/>
      </c>
      <c r="H219" s="15"/>
      <c r="I219" s="20"/>
      <c r="J219" s="20"/>
      <c r="K219" s="15"/>
      <c r="L219" s="15"/>
    </row>
    <row r="220" customFormat="false" ht="15" hidden="false" customHeight="false" outlineLevel="0" collapsed="false">
      <c r="A220" s="15"/>
      <c r="B220" s="14"/>
      <c r="C220" s="18"/>
      <c r="D220" s="15"/>
      <c r="E220" s="15"/>
      <c r="F220" s="15"/>
      <c r="G220" s="16" t="str">
        <f aca="false">IF(F220="","",IFERROR(INDEX(Lists!$M$2:$M$13,MATCH(F220,Lists!$L$2:$L$13,0)),"Unknown code"))</f>
        <v/>
      </c>
      <c r="H220" s="15"/>
      <c r="I220" s="20"/>
      <c r="J220" s="20"/>
      <c r="K220" s="15"/>
      <c r="L220" s="15"/>
    </row>
    <row r="221" customFormat="false" ht="15" hidden="false" customHeight="false" outlineLevel="0" collapsed="false">
      <c r="A221" s="15"/>
      <c r="B221" s="14"/>
      <c r="C221" s="18"/>
      <c r="D221" s="15"/>
      <c r="E221" s="15"/>
      <c r="F221" s="15"/>
      <c r="G221" s="16" t="str">
        <f aca="false">IF(F221="","",IFERROR(INDEX(Lists!$M$2:$M$13,MATCH(F221,Lists!$L$2:$L$13,0)),"Unknown code"))</f>
        <v/>
      </c>
      <c r="H221" s="15"/>
      <c r="I221" s="20"/>
      <c r="J221" s="20"/>
      <c r="K221" s="15"/>
      <c r="L221" s="15"/>
    </row>
    <row r="222" customFormat="false" ht="15" hidden="false" customHeight="false" outlineLevel="0" collapsed="false">
      <c r="A222" s="15"/>
      <c r="B222" s="14"/>
      <c r="C222" s="18"/>
      <c r="D222" s="15"/>
      <c r="E222" s="15"/>
      <c r="F222" s="15"/>
      <c r="G222" s="16" t="str">
        <f aca="false">IF(F222="","",IFERROR(INDEX(Lists!$M$2:$M$13,MATCH(F222,Lists!$L$2:$L$13,0)),"Unknown code"))</f>
        <v/>
      </c>
      <c r="H222" s="15"/>
      <c r="I222" s="20"/>
      <c r="J222" s="20"/>
      <c r="K222" s="15"/>
      <c r="L222" s="15"/>
    </row>
    <row r="223" customFormat="false" ht="15" hidden="false" customHeight="false" outlineLevel="0" collapsed="false">
      <c r="A223" s="15"/>
      <c r="B223" s="14"/>
      <c r="C223" s="18"/>
      <c r="D223" s="15"/>
      <c r="E223" s="15"/>
      <c r="F223" s="15"/>
      <c r="G223" s="16" t="str">
        <f aca="false">IF(F223="","",IFERROR(INDEX(Lists!$M$2:$M$13,MATCH(F223,Lists!$L$2:$L$13,0)),"Unknown code"))</f>
        <v/>
      </c>
      <c r="H223" s="15"/>
      <c r="I223" s="20"/>
      <c r="J223" s="20"/>
      <c r="K223" s="15"/>
      <c r="L223" s="15"/>
    </row>
    <row r="224" customFormat="false" ht="15" hidden="false" customHeight="false" outlineLevel="0" collapsed="false">
      <c r="A224" s="15"/>
      <c r="B224" s="14"/>
      <c r="C224" s="18"/>
      <c r="D224" s="15"/>
      <c r="E224" s="15"/>
      <c r="F224" s="15"/>
      <c r="G224" s="16" t="str">
        <f aca="false">IF(F224="","",IFERROR(INDEX(Lists!$M$2:$M$13,MATCH(F224,Lists!$L$2:$L$13,0)),"Unknown code"))</f>
        <v/>
      </c>
      <c r="H224" s="15"/>
      <c r="I224" s="20"/>
      <c r="J224" s="20"/>
      <c r="K224" s="15"/>
      <c r="L224" s="15"/>
    </row>
    <row r="225" customFormat="false" ht="15" hidden="false" customHeight="false" outlineLevel="0" collapsed="false">
      <c r="A225" s="15"/>
      <c r="B225" s="14"/>
      <c r="C225" s="18"/>
      <c r="D225" s="15"/>
      <c r="E225" s="15"/>
      <c r="F225" s="15"/>
      <c r="G225" s="16" t="str">
        <f aca="false">IF(F225="","",IFERROR(INDEX(Lists!$M$2:$M$13,MATCH(F225,Lists!$L$2:$L$13,0)),"Unknown code"))</f>
        <v/>
      </c>
      <c r="H225" s="15"/>
      <c r="I225" s="20"/>
      <c r="J225" s="20"/>
      <c r="K225" s="15"/>
      <c r="L225" s="15"/>
    </row>
    <row r="226" customFormat="false" ht="15" hidden="false" customHeight="false" outlineLevel="0" collapsed="false">
      <c r="A226" s="15"/>
      <c r="B226" s="14"/>
      <c r="C226" s="18"/>
      <c r="D226" s="15"/>
      <c r="E226" s="15"/>
      <c r="F226" s="15"/>
      <c r="G226" s="16" t="str">
        <f aca="false">IF(F226="","",IFERROR(INDEX(Lists!$M$2:$M$13,MATCH(F226,Lists!$L$2:$L$13,0)),"Unknown code"))</f>
        <v/>
      </c>
      <c r="H226" s="15"/>
      <c r="I226" s="20"/>
      <c r="J226" s="20"/>
      <c r="K226" s="15"/>
      <c r="L226" s="15"/>
    </row>
    <row r="227" customFormat="false" ht="15" hidden="false" customHeight="false" outlineLevel="0" collapsed="false">
      <c r="A227" s="15"/>
      <c r="B227" s="14"/>
      <c r="C227" s="18"/>
      <c r="D227" s="15"/>
      <c r="E227" s="15"/>
      <c r="F227" s="15"/>
      <c r="G227" s="16" t="str">
        <f aca="false">IF(F227="","",IFERROR(INDEX(Lists!$M$2:$M$13,MATCH(F227,Lists!$L$2:$L$13,0)),"Unknown code"))</f>
        <v/>
      </c>
      <c r="H227" s="15"/>
      <c r="I227" s="20"/>
      <c r="J227" s="20"/>
      <c r="K227" s="15"/>
      <c r="L227" s="15"/>
    </row>
    <row r="228" customFormat="false" ht="15" hidden="false" customHeight="false" outlineLevel="0" collapsed="false">
      <c r="A228" s="15"/>
      <c r="B228" s="14"/>
      <c r="C228" s="18"/>
      <c r="D228" s="15"/>
      <c r="E228" s="15"/>
      <c r="F228" s="15"/>
      <c r="G228" s="16" t="str">
        <f aca="false">IF(F228="","",IFERROR(INDEX(Lists!$M$2:$M$13,MATCH(F228,Lists!$L$2:$L$13,0)),"Unknown code"))</f>
        <v/>
      </c>
      <c r="H228" s="15"/>
      <c r="I228" s="20"/>
      <c r="J228" s="20"/>
      <c r="K228" s="15"/>
      <c r="L228" s="15"/>
    </row>
    <row r="229" customFormat="false" ht="15" hidden="false" customHeight="false" outlineLevel="0" collapsed="false">
      <c r="A229" s="15"/>
      <c r="B229" s="14"/>
      <c r="C229" s="18"/>
      <c r="D229" s="15"/>
      <c r="E229" s="15"/>
      <c r="F229" s="15"/>
      <c r="G229" s="16" t="str">
        <f aca="false">IF(F229="","",IFERROR(INDEX(Lists!$M$2:$M$13,MATCH(F229,Lists!$L$2:$L$13,0)),"Unknown code"))</f>
        <v/>
      </c>
      <c r="H229" s="15"/>
      <c r="I229" s="20"/>
      <c r="J229" s="20"/>
      <c r="K229" s="15"/>
      <c r="L229" s="15"/>
    </row>
    <row r="230" customFormat="false" ht="15" hidden="false" customHeight="false" outlineLevel="0" collapsed="false">
      <c r="A230" s="15"/>
      <c r="B230" s="14"/>
      <c r="C230" s="18"/>
      <c r="D230" s="15"/>
      <c r="E230" s="15"/>
      <c r="F230" s="15"/>
      <c r="G230" s="16" t="str">
        <f aca="false">IF(F230="","",IFERROR(INDEX(Lists!$M$2:$M$13,MATCH(F230,Lists!$L$2:$L$13,0)),"Unknown code"))</f>
        <v/>
      </c>
      <c r="H230" s="15"/>
      <c r="I230" s="20"/>
      <c r="J230" s="20"/>
      <c r="K230" s="15"/>
      <c r="L230" s="15"/>
    </row>
    <row r="231" customFormat="false" ht="15" hidden="false" customHeight="false" outlineLevel="0" collapsed="false">
      <c r="A231" s="15"/>
      <c r="B231" s="14"/>
      <c r="C231" s="18"/>
      <c r="D231" s="15"/>
      <c r="E231" s="15"/>
      <c r="F231" s="15"/>
      <c r="G231" s="16" t="str">
        <f aca="false">IF(F231="","",IFERROR(INDEX(Lists!$M$2:$M$13,MATCH(F231,Lists!$L$2:$L$13,0)),"Unknown code"))</f>
        <v/>
      </c>
      <c r="H231" s="15"/>
      <c r="I231" s="20"/>
      <c r="J231" s="20"/>
      <c r="K231" s="15"/>
      <c r="L231" s="15"/>
    </row>
    <row r="232" customFormat="false" ht="15" hidden="false" customHeight="false" outlineLevel="0" collapsed="false">
      <c r="A232" s="15"/>
      <c r="B232" s="14"/>
      <c r="C232" s="18"/>
      <c r="D232" s="15"/>
      <c r="E232" s="15"/>
      <c r="F232" s="15"/>
      <c r="G232" s="16" t="str">
        <f aca="false">IF(F232="","",IFERROR(INDEX(Lists!$M$2:$M$13,MATCH(F232,Lists!$L$2:$L$13,0)),"Unknown code"))</f>
        <v/>
      </c>
      <c r="H232" s="15"/>
      <c r="I232" s="20"/>
      <c r="J232" s="20"/>
      <c r="K232" s="15"/>
      <c r="L232" s="15"/>
    </row>
    <row r="233" customFormat="false" ht="15" hidden="false" customHeight="false" outlineLevel="0" collapsed="false">
      <c r="A233" s="15"/>
      <c r="B233" s="14"/>
      <c r="C233" s="18"/>
      <c r="D233" s="15"/>
      <c r="E233" s="15"/>
      <c r="F233" s="15"/>
      <c r="G233" s="16" t="str">
        <f aca="false">IF(F233="","",IFERROR(INDEX(Lists!$M$2:$M$13,MATCH(F233,Lists!$L$2:$L$13,0)),"Unknown code"))</f>
        <v/>
      </c>
      <c r="H233" s="15"/>
      <c r="I233" s="20"/>
      <c r="J233" s="20"/>
      <c r="K233" s="15"/>
      <c r="L233" s="15"/>
    </row>
    <row r="234" customFormat="false" ht="15" hidden="false" customHeight="false" outlineLevel="0" collapsed="false">
      <c r="A234" s="15"/>
      <c r="B234" s="14"/>
      <c r="C234" s="18"/>
      <c r="D234" s="15"/>
      <c r="E234" s="15"/>
      <c r="F234" s="15"/>
      <c r="G234" s="16" t="str">
        <f aca="false">IF(F234="","",IFERROR(INDEX(Lists!$M$2:$M$13,MATCH(F234,Lists!$L$2:$L$13,0)),"Unknown code"))</f>
        <v/>
      </c>
      <c r="H234" s="15"/>
      <c r="I234" s="20"/>
      <c r="J234" s="20"/>
      <c r="K234" s="15"/>
      <c r="L234" s="15"/>
    </row>
    <row r="235" customFormat="false" ht="15" hidden="false" customHeight="false" outlineLevel="0" collapsed="false">
      <c r="A235" s="15"/>
      <c r="B235" s="14"/>
      <c r="C235" s="18"/>
      <c r="D235" s="15"/>
      <c r="E235" s="15"/>
      <c r="F235" s="15"/>
      <c r="G235" s="16" t="str">
        <f aca="false">IF(F235="","",IFERROR(INDEX(Lists!$M$2:$M$13,MATCH(F235,Lists!$L$2:$L$13,0)),"Unknown code"))</f>
        <v/>
      </c>
      <c r="H235" s="15"/>
      <c r="I235" s="20"/>
      <c r="J235" s="20"/>
      <c r="K235" s="15"/>
      <c r="L235" s="15"/>
    </row>
    <row r="236" customFormat="false" ht="15" hidden="false" customHeight="false" outlineLevel="0" collapsed="false">
      <c r="A236" s="15"/>
      <c r="B236" s="14"/>
      <c r="C236" s="18"/>
      <c r="D236" s="15"/>
      <c r="E236" s="15"/>
      <c r="F236" s="15"/>
      <c r="G236" s="16" t="str">
        <f aca="false">IF(F236="","",IFERROR(INDEX(Lists!$M$2:$M$13,MATCH(F236,Lists!$L$2:$L$13,0)),"Unknown code"))</f>
        <v/>
      </c>
      <c r="H236" s="15"/>
      <c r="I236" s="20"/>
      <c r="J236" s="20"/>
      <c r="K236" s="15"/>
      <c r="L236" s="15"/>
    </row>
    <row r="237" customFormat="false" ht="15" hidden="false" customHeight="false" outlineLevel="0" collapsed="false">
      <c r="A237" s="15"/>
      <c r="B237" s="14"/>
      <c r="C237" s="18"/>
      <c r="D237" s="15"/>
      <c r="E237" s="15"/>
      <c r="F237" s="15"/>
      <c r="G237" s="16" t="str">
        <f aca="false">IF(F237="","",IFERROR(INDEX(Lists!$M$2:$M$13,MATCH(F237,Lists!$L$2:$L$13,0)),"Unknown code"))</f>
        <v/>
      </c>
      <c r="H237" s="15"/>
      <c r="I237" s="20"/>
      <c r="J237" s="20"/>
      <c r="K237" s="15"/>
      <c r="L237" s="15"/>
    </row>
    <row r="238" customFormat="false" ht="15" hidden="false" customHeight="false" outlineLevel="0" collapsed="false">
      <c r="A238" s="15"/>
      <c r="B238" s="14"/>
      <c r="C238" s="18"/>
      <c r="D238" s="15"/>
      <c r="E238" s="15"/>
      <c r="F238" s="15"/>
      <c r="G238" s="16" t="str">
        <f aca="false">IF(F238="","",IFERROR(INDEX(Lists!$M$2:$M$13,MATCH(F238,Lists!$L$2:$L$13,0)),"Unknown code"))</f>
        <v/>
      </c>
      <c r="H238" s="15"/>
      <c r="I238" s="20"/>
      <c r="J238" s="20"/>
      <c r="K238" s="15"/>
      <c r="L238" s="15"/>
    </row>
    <row r="239" customFormat="false" ht="15" hidden="false" customHeight="false" outlineLevel="0" collapsed="false">
      <c r="A239" s="15"/>
      <c r="B239" s="14"/>
      <c r="C239" s="18"/>
      <c r="D239" s="15"/>
      <c r="E239" s="15"/>
      <c r="F239" s="15"/>
      <c r="G239" s="16" t="str">
        <f aca="false">IF(F239="","",IFERROR(INDEX(Lists!$M$2:$M$13,MATCH(F239,Lists!$L$2:$L$13,0)),"Unknown code"))</f>
        <v/>
      </c>
      <c r="H239" s="15"/>
      <c r="I239" s="20"/>
      <c r="J239" s="20"/>
      <c r="K239" s="15"/>
      <c r="L239" s="15"/>
    </row>
    <row r="240" customFormat="false" ht="15" hidden="false" customHeight="false" outlineLevel="0" collapsed="false">
      <c r="A240" s="15"/>
      <c r="B240" s="14"/>
      <c r="C240" s="18"/>
      <c r="D240" s="15"/>
      <c r="E240" s="15"/>
      <c r="F240" s="15"/>
      <c r="G240" s="16" t="str">
        <f aca="false">IF(F240="","",IFERROR(INDEX(Lists!$M$2:$M$13,MATCH(F240,Lists!$L$2:$L$13,0)),"Unknown code"))</f>
        <v/>
      </c>
      <c r="H240" s="15"/>
      <c r="I240" s="20"/>
      <c r="J240" s="20"/>
      <c r="K240" s="15"/>
      <c r="L240" s="15"/>
    </row>
    <row r="241" customFormat="false" ht="15" hidden="false" customHeight="false" outlineLevel="0" collapsed="false">
      <c r="A241" s="15"/>
      <c r="B241" s="14"/>
      <c r="C241" s="18"/>
      <c r="D241" s="15"/>
      <c r="E241" s="15"/>
      <c r="F241" s="15"/>
      <c r="G241" s="16" t="str">
        <f aca="false">IF(F241="","",IFERROR(INDEX(Lists!$M$2:$M$13,MATCH(F241,Lists!$L$2:$L$13,0)),"Unknown code"))</f>
        <v/>
      </c>
      <c r="H241" s="15"/>
      <c r="I241" s="20"/>
      <c r="J241" s="20"/>
      <c r="K241" s="15"/>
      <c r="L241" s="15"/>
    </row>
    <row r="242" customFormat="false" ht="15" hidden="false" customHeight="false" outlineLevel="0" collapsed="false">
      <c r="A242" s="15"/>
      <c r="B242" s="14"/>
      <c r="C242" s="18"/>
      <c r="D242" s="15"/>
      <c r="E242" s="15"/>
      <c r="F242" s="15"/>
      <c r="G242" s="16" t="str">
        <f aca="false">IF(F242="","",IFERROR(INDEX(Lists!$M$2:$M$13,MATCH(F242,Lists!$L$2:$L$13,0)),"Unknown code"))</f>
        <v/>
      </c>
      <c r="H242" s="15"/>
      <c r="I242" s="20"/>
      <c r="J242" s="20"/>
      <c r="K242" s="15"/>
      <c r="L242" s="15"/>
    </row>
    <row r="243" customFormat="false" ht="15" hidden="false" customHeight="false" outlineLevel="0" collapsed="false">
      <c r="A243" s="15"/>
      <c r="B243" s="14"/>
      <c r="C243" s="18"/>
      <c r="D243" s="15"/>
      <c r="E243" s="15"/>
      <c r="F243" s="15"/>
      <c r="G243" s="16" t="str">
        <f aca="false">IF(F243="","",IFERROR(INDEX(Lists!$M$2:$M$13,MATCH(F243,Lists!$L$2:$L$13,0)),"Unknown code"))</f>
        <v/>
      </c>
      <c r="H243" s="15"/>
      <c r="I243" s="20"/>
      <c r="J243" s="20"/>
      <c r="K243" s="15"/>
      <c r="L243" s="15"/>
    </row>
    <row r="244" customFormat="false" ht="15" hidden="false" customHeight="false" outlineLevel="0" collapsed="false">
      <c r="A244" s="15"/>
      <c r="B244" s="14"/>
      <c r="C244" s="18"/>
      <c r="D244" s="15"/>
      <c r="E244" s="15"/>
      <c r="F244" s="15"/>
      <c r="G244" s="16" t="str">
        <f aca="false">IF(F244="","",IFERROR(INDEX(Lists!$M$2:$M$13,MATCH(F244,Lists!$L$2:$L$13,0)),"Unknown code"))</f>
        <v/>
      </c>
      <c r="H244" s="15"/>
      <c r="I244" s="20"/>
      <c r="J244" s="20"/>
      <c r="K244" s="15"/>
      <c r="L244" s="15"/>
    </row>
    <row r="245" customFormat="false" ht="15" hidden="false" customHeight="false" outlineLevel="0" collapsed="false">
      <c r="A245" s="15"/>
      <c r="B245" s="14"/>
      <c r="C245" s="18"/>
      <c r="D245" s="15"/>
      <c r="E245" s="15"/>
      <c r="F245" s="15"/>
      <c r="G245" s="16" t="str">
        <f aca="false">IF(F245="","",IFERROR(INDEX(Lists!$M$2:$M$13,MATCH(F245,Lists!$L$2:$L$13,0)),"Unknown code"))</f>
        <v/>
      </c>
      <c r="H245" s="15"/>
      <c r="I245" s="20"/>
      <c r="J245" s="20"/>
      <c r="K245" s="15"/>
      <c r="L245" s="15"/>
    </row>
    <row r="246" customFormat="false" ht="15" hidden="false" customHeight="false" outlineLevel="0" collapsed="false">
      <c r="A246" s="15"/>
      <c r="B246" s="14"/>
      <c r="C246" s="18"/>
      <c r="D246" s="15"/>
      <c r="E246" s="15"/>
      <c r="F246" s="15"/>
      <c r="G246" s="16" t="str">
        <f aca="false">IF(F246="","",IFERROR(INDEX(Lists!$M$2:$M$13,MATCH(F246,Lists!$L$2:$L$13,0)),"Unknown code"))</f>
        <v/>
      </c>
      <c r="H246" s="15"/>
      <c r="I246" s="20"/>
      <c r="J246" s="20"/>
      <c r="K246" s="15"/>
      <c r="L246" s="15"/>
    </row>
    <row r="247" customFormat="false" ht="15" hidden="false" customHeight="false" outlineLevel="0" collapsed="false">
      <c r="A247" s="15"/>
      <c r="B247" s="14"/>
      <c r="C247" s="18"/>
      <c r="D247" s="15"/>
      <c r="E247" s="15"/>
      <c r="F247" s="15"/>
      <c r="G247" s="16" t="str">
        <f aca="false">IF(F247="","",IFERROR(INDEX(Lists!$M$2:$M$13,MATCH(F247,Lists!$L$2:$L$13,0)),"Unknown code"))</f>
        <v/>
      </c>
      <c r="H247" s="15"/>
      <c r="I247" s="20"/>
      <c r="J247" s="20"/>
      <c r="K247" s="15"/>
      <c r="L247" s="15"/>
    </row>
    <row r="248" customFormat="false" ht="15" hidden="false" customHeight="false" outlineLevel="0" collapsed="false">
      <c r="A248" s="15"/>
      <c r="B248" s="14"/>
      <c r="C248" s="18"/>
      <c r="D248" s="15"/>
      <c r="E248" s="15"/>
      <c r="F248" s="15"/>
      <c r="G248" s="16" t="str">
        <f aca="false">IF(F248="","",IFERROR(INDEX(Lists!$M$2:$M$13,MATCH(F248,Lists!$L$2:$L$13,0)),"Unknown code"))</f>
        <v/>
      </c>
      <c r="H248" s="15"/>
      <c r="I248" s="20"/>
      <c r="J248" s="20"/>
      <c r="K248" s="15"/>
      <c r="L248" s="15"/>
    </row>
    <row r="249" customFormat="false" ht="15" hidden="false" customHeight="false" outlineLevel="0" collapsed="false">
      <c r="A249" s="15"/>
      <c r="B249" s="14"/>
      <c r="C249" s="18"/>
      <c r="D249" s="15"/>
      <c r="E249" s="15"/>
      <c r="F249" s="15"/>
      <c r="G249" s="16" t="str">
        <f aca="false">IF(F249="","",IFERROR(INDEX(Lists!$M$2:$M$13,MATCH(F249,Lists!$L$2:$L$13,0)),"Unknown code"))</f>
        <v/>
      </c>
      <c r="H249" s="15"/>
      <c r="I249" s="20"/>
      <c r="J249" s="20"/>
      <c r="K249" s="15"/>
      <c r="L249" s="15"/>
    </row>
    <row r="250" customFormat="false" ht="15" hidden="false" customHeight="false" outlineLevel="0" collapsed="false">
      <c r="A250" s="15"/>
      <c r="B250" s="14"/>
      <c r="C250" s="18"/>
      <c r="D250" s="15"/>
      <c r="E250" s="15"/>
      <c r="F250" s="15"/>
      <c r="G250" s="16" t="str">
        <f aca="false">IF(F250="","",IFERROR(INDEX(Lists!$M$2:$M$13,MATCH(F250,Lists!$L$2:$L$13,0)),"Unknown code"))</f>
        <v/>
      </c>
      <c r="H250" s="15"/>
      <c r="I250" s="20"/>
      <c r="J250" s="20"/>
      <c r="K250" s="15"/>
      <c r="L250" s="15"/>
    </row>
    <row r="251" customFormat="false" ht="15" hidden="false" customHeight="false" outlineLevel="0" collapsed="false">
      <c r="A251" s="15"/>
      <c r="B251" s="14"/>
      <c r="C251" s="18"/>
      <c r="D251" s="15"/>
      <c r="E251" s="15"/>
      <c r="F251" s="15"/>
      <c r="G251" s="16" t="str">
        <f aca="false">IF(F251="","",IFERROR(INDEX(Lists!$M$2:$M$13,MATCH(F251,Lists!$L$2:$L$13,0)),"Unknown code"))</f>
        <v/>
      </c>
      <c r="H251" s="15"/>
      <c r="I251" s="20"/>
      <c r="J251" s="20"/>
      <c r="K251" s="15"/>
      <c r="L251" s="15"/>
    </row>
    <row r="252" customFormat="false" ht="15" hidden="false" customHeight="false" outlineLevel="0" collapsed="false">
      <c r="A252" s="15"/>
      <c r="B252" s="14"/>
      <c r="C252" s="18"/>
      <c r="D252" s="15"/>
      <c r="E252" s="15"/>
      <c r="F252" s="15"/>
      <c r="G252" s="16" t="str">
        <f aca="false">IF(F252="","",IFERROR(INDEX(Lists!$M$2:$M$13,MATCH(F252,Lists!$L$2:$L$13,0)),"Unknown code"))</f>
        <v/>
      </c>
      <c r="H252" s="15"/>
      <c r="I252" s="20"/>
      <c r="J252" s="20"/>
      <c r="K252" s="15"/>
      <c r="L252" s="15"/>
    </row>
    <row r="253" customFormat="false" ht="15" hidden="false" customHeight="false" outlineLevel="0" collapsed="false">
      <c r="A253" s="15"/>
      <c r="B253" s="14"/>
      <c r="C253" s="18"/>
      <c r="D253" s="15"/>
      <c r="E253" s="15"/>
      <c r="F253" s="15"/>
      <c r="G253" s="16" t="str">
        <f aca="false">IF(F253="","",IFERROR(INDEX(Lists!$M$2:$M$13,MATCH(F253,Lists!$L$2:$L$13,0)),"Unknown code"))</f>
        <v/>
      </c>
      <c r="H253" s="15"/>
      <c r="I253" s="20"/>
      <c r="J253" s="20"/>
      <c r="K253" s="15"/>
      <c r="L253" s="15"/>
    </row>
    <row r="254" customFormat="false" ht="15" hidden="false" customHeight="false" outlineLevel="0" collapsed="false">
      <c r="A254" s="15"/>
      <c r="B254" s="14"/>
      <c r="C254" s="18"/>
      <c r="D254" s="15"/>
      <c r="E254" s="15"/>
      <c r="F254" s="15"/>
      <c r="G254" s="16" t="str">
        <f aca="false">IF(F254="","",IFERROR(INDEX(Lists!$M$2:$M$13,MATCH(F254,Lists!$L$2:$L$13,0)),"Unknown code"))</f>
        <v/>
      </c>
      <c r="H254" s="15"/>
      <c r="I254" s="20"/>
      <c r="J254" s="20"/>
      <c r="K254" s="15"/>
      <c r="L254" s="15"/>
    </row>
    <row r="255" customFormat="false" ht="15" hidden="false" customHeight="false" outlineLevel="0" collapsed="false">
      <c r="A255" s="15"/>
      <c r="B255" s="14"/>
      <c r="C255" s="18"/>
      <c r="D255" s="15"/>
      <c r="E255" s="15"/>
      <c r="F255" s="15"/>
      <c r="G255" s="16" t="str">
        <f aca="false">IF(F255="","",IFERROR(INDEX(Lists!$M$2:$M$13,MATCH(F255,Lists!$L$2:$L$13,0)),"Unknown code"))</f>
        <v/>
      </c>
      <c r="H255" s="15"/>
      <c r="I255" s="20"/>
      <c r="J255" s="20"/>
      <c r="K255" s="15"/>
      <c r="L255" s="15"/>
    </row>
    <row r="256" customFormat="false" ht="15" hidden="false" customHeight="false" outlineLevel="0" collapsed="false">
      <c r="A256" s="15"/>
      <c r="B256" s="14"/>
      <c r="C256" s="18"/>
      <c r="D256" s="15"/>
      <c r="E256" s="15"/>
      <c r="F256" s="15"/>
      <c r="G256" s="16" t="str">
        <f aca="false">IF(F256="","",IFERROR(INDEX(Lists!$M$2:$M$13,MATCH(F256,Lists!$L$2:$L$13,0)),"Unknown code"))</f>
        <v/>
      </c>
      <c r="H256" s="15"/>
      <c r="I256" s="20"/>
      <c r="J256" s="20"/>
      <c r="K256" s="15"/>
      <c r="L256" s="15"/>
    </row>
    <row r="257" customFormat="false" ht="15" hidden="false" customHeight="false" outlineLevel="0" collapsed="false">
      <c r="A257" s="15"/>
      <c r="B257" s="14"/>
      <c r="C257" s="18"/>
      <c r="D257" s="15"/>
      <c r="E257" s="15"/>
      <c r="F257" s="15"/>
      <c r="G257" s="16" t="str">
        <f aca="false">IF(F257="","",IFERROR(INDEX(Lists!$M$2:$M$13,MATCH(F257,Lists!$L$2:$L$13,0)),"Unknown code"))</f>
        <v/>
      </c>
      <c r="H257" s="15"/>
      <c r="I257" s="20"/>
      <c r="J257" s="20"/>
      <c r="K257" s="15"/>
      <c r="L257" s="15"/>
    </row>
    <row r="258" customFormat="false" ht="15" hidden="false" customHeight="false" outlineLevel="0" collapsed="false">
      <c r="A258" s="15"/>
      <c r="B258" s="14"/>
      <c r="C258" s="18"/>
      <c r="D258" s="15"/>
      <c r="E258" s="15"/>
      <c r="F258" s="15"/>
      <c r="G258" s="16" t="str">
        <f aca="false">IF(F258="","",IFERROR(INDEX(Lists!$M$2:$M$13,MATCH(F258,Lists!$L$2:$L$13,0)),"Unknown code"))</f>
        <v/>
      </c>
      <c r="H258" s="15"/>
      <c r="I258" s="20"/>
      <c r="J258" s="20"/>
      <c r="K258" s="15"/>
      <c r="L258" s="15"/>
    </row>
    <row r="259" customFormat="false" ht="15" hidden="false" customHeight="false" outlineLevel="0" collapsed="false">
      <c r="A259" s="15"/>
      <c r="B259" s="14"/>
      <c r="C259" s="18"/>
      <c r="D259" s="15"/>
      <c r="E259" s="15"/>
      <c r="F259" s="15"/>
      <c r="G259" s="16" t="str">
        <f aca="false">IF(F259="","",IFERROR(INDEX(Lists!$M$2:$M$13,MATCH(F259,Lists!$L$2:$L$13,0)),"Unknown code"))</f>
        <v/>
      </c>
      <c r="H259" s="15"/>
      <c r="I259" s="20"/>
      <c r="J259" s="20"/>
      <c r="K259" s="15"/>
      <c r="L259" s="15"/>
    </row>
    <row r="260" customFormat="false" ht="15" hidden="false" customHeight="false" outlineLevel="0" collapsed="false">
      <c r="A260" s="15"/>
      <c r="B260" s="14"/>
      <c r="C260" s="18"/>
      <c r="D260" s="15"/>
      <c r="E260" s="15"/>
      <c r="F260" s="15"/>
      <c r="G260" s="16" t="str">
        <f aca="false">IF(F260="","",IFERROR(INDEX(Lists!$M$2:$M$13,MATCH(F260,Lists!$L$2:$L$13,0)),"Unknown code"))</f>
        <v/>
      </c>
      <c r="H260" s="15"/>
      <c r="I260" s="20"/>
      <c r="J260" s="20"/>
      <c r="K260" s="15"/>
      <c r="L260" s="15"/>
    </row>
    <row r="261" customFormat="false" ht="15" hidden="false" customHeight="false" outlineLevel="0" collapsed="false">
      <c r="A261" s="15"/>
      <c r="B261" s="14"/>
      <c r="C261" s="18"/>
      <c r="D261" s="15"/>
      <c r="E261" s="15"/>
      <c r="F261" s="15"/>
      <c r="G261" s="16" t="str">
        <f aca="false">IF(F261="","",IFERROR(INDEX(Lists!$M$2:$M$13,MATCH(F261,Lists!$L$2:$L$13,0)),"Unknown code"))</f>
        <v/>
      </c>
      <c r="H261" s="15"/>
      <c r="I261" s="20"/>
      <c r="J261" s="20"/>
      <c r="K261" s="15"/>
      <c r="L261" s="15"/>
    </row>
    <row r="262" customFormat="false" ht="15" hidden="false" customHeight="false" outlineLevel="0" collapsed="false">
      <c r="A262" s="15"/>
      <c r="B262" s="14"/>
      <c r="C262" s="18"/>
      <c r="D262" s="15"/>
      <c r="E262" s="15"/>
      <c r="F262" s="15"/>
      <c r="G262" s="16" t="str">
        <f aca="false">IF(F262="","",IFERROR(INDEX(Lists!$M$2:$M$13,MATCH(F262,Lists!$L$2:$L$13,0)),"Unknown code"))</f>
        <v/>
      </c>
      <c r="H262" s="15"/>
      <c r="I262" s="20"/>
      <c r="J262" s="20"/>
      <c r="K262" s="15"/>
      <c r="L262" s="15"/>
    </row>
    <row r="263" customFormat="false" ht="15" hidden="false" customHeight="false" outlineLevel="0" collapsed="false">
      <c r="A263" s="15"/>
      <c r="B263" s="14"/>
      <c r="C263" s="18"/>
      <c r="D263" s="15"/>
      <c r="E263" s="15"/>
      <c r="F263" s="15"/>
      <c r="G263" s="16" t="str">
        <f aca="false">IF(F263="","",IFERROR(INDEX(Lists!$M$2:$M$13,MATCH(F263,Lists!$L$2:$L$13,0)),"Unknown code"))</f>
        <v/>
      </c>
      <c r="H263" s="15"/>
      <c r="I263" s="20"/>
      <c r="J263" s="20"/>
      <c r="K263" s="15"/>
      <c r="L263" s="15"/>
    </row>
    <row r="264" customFormat="false" ht="15" hidden="false" customHeight="false" outlineLevel="0" collapsed="false">
      <c r="A264" s="15"/>
      <c r="B264" s="14"/>
      <c r="C264" s="18"/>
      <c r="D264" s="15"/>
      <c r="E264" s="15"/>
      <c r="F264" s="15"/>
      <c r="G264" s="16" t="str">
        <f aca="false">IF(F264="","",IFERROR(INDEX(Lists!$M$2:$M$13,MATCH(F264,Lists!$L$2:$L$13,0)),"Unknown code"))</f>
        <v/>
      </c>
      <c r="H264" s="15"/>
      <c r="I264" s="20"/>
      <c r="J264" s="20"/>
      <c r="K264" s="15"/>
      <c r="L264" s="15"/>
    </row>
    <row r="265" customFormat="false" ht="15" hidden="false" customHeight="false" outlineLevel="0" collapsed="false">
      <c r="A265" s="15"/>
      <c r="B265" s="14"/>
      <c r="C265" s="18"/>
      <c r="D265" s="15"/>
      <c r="E265" s="15"/>
      <c r="F265" s="15"/>
      <c r="G265" s="16" t="str">
        <f aca="false">IF(F265="","",IFERROR(INDEX(Lists!$M$2:$M$13,MATCH(F265,Lists!$L$2:$L$13,0)),"Unknown code"))</f>
        <v/>
      </c>
      <c r="H265" s="15"/>
      <c r="I265" s="20"/>
      <c r="J265" s="20"/>
      <c r="K265" s="15"/>
      <c r="L265" s="15"/>
    </row>
    <row r="266" customFormat="false" ht="15" hidden="false" customHeight="false" outlineLevel="0" collapsed="false">
      <c r="A266" s="15"/>
      <c r="B266" s="14"/>
      <c r="C266" s="18"/>
      <c r="D266" s="15"/>
      <c r="E266" s="15"/>
      <c r="F266" s="15"/>
      <c r="G266" s="16" t="str">
        <f aca="false">IF(F266="","",IFERROR(INDEX(Lists!$M$2:$M$13,MATCH(F266,Lists!$L$2:$L$13,0)),"Unknown code"))</f>
        <v/>
      </c>
      <c r="H266" s="15"/>
      <c r="I266" s="20"/>
      <c r="J266" s="20"/>
      <c r="K266" s="15"/>
      <c r="L266" s="15"/>
    </row>
    <row r="267" customFormat="false" ht="15" hidden="false" customHeight="false" outlineLevel="0" collapsed="false">
      <c r="A267" s="15"/>
      <c r="B267" s="14"/>
      <c r="C267" s="18"/>
      <c r="D267" s="15"/>
      <c r="E267" s="15"/>
      <c r="F267" s="15"/>
      <c r="G267" s="16" t="str">
        <f aca="false">IF(F267="","",IFERROR(INDEX(Lists!$M$2:$M$13,MATCH(F267,Lists!$L$2:$L$13,0)),"Unknown code"))</f>
        <v/>
      </c>
      <c r="H267" s="15"/>
      <c r="I267" s="20"/>
      <c r="J267" s="20"/>
      <c r="K267" s="15"/>
      <c r="L267" s="15"/>
    </row>
    <row r="268" customFormat="false" ht="15" hidden="false" customHeight="false" outlineLevel="0" collapsed="false">
      <c r="A268" s="15"/>
      <c r="B268" s="14"/>
      <c r="C268" s="18"/>
      <c r="D268" s="15"/>
      <c r="E268" s="15"/>
      <c r="F268" s="15"/>
      <c r="G268" s="16" t="str">
        <f aca="false">IF(F268="","",IFERROR(INDEX(Lists!$M$2:$M$13,MATCH(F268,Lists!$L$2:$L$13,0)),"Unknown code"))</f>
        <v/>
      </c>
      <c r="H268" s="15"/>
      <c r="I268" s="20"/>
      <c r="J268" s="20"/>
      <c r="K268" s="15"/>
      <c r="L268" s="15"/>
    </row>
    <row r="269" customFormat="false" ht="15" hidden="false" customHeight="false" outlineLevel="0" collapsed="false">
      <c r="A269" s="15"/>
      <c r="B269" s="14"/>
      <c r="C269" s="18"/>
      <c r="D269" s="15"/>
      <c r="E269" s="15"/>
      <c r="F269" s="15"/>
      <c r="G269" s="16" t="str">
        <f aca="false">IF(F269="","",IFERROR(INDEX(Lists!$M$2:$M$13,MATCH(F269,Lists!$L$2:$L$13,0)),"Unknown code"))</f>
        <v/>
      </c>
      <c r="H269" s="15"/>
      <c r="I269" s="20"/>
      <c r="J269" s="20"/>
      <c r="K269" s="15"/>
      <c r="L269" s="15"/>
    </row>
    <row r="270" customFormat="false" ht="15" hidden="false" customHeight="false" outlineLevel="0" collapsed="false">
      <c r="A270" s="15"/>
      <c r="B270" s="14"/>
      <c r="C270" s="18"/>
      <c r="D270" s="15"/>
      <c r="E270" s="15"/>
      <c r="F270" s="15"/>
      <c r="G270" s="16" t="str">
        <f aca="false">IF(F270="","",IFERROR(INDEX(Lists!$M$2:$M$13,MATCH(F270,Lists!$L$2:$L$13,0)),"Unknown code"))</f>
        <v/>
      </c>
      <c r="H270" s="15"/>
      <c r="I270" s="20"/>
      <c r="J270" s="20"/>
      <c r="K270" s="15"/>
      <c r="L270" s="15"/>
    </row>
    <row r="271" customFormat="false" ht="15" hidden="false" customHeight="false" outlineLevel="0" collapsed="false">
      <c r="A271" s="15"/>
      <c r="B271" s="14"/>
      <c r="C271" s="18"/>
      <c r="D271" s="15"/>
      <c r="E271" s="15"/>
      <c r="F271" s="15"/>
      <c r="G271" s="16" t="str">
        <f aca="false">IF(F271="","",IFERROR(INDEX(Lists!$M$2:$M$13,MATCH(F271,Lists!$L$2:$L$13,0)),"Unknown code"))</f>
        <v/>
      </c>
      <c r="H271" s="15"/>
      <c r="I271" s="20"/>
      <c r="J271" s="20"/>
      <c r="K271" s="15"/>
      <c r="L271" s="15"/>
    </row>
    <row r="272" customFormat="false" ht="15" hidden="false" customHeight="false" outlineLevel="0" collapsed="false">
      <c r="A272" s="15"/>
      <c r="B272" s="14"/>
      <c r="C272" s="18"/>
      <c r="D272" s="15"/>
      <c r="E272" s="15"/>
      <c r="F272" s="15"/>
      <c r="G272" s="16" t="str">
        <f aca="false">IF(F272="","",IFERROR(INDEX(Lists!$M$2:$M$13,MATCH(F272,Lists!$L$2:$L$13,0)),"Unknown code"))</f>
        <v/>
      </c>
      <c r="H272" s="15"/>
      <c r="I272" s="20"/>
      <c r="J272" s="20"/>
      <c r="K272" s="15"/>
      <c r="L272" s="15"/>
    </row>
    <row r="273" customFormat="false" ht="15" hidden="false" customHeight="false" outlineLevel="0" collapsed="false">
      <c r="A273" s="15"/>
      <c r="B273" s="14"/>
      <c r="C273" s="18"/>
      <c r="D273" s="15"/>
      <c r="E273" s="15"/>
      <c r="F273" s="15"/>
      <c r="G273" s="16" t="str">
        <f aca="false">IF(F273="","",IFERROR(INDEX(Lists!$M$2:$M$13,MATCH(F273,Lists!$L$2:$L$13,0)),"Unknown code"))</f>
        <v/>
      </c>
      <c r="H273" s="15"/>
      <c r="I273" s="20"/>
      <c r="J273" s="20"/>
      <c r="K273" s="15"/>
      <c r="L273" s="15"/>
    </row>
    <row r="274" customFormat="false" ht="15" hidden="false" customHeight="false" outlineLevel="0" collapsed="false">
      <c r="A274" s="15"/>
      <c r="B274" s="14"/>
      <c r="C274" s="18"/>
      <c r="D274" s="15"/>
      <c r="E274" s="15"/>
      <c r="F274" s="15"/>
      <c r="G274" s="16" t="str">
        <f aca="false">IF(F274="","",IFERROR(INDEX(Lists!$M$2:$M$13,MATCH(F274,Lists!$L$2:$L$13,0)),"Unknown code"))</f>
        <v/>
      </c>
      <c r="H274" s="15"/>
      <c r="I274" s="20"/>
      <c r="J274" s="20"/>
      <c r="K274" s="15"/>
      <c r="L274" s="15"/>
    </row>
    <row r="275" customFormat="false" ht="15" hidden="false" customHeight="false" outlineLevel="0" collapsed="false">
      <c r="A275" s="15"/>
      <c r="B275" s="14"/>
      <c r="C275" s="18"/>
      <c r="D275" s="15"/>
      <c r="E275" s="15"/>
      <c r="F275" s="15"/>
      <c r="G275" s="16" t="str">
        <f aca="false">IF(F275="","",IFERROR(INDEX(Lists!$M$2:$M$13,MATCH(F275,Lists!$L$2:$L$13,0)),"Unknown code"))</f>
        <v/>
      </c>
      <c r="H275" s="15"/>
      <c r="I275" s="20"/>
      <c r="J275" s="20"/>
      <c r="K275" s="15"/>
      <c r="L275" s="15"/>
    </row>
    <row r="276" customFormat="false" ht="15" hidden="false" customHeight="false" outlineLevel="0" collapsed="false">
      <c r="A276" s="15"/>
      <c r="B276" s="14"/>
      <c r="C276" s="18"/>
      <c r="D276" s="15"/>
      <c r="E276" s="15"/>
      <c r="F276" s="15"/>
      <c r="G276" s="16" t="str">
        <f aca="false">IF(F276="","",IFERROR(INDEX(Lists!$M$2:$M$13,MATCH(F276,Lists!$L$2:$L$13,0)),"Unknown code"))</f>
        <v/>
      </c>
      <c r="H276" s="15"/>
      <c r="I276" s="20"/>
      <c r="J276" s="20"/>
      <c r="K276" s="15"/>
      <c r="L276" s="15"/>
    </row>
    <row r="277" customFormat="false" ht="15" hidden="false" customHeight="false" outlineLevel="0" collapsed="false">
      <c r="A277" s="15"/>
      <c r="B277" s="14"/>
      <c r="C277" s="18"/>
      <c r="D277" s="15"/>
      <c r="E277" s="15"/>
      <c r="F277" s="15"/>
      <c r="G277" s="16" t="str">
        <f aca="false">IF(F277="","",IFERROR(INDEX(Lists!$M$2:$M$13,MATCH(F277,Lists!$L$2:$L$13,0)),"Unknown code"))</f>
        <v/>
      </c>
      <c r="H277" s="15"/>
      <c r="I277" s="20"/>
      <c r="J277" s="20"/>
      <c r="K277" s="15"/>
      <c r="L277" s="15"/>
    </row>
    <row r="278" customFormat="false" ht="15" hidden="false" customHeight="false" outlineLevel="0" collapsed="false">
      <c r="A278" s="15"/>
      <c r="B278" s="14"/>
      <c r="C278" s="18"/>
      <c r="D278" s="15"/>
      <c r="E278" s="15"/>
      <c r="F278" s="15"/>
      <c r="G278" s="16" t="str">
        <f aca="false">IF(F278="","",IFERROR(INDEX(Lists!$M$2:$M$13,MATCH(F278,Lists!$L$2:$L$13,0)),"Unknown code"))</f>
        <v/>
      </c>
      <c r="H278" s="15"/>
      <c r="I278" s="20"/>
      <c r="J278" s="20"/>
      <c r="K278" s="15"/>
      <c r="L278" s="15"/>
    </row>
    <row r="279" customFormat="false" ht="15" hidden="false" customHeight="false" outlineLevel="0" collapsed="false">
      <c r="A279" s="15"/>
      <c r="B279" s="14"/>
      <c r="C279" s="18"/>
      <c r="D279" s="15"/>
      <c r="E279" s="15"/>
      <c r="F279" s="15"/>
      <c r="G279" s="16" t="str">
        <f aca="false">IF(F279="","",IFERROR(INDEX(Lists!$M$2:$M$13,MATCH(F279,Lists!$L$2:$L$13,0)),"Unknown code"))</f>
        <v/>
      </c>
      <c r="H279" s="15"/>
      <c r="I279" s="20"/>
      <c r="J279" s="20"/>
      <c r="K279" s="15"/>
      <c r="L279" s="15"/>
    </row>
    <row r="280" customFormat="false" ht="15" hidden="false" customHeight="false" outlineLevel="0" collapsed="false">
      <c r="A280" s="15"/>
      <c r="B280" s="14"/>
      <c r="C280" s="18"/>
      <c r="D280" s="15"/>
      <c r="E280" s="15"/>
      <c r="F280" s="15"/>
      <c r="G280" s="16" t="str">
        <f aca="false">IF(F280="","",IFERROR(INDEX(Lists!$M$2:$M$13,MATCH(F280,Lists!$L$2:$L$13,0)),"Unknown code"))</f>
        <v/>
      </c>
      <c r="H280" s="15"/>
      <c r="I280" s="20"/>
      <c r="J280" s="20"/>
      <c r="K280" s="15"/>
      <c r="L280" s="15"/>
    </row>
    <row r="281" customFormat="false" ht="15" hidden="false" customHeight="false" outlineLevel="0" collapsed="false">
      <c r="A281" s="15"/>
      <c r="B281" s="14"/>
      <c r="C281" s="18"/>
      <c r="D281" s="15"/>
      <c r="E281" s="15"/>
      <c r="F281" s="15"/>
      <c r="G281" s="16" t="str">
        <f aca="false">IF(F281="","",IFERROR(INDEX(Lists!$M$2:$M$13,MATCH(F281,Lists!$L$2:$L$13,0)),"Unknown code"))</f>
        <v/>
      </c>
      <c r="H281" s="15"/>
      <c r="I281" s="20"/>
      <c r="J281" s="20"/>
      <c r="K281" s="15"/>
      <c r="L281" s="15"/>
    </row>
    <row r="282" customFormat="false" ht="15" hidden="false" customHeight="false" outlineLevel="0" collapsed="false">
      <c r="A282" s="15"/>
      <c r="B282" s="14"/>
      <c r="C282" s="18"/>
      <c r="D282" s="15"/>
      <c r="E282" s="15"/>
      <c r="F282" s="15"/>
      <c r="G282" s="16" t="str">
        <f aca="false">IF(F282="","",IFERROR(INDEX(Lists!$M$2:$M$13,MATCH(F282,Lists!$L$2:$L$13,0)),"Unknown code"))</f>
        <v/>
      </c>
      <c r="H282" s="15"/>
      <c r="I282" s="20"/>
      <c r="J282" s="20"/>
      <c r="K282" s="15"/>
      <c r="L282" s="15"/>
    </row>
    <row r="283" customFormat="false" ht="15" hidden="false" customHeight="false" outlineLevel="0" collapsed="false">
      <c r="A283" s="15"/>
      <c r="B283" s="14"/>
      <c r="C283" s="18"/>
      <c r="D283" s="15"/>
      <c r="E283" s="15"/>
      <c r="F283" s="15"/>
      <c r="G283" s="16" t="str">
        <f aca="false">IF(F283="","",IFERROR(INDEX(Lists!$M$2:$M$13,MATCH(F283,Lists!$L$2:$L$13,0)),"Unknown code"))</f>
        <v/>
      </c>
      <c r="H283" s="15"/>
      <c r="I283" s="20"/>
      <c r="J283" s="20"/>
      <c r="K283" s="15"/>
      <c r="L283" s="15"/>
    </row>
    <row r="284" customFormat="false" ht="15" hidden="false" customHeight="false" outlineLevel="0" collapsed="false">
      <c r="A284" s="15"/>
      <c r="B284" s="14"/>
      <c r="C284" s="18"/>
      <c r="D284" s="15"/>
      <c r="E284" s="15"/>
      <c r="F284" s="15"/>
      <c r="G284" s="16" t="str">
        <f aca="false">IF(F284="","",IFERROR(INDEX(Lists!$M$2:$M$13,MATCH(F284,Lists!$L$2:$L$13,0)),"Unknown code"))</f>
        <v/>
      </c>
      <c r="H284" s="15"/>
      <c r="I284" s="20"/>
      <c r="J284" s="20"/>
      <c r="K284" s="15"/>
      <c r="L284" s="15"/>
    </row>
    <row r="285" customFormat="false" ht="15" hidden="false" customHeight="false" outlineLevel="0" collapsed="false">
      <c r="A285" s="15"/>
      <c r="B285" s="14"/>
      <c r="C285" s="18"/>
      <c r="D285" s="15"/>
      <c r="E285" s="15"/>
      <c r="F285" s="15"/>
      <c r="G285" s="16" t="str">
        <f aca="false">IF(F285="","",IFERROR(INDEX(Lists!$M$2:$M$13,MATCH(F285,Lists!$L$2:$L$13,0)),"Unknown code"))</f>
        <v/>
      </c>
      <c r="H285" s="15"/>
      <c r="I285" s="20"/>
      <c r="J285" s="20"/>
      <c r="K285" s="15"/>
      <c r="L285" s="15"/>
    </row>
    <row r="286" customFormat="false" ht="15" hidden="false" customHeight="false" outlineLevel="0" collapsed="false">
      <c r="A286" s="15"/>
      <c r="B286" s="14"/>
      <c r="C286" s="18"/>
      <c r="D286" s="15"/>
      <c r="E286" s="15"/>
      <c r="F286" s="15"/>
      <c r="G286" s="16" t="str">
        <f aca="false">IF(F286="","",IFERROR(INDEX(Lists!$M$2:$M$13,MATCH(F286,Lists!$L$2:$L$13,0)),"Unknown code"))</f>
        <v/>
      </c>
      <c r="H286" s="15"/>
      <c r="I286" s="20"/>
      <c r="J286" s="20"/>
      <c r="K286" s="15"/>
      <c r="L286" s="15"/>
    </row>
    <row r="287" customFormat="false" ht="15" hidden="false" customHeight="false" outlineLevel="0" collapsed="false">
      <c r="A287" s="15"/>
      <c r="B287" s="14"/>
      <c r="C287" s="18"/>
      <c r="D287" s="15"/>
      <c r="E287" s="15"/>
      <c r="F287" s="15"/>
      <c r="G287" s="16" t="str">
        <f aca="false">IF(F287="","",IFERROR(INDEX(Lists!$M$2:$M$13,MATCH(F287,Lists!$L$2:$L$13,0)),"Unknown code"))</f>
        <v/>
      </c>
      <c r="H287" s="15"/>
      <c r="I287" s="20"/>
      <c r="J287" s="20"/>
      <c r="K287" s="15"/>
      <c r="L287" s="15"/>
    </row>
    <row r="288" customFormat="false" ht="15" hidden="false" customHeight="false" outlineLevel="0" collapsed="false">
      <c r="A288" s="15"/>
      <c r="B288" s="14"/>
      <c r="C288" s="18"/>
      <c r="D288" s="15"/>
      <c r="E288" s="15"/>
      <c r="F288" s="15"/>
      <c r="G288" s="16" t="str">
        <f aca="false">IF(F288="","",IFERROR(INDEX(Lists!$M$2:$M$13,MATCH(F288,Lists!$L$2:$L$13,0)),"Unknown code"))</f>
        <v/>
      </c>
      <c r="H288" s="15"/>
      <c r="I288" s="20"/>
      <c r="J288" s="20"/>
      <c r="K288" s="15"/>
      <c r="L288" s="15"/>
    </row>
    <row r="289" customFormat="false" ht="15" hidden="false" customHeight="false" outlineLevel="0" collapsed="false">
      <c r="A289" s="15"/>
      <c r="B289" s="14"/>
      <c r="C289" s="18"/>
      <c r="D289" s="15"/>
      <c r="E289" s="15"/>
      <c r="F289" s="15"/>
      <c r="G289" s="16" t="str">
        <f aca="false">IF(F289="","",IFERROR(INDEX(Lists!$M$2:$M$13,MATCH(F289,Lists!$L$2:$L$13,0)),"Unknown code"))</f>
        <v/>
      </c>
      <c r="H289" s="15"/>
      <c r="I289" s="20"/>
      <c r="J289" s="20"/>
      <c r="K289" s="15"/>
      <c r="L289" s="15"/>
    </row>
    <row r="290" customFormat="false" ht="15" hidden="false" customHeight="false" outlineLevel="0" collapsed="false">
      <c r="A290" s="15"/>
      <c r="B290" s="14"/>
      <c r="C290" s="18"/>
      <c r="D290" s="15"/>
      <c r="E290" s="15"/>
      <c r="F290" s="15"/>
      <c r="G290" s="16" t="str">
        <f aca="false">IF(F290="","",IFERROR(INDEX(Lists!$M$2:$M$13,MATCH(F290,Lists!$L$2:$L$13,0)),"Unknown code"))</f>
        <v/>
      </c>
      <c r="H290" s="15"/>
      <c r="I290" s="20"/>
      <c r="J290" s="20"/>
      <c r="K290" s="15"/>
      <c r="L290" s="15"/>
    </row>
    <row r="291" customFormat="false" ht="15" hidden="false" customHeight="false" outlineLevel="0" collapsed="false">
      <c r="A291" s="15"/>
      <c r="B291" s="14"/>
      <c r="C291" s="18"/>
      <c r="D291" s="15"/>
      <c r="E291" s="15"/>
      <c r="F291" s="15"/>
      <c r="G291" s="16" t="str">
        <f aca="false">IF(F291="","",IFERROR(INDEX(Lists!$M$2:$M$13,MATCH(F291,Lists!$L$2:$L$13,0)),"Unknown code"))</f>
        <v/>
      </c>
      <c r="H291" s="15"/>
      <c r="I291" s="20"/>
      <c r="J291" s="20"/>
      <c r="K291" s="15"/>
      <c r="L291" s="15"/>
    </row>
    <row r="292" customFormat="false" ht="15" hidden="false" customHeight="false" outlineLevel="0" collapsed="false">
      <c r="A292" s="15"/>
      <c r="B292" s="14"/>
      <c r="C292" s="18"/>
      <c r="D292" s="15"/>
      <c r="E292" s="15"/>
      <c r="F292" s="15"/>
      <c r="G292" s="16" t="str">
        <f aca="false">IF(F292="","",IFERROR(INDEX(Lists!$M$2:$M$13,MATCH(F292,Lists!$L$2:$L$13,0)),"Unknown code"))</f>
        <v/>
      </c>
      <c r="H292" s="15"/>
      <c r="I292" s="20"/>
      <c r="J292" s="20"/>
      <c r="K292" s="15"/>
      <c r="L292" s="15"/>
    </row>
    <row r="293" customFormat="false" ht="15" hidden="false" customHeight="false" outlineLevel="0" collapsed="false">
      <c r="A293" s="15"/>
      <c r="B293" s="14"/>
      <c r="C293" s="18"/>
      <c r="D293" s="15"/>
      <c r="E293" s="15"/>
      <c r="F293" s="15"/>
      <c r="G293" s="16" t="str">
        <f aca="false">IF(F293="","",IFERROR(INDEX(Lists!$M$2:$M$13,MATCH(F293,Lists!$L$2:$L$13,0)),"Unknown code"))</f>
        <v/>
      </c>
      <c r="H293" s="15"/>
      <c r="I293" s="20"/>
      <c r="J293" s="20"/>
      <c r="K293" s="15"/>
      <c r="L293" s="15"/>
    </row>
    <row r="294" customFormat="false" ht="15" hidden="false" customHeight="false" outlineLevel="0" collapsed="false">
      <c r="A294" s="15"/>
      <c r="B294" s="14"/>
      <c r="C294" s="18"/>
      <c r="D294" s="15"/>
      <c r="E294" s="15"/>
      <c r="F294" s="15"/>
      <c r="G294" s="16" t="str">
        <f aca="false">IF(F294="","",IFERROR(INDEX(Lists!$M$2:$M$13,MATCH(F294,Lists!$L$2:$L$13,0)),"Unknown code"))</f>
        <v/>
      </c>
      <c r="H294" s="15"/>
      <c r="I294" s="20"/>
      <c r="J294" s="20"/>
      <c r="K294" s="15"/>
      <c r="L294" s="15"/>
    </row>
    <row r="295" customFormat="false" ht="15" hidden="false" customHeight="false" outlineLevel="0" collapsed="false">
      <c r="A295" s="15"/>
      <c r="B295" s="14"/>
      <c r="C295" s="18"/>
      <c r="D295" s="15"/>
      <c r="E295" s="15"/>
      <c r="F295" s="15"/>
      <c r="G295" s="16" t="str">
        <f aca="false">IF(F295="","",IFERROR(INDEX(Lists!$M$2:$M$13,MATCH(F295,Lists!$L$2:$L$13,0)),"Unknown code"))</f>
        <v/>
      </c>
      <c r="H295" s="15"/>
      <c r="I295" s="20"/>
      <c r="J295" s="20"/>
      <c r="K295" s="15"/>
      <c r="L295" s="15"/>
    </row>
    <row r="296" customFormat="false" ht="15" hidden="false" customHeight="false" outlineLevel="0" collapsed="false">
      <c r="A296" s="15"/>
      <c r="B296" s="14"/>
      <c r="C296" s="18"/>
      <c r="D296" s="15"/>
      <c r="E296" s="15"/>
      <c r="F296" s="15"/>
      <c r="G296" s="16" t="str">
        <f aca="false">IF(F296="","",IFERROR(INDEX(Lists!$M$2:$M$13,MATCH(F296,Lists!$L$2:$L$13,0)),"Unknown code"))</f>
        <v/>
      </c>
      <c r="H296" s="15"/>
      <c r="I296" s="20"/>
      <c r="J296" s="20"/>
      <c r="K296" s="15"/>
      <c r="L296" s="15"/>
    </row>
    <row r="297" customFormat="false" ht="15" hidden="false" customHeight="false" outlineLevel="0" collapsed="false">
      <c r="A297" s="15"/>
      <c r="B297" s="14"/>
      <c r="C297" s="18"/>
      <c r="D297" s="15"/>
      <c r="E297" s="15"/>
      <c r="F297" s="15"/>
      <c r="G297" s="16" t="str">
        <f aca="false">IF(F297="","",IFERROR(INDEX(Lists!$M$2:$M$13,MATCH(F297,Lists!$L$2:$L$13,0)),"Unknown code"))</f>
        <v/>
      </c>
      <c r="H297" s="15"/>
      <c r="I297" s="20"/>
      <c r="J297" s="20"/>
      <c r="K297" s="15"/>
      <c r="L297" s="15"/>
    </row>
    <row r="298" customFormat="false" ht="15" hidden="false" customHeight="false" outlineLevel="0" collapsed="false">
      <c r="A298" s="15"/>
      <c r="B298" s="14"/>
      <c r="C298" s="18"/>
      <c r="D298" s="15"/>
      <c r="E298" s="15"/>
      <c r="F298" s="15"/>
      <c r="G298" s="16" t="str">
        <f aca="false">IF(F298="","",IFERROR(INDEX(Lists!$M$2:$M$13,MATCH(F298,Lists!$L$2:$L$13,0)),"Unknown code"))</f>
        <v/>
      </c>
      <c r="H298" s="15"/>
      <c r="I298" s="20"/>
      <c r="J298" s="20"/>
      <c r="K298" s="15"/>
      <c r="L298" s="15"/>
    </row>
    <row r="299" customFormat="false" ht="15" hidden="false" customHeight="false" outlineLevel="0" collapsed="false">
      <c r="A299" s="15"/>
      <c r="B299" s="14"/>
      <c r="C299" s="18"/>
      <c r="D299" s="15"/>
      <c r="E299" s="15"/>
      <c r="F299" s="15"/>
      <c r="G299" s="16" t="str">
        <f aca="false">IF(F299="","",IFERROR(INDEX(Lists!$M$2:$M$13,MATCH(F299,Lists!$L$2:$L$13,0)),"Unknown code"))</f>
        <v/>
      </c>
      <c r="H299" s="15"/>
      <c r="I299" s="20"/>
      <c r="J299" s="20"/>
      <c r="K299" s="15"/>
      <c r="L299" s="15"/>
    </row>
    <row r="300" customFormat="false" ht="15" hidden="false" customHeight="false" outlineLevel="0" collapsed="false">
      <c r="A300" s="15"/>
      <c r="B300" s="14"/>
      <c r="C300" s="18"/>
      <c r="D300" s="15"/>
      <c r="E300" s="15"/>
      <c r="F300" s="15"/>
      <c r="G300" s="16" t="str">
        <f aca="false">IF(F300="","",IFERROR(INDEX(Lists!$M$2:$M$13,MATCH(F300,Lists!$L$2:$L$13,0)),"Unknown code"))</f>
        <v/>
      </c>
      <c r="H300" s="15"/>
      <c r="I300" s="20"/>
      <c r="J300" s="20"/>
      <c r="K300" s="15"/>
      <c r="L300" s="15"/>
    </row>
    <row r="301" customFormat="false" ht="15" hidden="false" customHeight="false" outlineLevel="0" collapsed="false">
      <c r="A301" s="15"/>
      <c r="B301" s="14"/>
      <c r="C301" s="18"/>
      <c r="D301" s="15"/>
      <c r="E301" s="15"/>
      <c r="F301" s="15"/>
      <c r="G301" s="16" t="str">
        <f aca="false">IF(F301="","",IFERROR(INDEX(Lists!$M$2:$M$13,MATCH(F301,Lists!$L$2:$L$13,0)),"Unknown code"))</f>
        <v/>
      </c>
      <c r="H301" s="15"/>
      <c r="I301" s="20"/>
      <c r="J301" s="20"/>
      <c r="K301" s="15"/>
      <c r="L301" s="15"/>
    </row>
  </sheetData>
  <autoFilter ref="A1:L301"/>
  <conditionalFormatting sqref="H2:H301">
    <cfRule type="cellIs" priority="2" operator="equal" aboveAverage="0" equalAverage="0" bottom="0" percent="0" rank="0" text="" dxfId="12">
      <formula>"High"</formula>
    </cfRule>
  </conditionalFormatting>
  <conditionalFormatting sqref="L2:L301">
    <cfRule type="cellIs" priority="3" operator="equal" aboveAverage="0" equalAverage="0" bottom="0" percent="0" rank="0" text="" dxfId="11">
      <formula>"Open"</formula>
    </cfRule>
  </conditionalFormatting>
  <conditionalFormatting sqref="A2:A301">
    <cfRule type="expression" priority="4" aboveAverage="0" equalAverage="0" bottom="0" percent="0" rank="0" text="" dxfId="14">
      <formula>AND(A2&lt;&gt;"",COUNTIF($A$2:$A$301,A2)&gt;1)</formula>
    </cfRule>
  </conditionalFormatting>
  <dataValidations count="7">
    <dataValidation allowBlank="true" error="Use a route ID that exists in the Routes tab." errorStyle="stop" errorTitle="Not allowed" operator="between" showDropDown="false" showErrorMessage="true" showInputMessage="false" sqref="D2:D301" type="list">
      <formula1>Routes!$A$2:$A$301</formula1>
      <formula2>0</formula2>
    </dataValidation>
    <dataValidation allowBlank="true" error="Use a driver ID that exists in the Drivers tab." errorStyle="stop" errorTitle="Not allowed" operator="between" showDropDown="false" showErrorMessage="true" showInputMessage="false" sqref="E2:E301" type="list">
      <formula1>Drivers!$A$2:$A$301</formula1>
      <formula2>0</formula2>
    </dataValidation>
    <dataValidation allowBlank="true" error="Choose a reason code from the Lists tab." errorStyle="stop" errorTitle="Not allowed" operator="between" showDropDown="false" showErrorMessage="true" showInputMessage="false" sqref="F2:F301" type="list">
      <formula1>Lists!$L$2:$L$13</formula1>
      <formula2>0</formula2>
    </dataValidation>
    <dataValidation allowBlank="true" error="Choose a value from the list." errorStyle="stop" errorTitle="Not allowed" operator="between" showDropDown="false" showErrorMessage="true" showInputMessage="false" sqref="H2:H301" type="list">
      <formula1>Lists!$H$2:$H$4</formula1>
      <formula2>0</formula2>
    </dataValidation>
    <dataValidation allowBlank="true" error="Choose a value from the list." errorStyle="stop" errorTitle="Not allowed" operator="between" showDropDown="false" showErrorMessage="true" showInputMessage="false" sqref="K2:K301" type="list">
      <formula1>Lists!$J$2:$J$3</formula1>
      <formula2>0</formula2>
    </dataValidation>
    <dataValidation allowBlank="true" error="Choose a value from the list." errorStyle="stop" errorTitle="Not allowed" operator="between" showDropDown="false" showErrorMessage="true" showInputMessage="false" sqref="L2:L301" type="list">
      <formula1>Lists!$I$2:$I$3</formula1>
      <formula2>0</formula2>
    </dataValidation>
    <dataValidation allowBlank="true" error="Enter a valid date, for example 2026-10-09." errorStyle="stop" errorTitle="Date needed" operator="greaterThan" showDropDown="false" showErrorMessage="true" showInputMessage="false" sqref="B2:B301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5"/>
    <col collapsed="false" customWidth="true" hidden="false" outlineLevel="0" max="9" min="9" style="0" width="16"/>
  </cols>
  <sheetData>
    <row r="1" customFormat="false" ht="31.5" hidden="false" customHeight="true" outlineLevel="0" collapsed="false">
      <c r="A1" s="7" t="s">
        <v>66</v>
      </c>
      <c r="B1" s="7" t="s">
        <v>113</v>
      </c>
      <c r="C1" s="7" t="s">
        <v>114</v>
      </c>
      <c r="D1" s="7" t="s">
        <v>115</v>
      </c>
      <c r="E1" s="7" t="s">
        <v>116</v>
      </c>
      <c r="F1" s="7" t="s">
        <v>117</v>
      </c>
      <c r="G1" s="7" t="s">
        <v>74</v>
      </c>
      <c r="H1" s="7" t="s">
        <v>118</v>
      </c>
      <c r="I1" s="7" t="s">
        <v>119</v>
      </c>
    </row>
    <row r="2" customFormat="false" ht="15" hidden="false" customHeight="false" outlineLevel="0" collapsed="false">
      <c r="A2" s="10" t="s">
        <v>80</v>
      </c>
      <c r="B2" s="10" t="s">
        <v>120</v>
      </c>
      <c r="C2" s="10" t="s">
        <v>121</v>
      </c>
      <c r="D2" s="10" t="s">
        <v>122</v>
      </c>
      <c r="E2" s="10" t="s">
        <v>123</v>
      </c>
      <c r="F2" s="10" t="s">
        <v>124</v>
      </c>
      <c r="G2" s="10" t="s">
        <v>125</v>
      </c>
      <c r="H2" s="9" t="n">
        <v>46461</v>
      </c>
      <c r="I2" s="10" t="s">
        <v>81</v>
      </c>
    </row>
    <row r="3" customFormat="false" ht="15" hidden="false" customHeight="false" outlineLevel="0" collapsed="false">
      <c r="A3" s="10" t="s">
        <v>84</v>
      </c>
      <c r="B3" s="10" t="s">
        <v>126</v>
      </c>
      <c r="C3" s="10" t="s">
        <v>127</v>
      </c>
      <c r="D3" s="10" t="s">
        <v>122</v>
      </c>
      <c r="E3" s="10" t="s">
        <v>123</v>
      </c>
      <c r="F3" s="10" t="s">
        <v>128</v>
      </c>
      <c r="G3" s="10" t="s">
        <v>125</v>
      </c>
      <c r="H3" s="9" t="n">
        <v>46357</v>
      </c>
      <c r="I3" s="10" t="s">
        <v>85</v>
      </c>
    </row>
    <row r="4" customFormat="false" ht="15" hidden="false" customHeight="false" outlineLevel="0" collapsed="false">
      <c r="A4" s="10" t="s">
        <v>95</v>
      </c>
      <c r="B4" s="10" t="s">
        <v>129</v>
      </c>
      <c r="C4" s="10" t="s">
        <v>130</v>
      </c>
      <c r="D4" s="10" t="s">
        <v>131</v>
      </c>
      <c r="E4" s="10" t="s">
        <v>132</v>
      </c>
      <c r="F4" s="10" t="s">
        <v>124</v>
      </c>
      <c r="G4" s="10" t="s">
        <v>125</v>
      </c>
      <c r="H4" s="9" t="n">
        <v>46619</v>
      </c>
      <c r="I4" s="10" t="s">
        <v>96</v>
      </c>
    </row>
    <row r="5" customFormat="false" ht="15" hidden="false" customHeight="false" outlineLevel="0" collapsed="false">
      <c r="A5" s="10" t="s">
        <v>89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125</v>
      </c>
      <c r="H5" s="9" t="n">
        <v>46397</v>
      </c>
      <c r="I5" s="10" t="s">
        <v>90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4"/>
      <c r="I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4"/>
      <c r="I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4"/>
      <c r="I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4"/>
      <c r="I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4"/>
      <c r="I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4"/>
      <c r="I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4"/>
      <c r="I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4"/>
      <c r="I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4"/>
      <c r="I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4"/>
      <c r="I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4"/>
      <c r="I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4"/>
      <c r="I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4"/>
      <c r="I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4"/>
      <c r="I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4"/>
      <c r="I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4"/>
      <c r="I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4"/>
      <c r="I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4"/>
      <c r="I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4"/>
      <c r="I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4"/>
      <c r="I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4"/>
      <c r="I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4"/>
      <c r="I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4"/>
      <c r="I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4"/>
      <c r="I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4"/>
      <c r="I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4"/>
      <c r="I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4"/>
      <c r="I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4"/>
      <c r="I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4"/>
      <c r="I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4"/>
      <c r="I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4"/>
      <c r="I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4"/>
      <c r="I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4"/>
      <c r="I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4"/>
      <c r="I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4"/>
      <c r="I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4"/>
      <c r="I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4"/>
      <c r="I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4"/>
      <c r="I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4"/>
      <c r="I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4"/>
      <c r="I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4"/>
      <c r="I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4"/>
      <c r="I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4"/>
      <c r="I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4"/>
      <c r="I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4"/>
      <c r="I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4"/>
      <c r="I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4"/>
      <c r="I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4"/>
      <c r="I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4"/>
      <c r="I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4"/>
      <c r="I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4"/>
      <c r="I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4"/>
      <c r="I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4"/>
      <c r="I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4"/>
      <c r="I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4"/>
      <c r="I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4"/>
      <c r="I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4"/>
      <c r="I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4"/>
      <c r="I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4"/>
      <c r="I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4"/>
      <c r="I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4"/>
      <c r="I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4"/>
      <c r="I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4"/>
      <c r="I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4"/>
      <c r="I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4"/>
      <c r="I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4"/>
      <c r="I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4"/>
      <c r="I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4"/>
      <c r="I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4"/>
      <c r="I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4"/>
      <c r="I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4"/>
      <c r="I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4"/>
      <c r="I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4"/>
      <c r="I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4"/>
      <c r="I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4"/>
      <c r="I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4"/>
      <c r="I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4"/>
      <c r="I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4"/>
      <c r="I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4"/>
      <c r="I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4"/>
      <c r="I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4"/>
      <c r="I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4"/>
      <c r="I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4"/>
      <c r="I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4"/>
      <c r="I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4"/>
      <c r="I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4"/>
      <c r="I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4"/>
      <c r="I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4"/>
      <c r="I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4"/>
      <c r="I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4"/>
      <c r="I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4"/>
      <c r="I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4"/>
      <c r="I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4"/>
      <c r="I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4"/>
      <c r="I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4"/>
      <c r="I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4"/>
      <c r="I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4"/>
      <c r="I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4"/>
      <c r="I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4"/>
      <c r="I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4"/>
      <c r="I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4"/>
      <c r="I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4"/>
      <c r="I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4"/>
      <c r="I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4"/>
      <c r="I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4"/>
      <c r="I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4"/>
      <c r="I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4"/>
      <c r="I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4"/>
      <c r="I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4"/>
      <c r="I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4"/>
      <c r="I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4"/>
      <c r="I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4"/>
      <c r="I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4"/>
      <c r="I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4"/>
      <c r="I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4"/>
      <c r="I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4"/>
      <c r="I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4"/>
      <c r="I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4"/>
      <c r="I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4"/>
      <c r="I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4"/>
      <c r="I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4"/>
      <c r="I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4"/>
      <c r="I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4"/>
      <c r="I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4"/>
      <c r="I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4"/>
      <c r="I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4"/>
      <c r="I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4"/>
      <c r="I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4"/>
      <c r="I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4"/>
      <c r="I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4"/>
      <c r="I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4"/>
      <c r="I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4"/>
      <c r="I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4"/>
      <c r="I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4"/>
      <c r="I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4"/>
      <c r="I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4"/>
      <c r="I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4"/>
      <c r="I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4"/>
      <c r="I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4"/>
      <c r="I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4"/>
      <c r="I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4"/>
      <c r="I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4"/>
      <c r="I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4"/>
      <c r="I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4"/>
      <c r="I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4"/>
      <c r="I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4"/>
      <c r="I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4"/>
      <c r="I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4"/>
      <c r="I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4"/>
      <c r="I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4"/>
      <c r="I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4"/>
      <c r="I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4"/>
      <c r="I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4"/>
      <c r="I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4"/>
      <c r="I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4"/>
      <c r="I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4"/>
      <c r="I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4"/>
      <c r="I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4"/>
      <c r="I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4"/>
      <c r="I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4"/>
      <c r="I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4"/>
      <c r="I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4"/>
      <c r="I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4"/>
      <c r="I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4"/>
      <c r="I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4"/>
      <c r="I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4"/>
      <c r="I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4"/>
      <c r="I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4"/>
      <c r="I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4"/>
      <c r="I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4"/>
      <c r="I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4"/>
      <c r="I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4"/>
      <c r="I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4"/>
      <c r="I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4"/>
      <c r="I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4"/>
      <c r="I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4"/>
      <c r="I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4"/>
      <c r="I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4"/>
      <c r="I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4"/>
      <c r="I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4"/>
      <c r="I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4"/>
      <c r="I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4"/>
      <c r="I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4"/>
      <c r="I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4"/>
      <c r="I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4"/>
      <c r="I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4"/>
      <c r="I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4"/>
      <c r="I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4"/>
      <c r="I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4"/>
      <c r="I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4"/>
      <c r="I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4"/>
      <c r="I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4"/>
      <c r="I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4"/>
      <c r="I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4"/>
      <c r="I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4"/>
      <c r="I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4"/>
      <c r="I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4"/>
      <c r="I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5"/>
      <c r="H203" s="14"/>
      <c r="I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5"/>
      <c r="H204" s="14"/>
      <c r="I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5"/>
      <c r="G205" s="15"/>
      <c r="H205" s="14"/>
      <c r="I205" s="15"/>
    </row>
    <row r="206" customFormat="false" ht="15" hidden="false" customHeight="false" outlineLevel="0" collapsed="false">
      <c r="A206" s="15"/>
      <c r="B206" s="15"/>
      <c r="C206" s="15"/>
      <c r="D206" s="15"/>
      <c r="E206" s="15"/>
      <c r="F206" s="15"/>
      <c r="G206" s="15"/>
      <c r="H206" s="14"/>
      <c r="I206" s="15"/>
    </row>
    <row r="207" customFormat="false" ht="15" hidden="false" customHeight="false" outlineLevel="0" collapsed="false">
      <c r="A207" s="15"/>
      <c r="B207" s="15"/>
      <c r="C207" s="15"/>
      <c r="D207" s="15"/>
      <c r="E207" s="15"/>
      <c r="F207" s="15"/>
      <c r="G207" s="15"/>
      <c r="H207" s="14"/>
      <c r="I207" s="15"/>
    </row>
    <row r="208" customFormat="false" ht="15" hidden="false" customHeight="false" outlineLevel="0" collapsed="false">
      <c r="A208" s="15"/>
      <c r="B208" s="15"/>
      <c r="C208" s="15"/>
      <c r="D208" s="15"/>
      <c r="E208" s="15"/>
      <c r="F208" s="15"/>
      <c r="G208" s="15"/>
      <c r="H208" s="14"/>
      <c r="I208" s="15"/>
    </row>
    <row r="209" customFormat="false" ht="15" hidden="false" customHeight="false" outlineLevel="0" collapsed="false">
      <c r="A209" s="15"/>
      <c r="B209" s="15"/>
      <c r="C209" s="15"/>
      <c r="D209" s="15"/>
      <c r="E209" s="15"/>
      <c r="F209" s="15"/>
      <c r="G209" s="15"/>
      <c r="H209" s="14"/>
      <c r="I209" s="15"/>
    </row>
    <row r="210" customFormat="false" ht="15" hidden="false" customHeight="false" outlineLevel="0" collapsed="false">
      <c r="A210" s="15"/>
      <c r="B210" s="15"/>
      <c r="C210" s="15"/>
      <c r="D210" s="15"/>
      <c r="E210" s="15"/>
      <c r="F210" s="15"/>
      <c r="G210" s="15"/>
      <c r="H210" s="14"/>
      <c r="I210" s="15"/>
    </row>
    <row r="211" customFormat="false" ht="15" hidden="false" customHeight="false" outlineLevel="0" collapsed="false">
      <c r="A211" s="15"/>
      <c r="B211" s="15"/>
      <c r="C211" s="15"/>
      <c r="D211" s="15"/>
      <c r="E211" s="15"/>
      <c r="F211" s="15"/>
      <c r="G211" s="15"/>
      <c r="H211" s="14"/>
      <c r="I211" s="15"/>
    </row>
    <row r="212" customFormat="false" ht="15" hidden="false" customHeight="false" outlineLevel="0" collapsed="false">
      <c r="A212" s="15"/>
      <c r="B212" s="15"/>
      <c r="C212" s="15"/>
      <c r="D212" s="15"/>
      <c r="E212" s="15"/>
      <c r="F212" s="15"/>
      <c r="G212" s="15"/>
      <c r="H212" s="14"/>
      <c r="I212" s="15"/>
    </row>
    <row r="213" customFormat="false" ht="15" hidden="false" customHeight="false" outlineLevel="0" collapsed="false">
      <c r="A213" s="15"/>
      <c r="B213" s="15"/>
      <c r="C213" s="15"/>
      <c r="D213" s="15"/>
      <c r="E213" s="15"/>
      <c r="F213" s="15"/>
      <c r="G213" s="15"/>
      <c r="H213" s="14"/>
      <c r="I213" s="15"/>
    </row>
    <row r="214" customFormat="false" ht="15" hidden="false" customHeight="false" outlineLevel="0" collapsed="false">
      <c r="A214" s="15"/>
      <c r="B214" s="15"/>
      <c r="C214" s="15"/>
      <c r="D214" s="15"/>
      <c r="E214" s="15"/>
      <c r="F214" s="15"/>
      <c r="G214" s="15"/>
      <c r="H214" s="14"/>
      <c r="I214" s="15"/>
    </row>
    <row r="215" customFormat="false" ht="15" hidden="false" customHeight="false" outlineLevel="0" collapsed="false">
      <c r="A215" s="15"/>
      <c r="B215" s="15"/>
      <c r="C215" s="15"/>
      <c r="D215" s="15"/>
      <c r="E215" s="15"/>
      <c r="F215" s="15"/>
      <c r="G215" s="15"/>
      <c r="H215" s="14"/>
      <c r="I215" s="15"/>
    </row>
    <row r="216" customFormat="false" ht="15" hidden="false" customHeight="false" outlineLevel="0" collapsed="false">
      <c r="A216" s="15"/>
      <c r="B216" s="15"/>
      <c r="C216" s="15"/>
      <c r="D216" s="15"/>
      <c r="E216" s="15"/>
      <c r="F216" s="15"/>
      <c r="G216" s="15"/>
      <c r="H216" s="14"/>
      <c r="I216" s="15"/>
    </row>
    <row r="217" customFormat="false" ht="15" hidden="false" customHeight="false" outlineLevel="0" collapsed="false">
      <c r="A217" s="15"/>
      <c r="B217" s="15"/>
      <c r="C217" s="15"/>
      <c r="D217" s="15"/>
      <c r="E217" s="15"/>
      <c r="F217" s="15"/>
      <c r="G217" s="15"/>
      <c r="H217" s="14"/>
      <c r="I217" s="15"/>
    </row>
    <row r="218" customFormat="false" ht="15" hidden="false" customHeight="false" outlineLevel="0" collapsed="false">
      <c r="A218" s="15"/>
      <c r="B218" s="15"/>
      <c r="C218" s="15"/>
      <c r="D218" s="15"/>
      <c r="E218" s="15"/>
      <c r="F218" s="15"/>
      <c r="G218" s="15"/>
      <c r="H218" s="14"/>
      <c r="I218" s="15"/>
    </row>
    <row r="219" customFormat="false" ht="15" hidden="false" customHeight="false" outlineLevel="0" collapsed="false">
      <c r="A219" s="15"/>
      <c r="B219" s="15"/>
      <c r="C219" s="15"/>
      <c r="D219" s="15"/>
      <c r="E219" s="15"/>
      <c r="F219" s="15"/>
      <c r="G219" s="15"/>
      <c r="H219" s="14"/>
      <c r="I219" s="15"/>
    </row>
    <row r="220" customFormat="false" ht="15" hidden="false" customHeight="false" outlineLevel="0" collapsed="false">
      <c r="A220" s="15"/>
      <c r="B220" s="15"/>
      <c r="C220" s="15"/>
      <c r="D220" s="15"/>
      <c r="E220" s="15"/>
      <c r="F220" s="15"/>
      <c r="G220" s="15"/>
      <c r="H220" s="14"/>
      <c r="I220" s="15"/>
    </row>
    <row r="221" customFormat="false" ht="15" hidden="false" customHeight="false" outlineLevel="0" collapsed="false">
      <c r="A221" s="15"/>
      <c r="B221" s="15"/>
      <c r="C221" s="15"/>
      <c r="D221" s="15"/>
      <c r="E221" s="15"/>
      <c r="F221" s="15"/>
      <c r="G221" s="15"/>
      <c r="H221" s="14"/>
      <c r="I221" s="15"/>
    </row>
    <row r="222" customFormat="false" ht="15" hidden="false" customHeight="false" outlineLevel="0" collapsed="false">
      <c r="A222" s="15"/>
      <c r="B222" s="15"/>
      <c r="C222" s="15"/>
      <c r="D222" s="15"/>
      <c r="E222" s="15"/>
      <c r="F222" s="15"/>
      <c r="G222" s="15"/>
      <c r="H222" s="14"/>
      <c r="I222" s="15"/>
    </row>
    <row r="223" customFormat="false" ht="15" hidden="false" customHeight="false" outlineLevel="0" collapsed="false">
      <c r="A223" s="15"/>
      <c r="B223" s="15"/>
      <c r="C223" s="15"/>
      <c r="D223" s="15"/>
      <c r="E223" s="15"/>
      <c r="F223" s="15"/>
      <c r="G223" s="15"/>
      <c r="H223" s="14"/>
      <c r="I223" s="15"/>
    </row>
    <row r="224" customFormat="false" ht="15" hidden="false" customHeight="false" outlineLevel="0" collapsed="false">
      <c r="A224" s="15"/>
      <c r="B224" s="15"/>
      <c r="C224" s="15"/>
      <c r="D224" s="15"/>
      <c r="E224" s="15"/>
      <c r="F224" s="15"/>
      <c r="G224" s="15"/>
      <c r="H224" s="14"/>
      <c r="I224" s="15"/>
    </row>
    <row r="225" customFormat="false" ht="15" hidden="false" customHeight="false" outlineLevel="0" collapsed="false">
      <c r="A225" s="15"/>
      <c r="B225" s="15"/>
      <c r="C225" s="15"/>
      <c r="D225" s="15"/>
      <c r="E225" s="15"/>
      <c r="F225" s="15"/>
      <c r="G225" s="15"/>
      <c r="H225" s="14"/>
      <c r="I225" s="15"/>
    </row>
    <row r="226" customFormat="false" ht="15" hidden="false" customHeight="false" outlineLevel="0" collapsed="false">
      <c r="A226" s="15"/>
      <c r="B226" s="15"/>
      <c r="C226" s="15"/>
      <c r="D226" s="15"/>
      <c r="E226" s="15"/>
      <c r="F226" s="15"/>
      <c r="G226" s="15"/>
      <c r="H226" s="14"/>
      <c r="I226" s="15"/>
    </row>
    <row r="227" customFormat="false" ht="15" hidden="false" customHeight="false" outlineLevel="0" collapsed="false">
      <c r="A227" s="15"/>
      <c r="B227" s="15"/>
      <c r="C227" s="15"/>
      <c r="D227" s="15"/>
      <c r="E227" s="15"/>
      <c r="F227" s="15"/>
      <c r="G227" s="15"/>
      <c r="H227" s="14"/>
      <c r="I227" s="15"/>
    </row>
    <row r="228" customFormat="false" ht="15" hidden="false" customHeight="false" outlineLevel="0" collapsed="false">
      <c r="A228" s="15"/>
      <c r="B228" s="15"/>
      <c r="C228" s="15"/>
      <c r="D228" s="15"/>
      <c r="E228" s="15"/>
      <c r="F228" s="15"/>
      <c r="G228" s="15"/>
      <c r="H228" s="14"/>
      <c r="I228" s="15"/>
    </row>
    <row r="229" customFormat="false" ht="15" hidden="false" customHeight="false" outlineLevel="0" collapsed="false">
      <c r="A229" s="15"/>
      <c r="B229" s="15"/>
      <c r="C229" s="15"/>
      <c r="D229" s="15"/>
      <c r="E229" s="15"/>
      <c r="F229" s="15"/>
      <c r="G229" s="15"/>
      <c r="H229" s="14"/>
      <c r="I229" s="15"/>
    </row>
    <row r="230" customFormat="false" ht="15" hidden="false" customHeight="false" outlineLevel="0" collapsed="false">
      <c r="A230" s="15"/>
      <c r="B230" s="15"/>
      <c r="C230" s="15"/>
      <c r="D230" s="15"/>
      <c r="E230" s="15"/>
      <c r="F230" s="15"/>
      <c r="G230" s="15"/>
      <c r="H230" s="14"/>
      <c r="I230" s="15"/>
    </row>
    <row r="231" customFormat="false" ht="15" hidden="false" customHeight="false" outlineLevel="0" collapsed="false">
      <c r="A231" s="15"/>
      <c r="B231" s="15"/>
      <c r="C231" s="15"/>
      <c r="D231" s="15"/>
      <c r="E231" s="15"/>
      <c r="F231" s="15"/>
      <c r="G231" s="15"/>
      <c r="H231" s="14"/>
      <c r="I231" s="15"/>
    </row>
    <row r="232" customFormat="false" ht="15" hidden="false" customHeight="false" outlineLevel="0" collapsed="false">
      <c r="A232" s="15"/>
      <c r="B232" s="15"/>
      <c r="C232" s="15"/>
      <c r="D232" s="15"/>
      <c r="E232" s="15"/>
      <c r="F232" s="15"/>
      <c r="G232" s="15"/>
      <c r="H232" s="14"/>
      <c r="I232" s="15"/>
    </row>
    <row r="233" customFormat="false" ht="15" hidden="false" customHeight="false" outlineLevel="0" collapsed="false">
      <c r="A233" s="15"/>
      <c r="B233" s="15"/>
      <c r="C233" s="15"/>
      <c r="D233" s="15"/>
      <c r="E233" s="15"/>
      <c r="F233" s="15"/>
      <c r="G233" s="15"/>
      <c r="H233" s="14"/>
      <c r="I233" s="15"/>
    </row>
    <row r="234" customFormat="false" ht="15" hidden="false" customHeight="false" outlineLevel="0" collapsed="false">
      <c r="A234" s="15"/>
      <c r="B234" s="15"/>
      <c r="C234" s="15"/>
      <c r="D234" s="15"/>
      <c r="E234" s="15"/>
      <c r="F234" s="15"/>
      <c r="G234" s="15"/>
      <c r="H234" s="14"/>
      <c r="I234" s="15"/>
    </row>
    <row r="235" customFormat="false" ht="15" hidden="false" customHeight="false" outlineLevel="0" collapsed="false">
      <c r="A235" s="15"/>
      <c r="B235" s="15"/>
      <c r="C235" s="15"/>
      <c r="D235" s="15"/>
      <c r="E235" s="15"/>
      <c r="F235" s="15"/>
      <c r="G235" s="15"/>
      <c r="H235" s="14"/>
      <c r="I235" s="15"/>
    </row>
    <row r="236" customFormat="false" ht="15" hidden="false" customHeight="false" outlineLevel="0" collapsed="false">
      <c r="A236" s="15"/>
      <c r="B236" s="15"/>
      <c r="C236" s="15"/>
      <c r="D236" s="15"/>
      <c r="E236" s="15"/>
      <c r="F236" s="15"/>
      <c r="G236" s="15"/>
      <c r="H236" s="14"/>
      <c r="I236" s="15"/>
    </row>
    <row r="237" customFormat="false" ht="15" hidden="false" customHeight="false" outlineLevel="0" collapsed="false">
      <c r="A237" s="15"/>
      <c r="B237" s="15"/>
      <c r="C237" s="15"/>
      <c r="D237" s="15"/>
      <c r="E237" s="15"/>
      <c r="F237" s="15"/>
      <c r="G237" s="15"/>
      <c r="H237" s="14"/>
      <c r="I237" s="15"/>
    </row>
    <row r="238" customFormat="false" ht="15" hidden="false" customHeight="false" outlineLevel="0" collapsed="false">
      <c r="A238" s="15"/>
      <c r="B238" s="15"/>
      <c r="C238" s="15"/>
      <c r="D238" s="15"/>
      <c r="E238" s="15"/>
      <c r="F238" s="15"/>
      <c r="G238" s="15"/>
      <c r="H238" s="14"/>
      <c r="I238" s="15"/>
    </row>
    <row r="239" customFormat="false" ht="15" hidden="false" customHeight="false" outlineLevel="0" collapsed="false">
      <c r="A239" s="15"/>
      <c r="B239" s="15"/>
      <c r="C239" s="15"/>
      <c r="D239" s="15"/>
      <c r="E239" s="15"/>
      <c r="F239" s="15"/>
      <c r="G239" s="15"/>
      <c r="H239" s="14"/>
      <c r="I239" s="15"/>
    </row>
    <row r="240" customFormat="false" ht="15" hidden="false" customHeight="false" outlineLevel="0" collapsed="false">
      <c r="A240" s="15"/>
      <c r="B240" s="15"/>
      <c r="C240" s="15"/>
      <c r="D240" s="15"/>
      <c r="E240" s="15"/>
      <c r="F240" s="15"/>
      <c r="G240" s="15"/>
      <c r="H240" s="14"/>
      <c r="I240" s="15"/>
    </row>
    <row r="241" customFormat="false" ht="15" hidden="false" customHeight="false" outlineLevel="0" collapsed="false">
      <c r="A241" s="15"/>
      <c r="B241" s="15"/>
      <c r="C241" s="15"/>
      <c r="D241" s="15"/>
      <c r="E241" s="15"/>
      <c r="F241" s="15"/>
      <c r="G241" s="15"/>
      <c r="H241" s="14"/>
      <c r="I241" s="15"/>
    </row>
    <row r="242" customFormat="false" ht="15" hidden="false" customHeight="false" outlineLevel="0" collapsed="false">
      <c r="A242" s="15"/>
      <c r="B242" s="15"/>
      <c r="C242" s="15"/>
      <c r="D242" s="15"/>
      <c r="E242" s="15"/>
      <c r="F242" s="15"/>
      <c r="G242" s="15"/>
      <c r="H242" s="14"/>
      <c r="I242" s="15"/>
    </row>
    <row r="243" customFormat="false" ht="15" hidden="false" customHeight="false" outlineLevel="0" collapsed="false">
      <c r="A243" s="15"/>
      <c r="B243" s="15"/>
      <c r="C243" s="15"/>
      <c r="D243" s="15"/>
      <c r="E243" s="15"/>
      <c r="F243" s="15"/>
      <c r="G243" s="15"/>
      <c r="H243" s="14"/>
      <c r="I243" s="15"/>
    </row>
    <row r="244" customFormat="false" ht="15" hidden="false" customHeight="false" outlineLevel="0" collapsed="false">
      <c r="A244" s="15"/>
      <c r="B244" s="15"/>
      <c r="C244" s="15"/>
      <c r="D244" s="15"/>
      <c r="E244" s="15"/>
      <c r="F244" s="15"/>
      <c r="G244" s="15"/>
      <c r="H244" s="14"/>
      <c r="I244" s="15"/>
    </row>
    <row r="245" customFormat="false" ht="15" hidden="false" customHeight="false" outlineLevel="0" collapsed="false">
      <c r="A245" s="15"/>
      <c r="B245" s="15"/>
      <c r="C245" s="15"/>
      <c r="D245" s="15"/>
      <c r="E245" s="15"/>
      <c r="F245" s="15"/>
      <c r="G245" s="15"/>
      <c r="H245" s="14"/>
      <c r="I245" s="15"/>
    </row>
    <row r="246" customFormat="false" ht="15" hidden="false" customHeight="false" outlineLevel="0" collapsed="false">
      <c r="A246" s="15"/>
      <c r="B246" s="15"/>
      <c r="C246" s="15"/>
      <c r="D246" s="15"/>
      <c r="E246" s="15"/>
      <c r="F246" s="15"/>
      <c r="G246" s="15"/>
      <c r="H246" s="14"/>
      <c r="I246" s="15"/>
    </row>
    <row r="247" customFormat="false" ht="15" hidden="false" customHeight="false" outlineLevel="0" collapsed="false">
      <c r="A247" s="15"/>
      <c r="B247" s="15"/>
      <c r="C247" s="15"/>
      <c r="D247" s="15"/>
      <c r="E247" s="15"/>
      <c r="F247" s="15"/>
      <c r="G247" s="15"/>
      <c r="H247" s="14"/>
      <c r="I247" s="15"/>
    </row>
    <row r="248" customFormat="false" ht="15" hidden="false" customHeight="false" outlineLevel="0" collapsed="false">
      <c r="A248" s="15"/>
      <c r="B248" s="15"/>
      <c r="C248" s="15"/>
      <c r="D248" s="15"/>
      <c r="E248" s="15"/>
      <c r="F248" s="15"/>
      <c r="G248" s="15"/>
      <c r="H248" s="14"/>
      <c r="I248" s="15"/>
    </row>
    <row r="249" customFormat="false" ht="15" hidden="false" customHeight="false" outlineLevel="0" collapsed="false">
      <c r="A249" s="15"/>
      <c r="B249" s="15"/>
      <c r="C249" s="15"/>
      <c r="D249" s="15"/>
      <c r="E249" s="15"/>
      <c r="F249" s="15"/>
      <c r="G249" s="15"/>
      <c r="H249" s="14"/>
      <c r="I249" s="15"/>
    </row>
    <row r="250" customFormat="false" ht="15" hidden="false" customHeight="false" outlineLevel="0" collapsed="false">
      <c r="A250" s="15"/>
      <c r="B250" s="15"/>
      <c r="C250" s="15"/>
      <c r="D250" s="15"/>
      <c r="E250" s="15"/>
      <c r="F250" s="15"/>
      <c r="G250" s="15"/>
      <c r="H250" s="14"/>
      <c r="I250" s="15"/>
    </row>
    <row r="251" customFormat="false" ht="15" hidden="false" customHeight="false" outlineLevel="0" collapsed="false">
      <c r="A251" s="15"/>
      <c r="B251" s="15"/>
      <c r="C251" s="15"/>
      <c r="D251" s="15"/>
      <c r="E251" s="15"/>
      <c r="F251" s="15"/>
      <c r="G251" s="15"/>
      <c r="H251" s="14"/>
      <c r="I251" s="15"/>
    </row>
    <row r="252" customFormat="false" ht="15" hidden="false" customHeight="false" outlineLevel="0" collapsed="false">
      <c r="A252" s="15"/>
      <c r="B252" s="15"/>
      <c r="C252" s="15"/>
      <c r="D252" s="15"/>
      <c r="E252" s="15"/>
      <c r="F252" s="15"/>
      <c r="G252" s="15"/>
      <c r="H252" s="14"/>
      <c r="I252" s="15"/>
    </row>
    <row r="253" customFormat="false" ht="15" hidden="false" customHeight="false" outlineLevel="0" collapsed="false">
      <c r="A253" s="15"/>
      <c r="B253" s="15"/>
      <c r="C253" s="15"/>
      <c r="D253" s="15"/>
      <c r="E253" s="15"/>
      <c r="F253" s="15"/>
      <c r="G253" s="15"/>
      <c r="H253" s="14"/>
      <c r="I253" s="15"/>
    </row>
    <row r="254" customFormat="false" ht="15" hidden="false" customHeight="false" outlineLevel="0" collapsed="false">
      <c r="A254" s="15"/>
      <c r="B254" s="15"/>
      <c r="C254" s="15"/>
      <c r="D254" s="15"/>
      <c r="E254" s="15"/>
      <c r="F254" s="15"/>
      <c r="G254" s="15"/>
      <c r="H254" s="14"/>
      <c r="I254" s="15"/>
    </row>
    <row r="255" customFormat="false" ht="15" hidden="false" customHeight="false" outlineLevel="0" collapsed="false">
      <c r="A255" s="15"/>
      <c r="B255" s="15"/>
      <c r="C255" s="15"/>
      <c r="D255" s="15"/>
      <c r="E255" s="15"/>
      <c r="F255" s="15"/>
      <c r="G255" s="15"/>
      <c r="H255" s="14"/>
      <c r="I255" s="15"/>
    </row>
    <row r="256" customFormat="false" ht="15" hidden="false" customHeight="false" outlineLevel="0" collapsed="false">
      <c r="A256" s="15"/>
      <c r="B256" s="15"/>
      <c r="C256" s="15"/>
      <c r="D256" s="15"/>
      <c r="E256" s="15"/>
      <c r="F256" s="15"/>
      <c r="G256" s="15"/>
      <c r="H256" s="14"/>
      <c r="I256" s="15"/>
    </row>
    <row r="257" customFormat="false" ht="15" hidden="false" customHeight="false" outlineLevel="0" collapsed="false">
      <c r="A257" s="15"/>
      <c r="B257" s="15"/>
      <c r="C257" s="15"/>
      <c r="D257" s="15"/>
      <c r="E257" s="15"/>
      <c r="F257" s="15"/>
      <c r="G257" s="15"/>
      <c r="H257" s="14"/>
      <c r="I257" s="15"/>
    </row>
    <row r="258" customFormat="false" ht="15" hidden="false" customHeight="false" outlineLevel="0" collapsed="false">
      <c r="A258" s="15"/>
      <c r="B258" s="15"/>
      <c r="C258" s="15"/>
      <c r="D258" s="15"/>
      <c r="E258" s="15"/>
      <c r="F258" s="15"/>
      <c r="G258" s="15"/>
      <c r="H258" s="14"/>
      <c r="I258" s="15"/>
    </row>
    <row r="259" customFormat="false" ht="15" hidden="false" customHeight="false" outlineLevel="0" collapsed="false">
      <c r="A259" s="15"/>
      <c r="B259" s="15"/>
      <c r="C259" s="15"/>
      <c r="D259" s="15"/>
      <c r="E259" s="15"/>
      <c r="F259" s="15"/>
      <c r="G259" s="15"/>
      <c r="H259" s="14"/>
      <c r="I259" s="15"/>
    </row>
    <row r="260" customFormat="false" ht="15" hidden="false" customHeight="false" outlineLevel="0" collapsed="false">
      <c r="A260" s="15"/>
      <c r="B260" s="15"/>
      <c r="C260" s="15"/>
      <c r="D260" s="15"/>
      <c r="E260" s="15"/>
      <c r="F260" s="15"/>
      <c r="G260" s="15"/>
      <c r="H260" s="14"/>
      <c r="I260" s="15"/>
    </row>
    <row r="261" customFormat="false" ht="15" hidden="false" customHeight="false" outlineLevel="0" collapsed="false">
      <c r="A261" s="15"/>
      <c r="B261" s="15"/>
      <c r="C261" s="15"/>
      <c r="D261" s="15"/>
      <c r="E261" s="15"/>
      <c r="F261" s="15"/>
      <c r="G261" s="15"/>
      <c r="H261" s="14"/>
      <c r="I261" s="15"/>
    </row>
    <row r="262" customFormat="false" ht="15" hidden="false" customHeight="false" outlineLevel="0" collapsed="false">
      <c r="A262" s="15"/>
      <c r="B262" s="15"/>
      <c r="C262" s="15"/>
      <c r="D262" s="15"/>
      <c r="E262" s="15"/>
      <c r="F262" s="15"/>
      <c r="G262" s="15"/>
      <c r="H262" s="14"/>
      <c r="I262" s="15"/>
    </row>
    <row r="263" customFormat="false" ht="15" hidden="false" customHeight="false" outlineLevel="0" collapsed="false">
      <c r="A263" s="15"/>
      <c r="B263" s="15"/>
      <c r="C263" s="15"/>
      <c r="D263" s="15"/>
      <c r="E263" s="15"/>
      <c r="F263" s="15"/>
      <c r="G263" s="15"/>
      <c r="H263" s="14"/>
      <c r="I263" s="15"/>
    </row>
    <row r="264" customFormat="false" ht="15" hidden="false" customHeight="false" outlineLevel="0" collapsed="false">
      <c r="A264" s="15"/>
      <c r="B264" s="15"/>
      <c r="C264" s="15"/>
      <c r="D264" s="15"/>
      <c r="E264" s="15"/>
      <c r="F264" s="15"/>
      <c r="G264" s="15"/>
      <c r="H264" s="14"/>
      <c r="I264" s="15"/>
    </row>
    <row r="265" customFormat="false" ht="15" hidden="false" customHeight="false" outlineLevel="0" collapsed="false">
      <c r="A265" s="15"/>
      <c r="B265" s="15"/>
      <c r="C265" s="15"/>
      <c r="D265" s="15"/>
      <c r="E265" s="15"/>
      <c r="F265" s="15"/>
      <c r="G265" s="15"/>
      <c r="H265" s="14"/>
      <c r="I265" s="15"/>
    </row>
    <row r="266" customFormat="false" ht="15" hidden="false" customHeight="false" outlineLevel="0" collapsed="false">
      <c r="A266" s="15"/>
      <c r="B266" s="15"/>
      <c r="C266" s="15"/>
      <c r="D266" s="15"/>
      <c r="E266" s="15"/>
      <c r="F266" s="15"/>
      <c r="G266" s="15"/>
      <c r="H266" s="14"/>
      <c r="I266" s="15"/>
    </row>
    <row r="267" customFormat="false" ht="15" hidden="false" customHeight="false" outlineLevel="0" collapsed="false">
      <c r="A267" s="15"/>
      <c r="B267" s="15"/>
      <c r="C267" s="15"/>
      <c r="D267" s="15"/>
      <c r="E267" s="15"/>
      <c r="F267" s="15"/>
      <c r="G267" s="15"/>
      <c r="H267" s="14"/>
      <c r="I267" s="15"/>
    </row>
    <row r="268" customFormat="false" ht="15" hidden="false" customHeight="false" outlineLevel="0" collapsed="false">
      <c r="A268" s="15"/>
      <c r="B268" s="15"/>
      <c r="C268" s="15"/>
      <c r="D268" s="15"/>
      <c r="E268" s="15"/>
      <c r="F268" s="15"/>
      <c r="G268" s="15"/>
      <c r="H268" s="14"/>
      <c r="I268" s="15"/>
    </row>
    <row r="269" customFormat="false" ht="15" hidden="false" customHeight="false" outlineLevel="0" collapsed="false">
      <c r="A269" s="15"/>
      <c r="B269" s="15"/>
      <c r="C269" s="15"/>
      <c r="D269" s="15"/>
      <c r="E269" s="15"/>
      <c r="F269" s="15"/>
      <c r="G269" s="15"/>
      <c r="H269" s="14"/>
      <c r="I269" s="15"/>
    </row>
    <row r="270" customFormat="false" ht="15" hidden="false" customHeight="false" outlineLevel="0" collapsed="false">
      <c r="A270" s="15"/>
      <c r="B270" s="15"/>
      <c r="C270" s="15"/>
      <c r="D270" s="15"/>
      <c r="E270" s="15"/>
      <c r="F270" s="15"/>
      <c r="G270" s="15"/>
      <c r="H270" s="14"/>
      <c r="I270" s="15"/>
    </row>
    <row r="271" customFormat="false" ht="15" hidden="false" customHeight="false" outlineLevel="0" collapsed="false">
      <c r="A271" s="15"/>
      <c r="B271" s="15"/>
      <c r="C271" s="15"/>
      <c r="D271" s="15"/>
      <c r="E271" s="15"/>
      <c r="F271" s="15"/>
      <c r="G271" s="15"/>
      <c r="H271" s="14"/>
      <c r="I271" s="15"/>
    </row>
    <row r="272" customFormat="false" ht="15" hidden="false" customHeight="false" outlineLevel="0" collapsed="false">
      <c r="A272" s="15"/>
      <c r="B272" s="15"/>
      <c r="C272" s="15"/>
      <c r="D272" s="15"/>
      <c r="E272" s="15"/>
      <c r="F272" s="15"/>
      <c r="G272" s="15"/>
      <c r="H272" s="14"/>
      <c r="I272" s="15"/>
    </row>
    <row r="273" customFormat="false" ht="15" hidden="false" customHeight="false" outlineLevel="0" collapsed="false">
      <c r="A273" s="15"/>
      <c r="B273" s="15"/>
      <c r="C273" s="15"/>
      <c r="D273" s="15"/>
      <c r="E273" s="15"/>
      <c r="F273" s="15"/>
      <c r="G273" s="15"/>
      <c r="H273" s="14"/>
      <c r="I273" s="15"/>
    </row>
    <row r="274" customFormat="false" ht="15" hidden="false" customHeight="false" outlineLevel="0" collapsed="false">
      <c r="A274" s="15"/>
      <c r="B274" s="15"/>
      <c r="C274" s="15"/>
      <c r="D274" s="15"/>
      <c r="E274" s="15"/>
      <c r="F274" s="15"/>
      <c r="G274" s="15"/>
      <c r="H274" s="14"/>
      <c r="I274" s="15"/>
    </row>
    <row r="275" customFormat="false" ht="15" hidden="false" customHeight="false" outlineLevel="0" collapsed="false">
      <c r="A275" s="15"/>
      <c r="B275" s="15"/>
      <c r="C275" s="15"/>
      <c r="D275" s="15"/>
      <c r="E275" s="15"/>
      <c r="F275" s="15"/>
      <c r="G275" s="15"/>
      <c r="H275" s="14"/>
      <c r="I275" s="15"/>
    </row>
    <row r="276" customFormat="false" ht="15" hidden="false" customHeight="false" outlineLevel="0" collapsed="false">
      <c r="A276" s="15"/>
      <c r="B276" s="15"/>
      <c r="C276" s="15"/>
      <c r="D276" s="15"/>
      <c r="E276" s="15"/>
      <c r="F276" s="15"/>
      <c r="G276" s="15"/>
      <c r="H276" s="14"/>
      <c r="I276" s="15"/>
    </row>
    <row r="277" customFormat="false" ht="15" hidden="false" customHeight="false" outlineLevel="0" collapsed="false">
      <c r="A277" s="15"/>
      <c r="B277" s="15"/>
      <c r="C277" s="15"/>
      <c r="D277" s="15"/>
      <c r="E277" s="15"/>
      <c r="F277" s="15"/>
      <c r="G277" s="15"/>
      <c r="H277" s="14"/>
      <c r="I277" s="15"/>
    </row>
    <row r="278" customFormat="false" ht="15" hidden="false" customHeight="false" outlineLevel="0" collapsed="false">
      <c r="A278" s="15"/>
      <c r="B278" s="15"/>
      <c r="C278" s="15"/>
      <c r="D278" s="15"/>
      <c r="E278" s="15"/>
      <c r="F278" s="15"/>
      <c r="G278" s="15"/>
      <c r="H278" s="14"/>
      <c r="I278" s="15"/>
    </row>
    <row r="279" customFormat="false" ht="15" hidden="false" customHeight="false" outlineLevel="0" collapsed="false">
      <c r="A279" s="15"/>
      <c r="B279" s="15"/>
      <c r="C279" s="15"/>
      <c r="D279" s="15"/>
      <c r="E279" s="15"/>
      <c r="F279" s="15"/>
      <c r="G279" s="15"/>
      <c r="H279" s="14"/>
      <c r="I279" s="15"/>
    </row>
    <row r="280" customFormat="false" ht="15" hidden="false" customHeight="false" outlineLevel="0" collapsed="false">
      <c r="A280" s="15"/>
      <c r="B280" s="15"/>
      <c r="C280" s="15"/>
      <c r="D280" s="15"/>
      <c r="E280" s="15"/>
      <c r="F280" s="15"/>
      <c r="G280" s="15"/>
      <c r="H280" s="14"/>
      <c r="I280" s="15"/>
    </row>
    <row r="281" customFormat="false" ht="15" hidden="false" customHeight="false" outlineLevel="0" collapsed="false">
      <c r="A281" s="15"/>
      <c r="B281" s="15"/>
      <c r="C281" s="15"/>
      <c r="D281" s="15"/>
      <c r="E281" s="15"/>
      <c r="F281" s="15"/>
      <c r="G281" s="15"/>
      <c r="H281" s="14"/>
      <c r="I281" s="15"/>
    </row>
    <row r="282" customFormat="false" ht="15" hidden="false" customHeight="false" outlineLevel="0" collapsed="false">
      <c r="A282" s="15"/>
      <c r="B282" s="15"/>
      <c r="C282" s="15"/>
      <c r="D282" s="15"/>
      <c r="E282" s="15"/>
      <c r="F282" s="15"/>
      <c r="G282" s="15"/>
      <c r="H282" s="14"/>
      <c r="I282" s="15"/>
    </row>
    <row r="283" customFormat="false" ht="15" hidden="false" customHeight="false" outlineLevel="0" collapsed="false">
      <c r="A283" s="15"/>
      <c r="B283" s="15"/>
      <c r="C283" s="15"/>
      <c r="D283" s="15"/>
      <c r="E283" s="15"/>
      <c r="F283" s="15"/>
      <c r="G283" s="15"/>
      <c r="H283" s="14"/>
      <c r="I283" s="15"/>
    </row>
    <row r="284" customFormat="false" ht="15" hidden="false" customHeight="false" outlineLevel="0" collapsed="false">
      <c r="A284" s="15"/>
      <c r="B284" s="15"/>
      <c r="C284" s="15"/>
      <c r="D284" s="15"/>
      <c r="E284" s="15"/>
      <c r="F284" s="15"/>
      <c r="G284" s="15"/>
      <c r="H284" s="14"/>
      <c r="I284" s="15"/>
    </row>
    <row r="285" customFormat="false" ht="15" hidden="false" customHeight="false" outlineLevel="0" collapsed="false">
      <c r="A285" s="15"/>
      <c r="B285" s="15"/>
      <c r="C285" s="15"/>
      <c r="D285" s="15"/>
      <c r="E285" s="15"/>
      <c r="F285" s="15"/>
      <c r="G285" s="15"/>
      <c r="H285" s="14"/>
      <c r="I285" s="15"/>
    </row>
    <row r="286" customFormat="false" ht="15" hidden="false" customHeight="false" outlineLevel="0" collapsed="false">
      <c r="A286" s="15"/>
      <c r="B286" s="15"/>
      <c r="C286" s="15"/>
      <c r="D286" s="15"/>
      <c r="E286" s="15"/>
      <c r="F286" s="15"/>
      <c r="G286" s="15"/>
      <c r="H286" s="14"/>
      <c r="I286" s="15"/>
    </row>
    <row r="287" customFormat="false" ht="15" hidden="false" customHeight="false" outlineLevel="0" collapsed="false">
      <c r="A287" s="15"/>
      <c r="B287" s="15"/>
      <c r="C287" s="15"/>
      <c r="D287" s="15"/>
      <c r="E287" s="15"/>
      <c r="F287" s="15"/>
      <c r="G287" s="15"/>
      <c r="H287" s="14"/>
      <c r="I287" s="15"/>
    </row>
    <row r="288" customFormat="false" ht="15" hidden="false" customHeight="false" outlineLevel="0" collapsed="false">
      <c r="A288" s="15"/>
      <c r="B288" s="15"/>
      <c r="C288" s="15"/>
      <c r="D288" s="15"/>
      <c r="E288" s="15"/>
      <c r="F288" s="15"/>
      <c r="G288" s="15"/>
      <c r="H288" s="14"/>
      <c r="I288" s="15"/>
    </row>
    <row r="289" customFormat="false" ht="15" hidden="false" customHeight="false" outlineLevel="0" collapsed="false">
      <c r="A289" s="15"/>
      <c r="B289" s="15"/>
      <c r="C289" s="15"/>
      <c r="D289" s="15"/>
      <c r="E289" s="15"/>
      <c r="F289" s="15"/>
      <c r="G289" s="15"/>
      <c r="H289" s="14"/>
      <c r="I289" s="15"/>
    </row>
    <row r="290" customFormat="false" ht="15" hidden="false" customHeight="false" outlineLevel="0" collapsed="false">
      <c r="A290" s="15"/>
      <c r="B290" s="15"/>
      <c r="C290" s="15"/>
      <c r="D290" s="15"/>
      <c r="E290" s="15"/>
      <c r="F290" s="15"/>
      <c r="G290" s="15"/>
      <c r="H290" s="14"/>
      <c r="I290" s="15"/>
    </row>
    <row r="291" customFormat="false" ht="15" hidden="false" customHeight="false" outlineLevel="0" collapsed="false">
      <c r="A291" s="15"/>
      <c r="B291" s="15"/>
      <c r="C291" s="15"/>
      <c r="D291" s="15"/>
      <c r="E291" s="15"/>
      <c r="F291" s="15"/>
      <c r="G291" s="15"/>
      <c r="H291" s="14"/>
      <c r="I291" s="15"/>
    </row>
    <row r="292" customFormat="false" ht="15" hidden="false" customHeight="false" outlineLevel="0" collapsed="false">
      <c r="A292" s="15"/>
      <c r="B292" s="15"/>
      <c r="C292" s="15"/>
      <c r="D292" s="15"/>
      <c r="E292" s="15"/>
      <c r="F292" s="15"/>
      <c r="G292" s="15"/>
      <c r="H292" s="14"/>
      <c r="I292" s="15"/>
    </row>
    <row r="293" customFormat="false" ht="15" hidden="false" customHeight="false" outlineLevel="0" collapsed="false">
      <c r="A293" s="15"/>
      <c r="B293" s="15"/>
      <c r="C293" s="15"/>
      <c r="D293" s="15"/>
      <c r="E293" s="15"/>
      <c r="F293" s="15"/>
      <c r="G293" s="15"/>
      <c r="H293" s="14"/>
      <c r="I293" s="15"/>
    </row>
    <row r="294" customFormat="false" ht="15" hidden="false" customHeight="false" outlineLevel="0" collapsed="false">
      <c r="A294" s="15"/>
      <c r="B294" s="15"/>
      <c r="C294" s="15"/>
      <c r="D294" s="15"/>
      <c r="E294" s="15"/>
      <c r="F294" s="15"/>
      <c r="G294" s="15"/>
      <c r="H294" s="14"/>
      <c r="I294" s="15"/>
    </row>
    <row r="295" customFormat="false" ht="15" hidden="false" customHeight="false" outlineLevel="0" collapsed="false">
      <c r="A295" s="15"/>
      <c r="B295" s="15"/>
      <c r="C295" s="15"/>
      <c r="D295" s="15"/>
      <c r="E295" s="15"/>
      <c r="F295" s="15"/>
      <c r="G295" s="15"/>
      <c r="H295" s="14"/>
      <c r="I295" s="15"/>
    </row>
    <row r="296" customFormat="false" ht="15" hidden="false" customHeight="false" outlineLevel="0" collapsed="false">
      <c r="A296" s="15"/>
      <c r="B296" s="15"/>
      <c r="C296" s="15"/>
      <c r="D296" s="15"/>
      <c r="E296" s="15"/>
      <c r="F296" s="15"/>
      <c r="G296" s="15"/>
      <c r="H296" s="14"/>
      <c r="I296" s="15"/>
    </row>
    <row r="297" customFormat="false" ht="15" hidden="false" customHeight="false" outlineLevel="0" collapsed="false">
      <c r="A297" s="15"/>
      <c r="B297" s="15"/>
      <c r="C297" s="15"/>
      <c r="D297" s="15"/>
      <c r="E297" s="15"/>
      <c r="F297" s="15"/>
      <c r="G297" s="15"/>
      <c r="H297" s="14"/>
      <c r="I297" s="15"/>
    </row>
    <row r="298" customFormat="false" ht="15" hidden="false" customHeight="false" outlineLevel="0" collapsed="false">
      <c r="A298" s="15"/>
      <c r="B298" s="15"/>
      <c r="C298" s="15"/>
      <c r="D298" s="15"/>
      <c r="E298" s="15"/>
      <c r="F298" s="15"/>
      <c r="G298" s="15"/>
      <c r="H298" s="14"/>
      <c r="I298" s="15"/>
    </row>
    <row r="299" customFormat="false" ht="15" hidden="false" customHeight="false" outlineLevel="0" collapsed="false">
      <c r="A299" s="15"/>
      <c r="B299" s="15"/>
      <c r="C299" s="15"/>
      <c r="D299" s="15"/>
      <c r="E299" s="15"/>
      <c r="F299" s="15"/>
      <c r="G299" s="15"/>
      <c r="H299" s="14"/>
      <c r="I299" s="15"/>
    </row>
    <row r="300" customFormat="false" ht="15" hidden="false" customHeight="false" outlineLevel="0" collapsed="false">
      <c r="A300" s="15"/>
      <c r="B300" s="15"/>
      <c r="C300" s="15"/>
      <c r="D300" s="15"/>
      <c r="E300" s="15"/>
      <c r="F300" s="15"/>
      <c r="G300" s="15"/>
      <c r="H300" s="14"/>
      <c r="I300" s="15"/>
    </row>
    <row r="301" customFormat="false" ht="15" hidden="false" customHeight="false" outlineLevel="0" collapsed="false">
      <c r="A301" s="15"/>
      <c r="B301" s="15"/>
      <c r="C301" s="15"/>
      <c r="D301" s="15"/>
      <c r="E301" s="15"/>
      <c r="F301" s="15"/>
      <c r="G301" s="15"/>
      <c r="H301" s="14"/>
      <c r="I301" s="15"/>
    </row>
  </sheetData>
  <autoFilter ref="A1:I301"/>
  <conditionalFormatting sqref="A2:A301">
    <cfRule type="expression" priority="2" aboveAverage="0" equalAverage="0" bottom="0" percent="0" rank="0" text="" dxfId="14">
      <formula>AND(A2&lt;&gt;"",COUNTIF($A$2:$A$301,A2)&gt;1)</formula>
    </cfRule>
  </conditionalFormatting>
  <conditionalFormatting sqref="H2:H301">
    <cfRule type="expression" priority="3" aboveAverage="0" equalAverage="0" bottom="0" percent="0" rank="0" text="" dxfId="15">
      <formula>AND(H2&lt;&gt;"",H2&lt;TODAY()+30)</formula>
    </cfRule>
  </conditionalFormatting>
  <dataValidations count="6">
    <dataValidation allowBlank="true" error="Enter a valid date, for example 2026-10-09." errorStyle="stop" errorTitle="Date needed" operator="greaterThan" showDropDown="false" showErrorMessage="true" showInputMessage="false" sqref="H2:H301" type="date">
      <formula1>36526</formula1>
      <formula2>0</formula2>
    </dataValidation>
    <dataValidation allowBlank="true" error="Choose a value from the list." errorStyle="stop" errorTitle="Not allowed" operator="between" showDropDown="false" showErrorMessage="true" showInputMessage="false" sqref="D2:D301" type="list">
      <formula1>Lists!$A$2:$A$4</formula1>
      <formula2>0</formula2>
    </dataValidation>
    <dataValidation allowBlank="true" error="Choose a value from the list." errorStyle="stop" errorTitle="Not allowed" operator="between" showDropDown="false" showErrorMessage="true" showInputMessage="false" sqref="E2:E301" type="list">
      <formula1>Lists!$E$2:$E$4</formula1>
      <formula2>0</formula2>
    </dataValidation>
    <dataValidation allowBlank="true" error="Choose a value from the list." errorStyle="stop" errorTitle="Not allowed" operator="between" showDropDown="false" showErrorMessage="true" showInputMessage="false" sqref="F2:F301" type="list">
      <formula1>Lists!$D$2:$D$4</formula1>
      <formula2>0</formula2>
    </dataValidation>
    <dataValidation allowBlank="true" error="Choose a value from the list." errorStyle="stop" errorTitle="Not allowed" operator="between" showDropDown="false" showErrorMessage="true" showInputMessage="false" sqref="G2:G301" type="list">
      <formula1>Lists!$C$2:$C$4</formula1>
      <formula2>0</formula2>
    </dataValidation>
    <dataValidation allowBlank="true" error="Use a vehicle ID that exists in the Vehicles tab." errorStyle="stop" errorTitle="Not allowed" operator="between" showDropDown="false" showErrorMessage="true" showInputMessage="false" sqref="I2:I301" type="list">
      <formula1>Vehicles!$A$2:$A$301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31.5" hidden="false" customHeight="true" outlineLevel="0" collapsed="false">
      <c r="A1" s="7" t="s">
        <v>67</v>
      </c>
      <c r="B1" s="7" t="s">
        <v>115</v>
      </c>
      <c r="C1" s="7" t="s">
        <v>138</v>
      </c>
      <c r="D1" s="7" t="s">
        <v>139</v>
      </c>
      <c r="E1" s="7" t="s">
        <v>74</v>
      </c>
      <c r="F1" s="7" t="s">
        <v>140</v>
      </c>
      <c r="G1" s="7" t="s">
        <v>141</v>
      </c>
      <c r="H1" s="7" t="s">
        <v>77</v>
      </c>
    </row>
    <row r="2" customFormat="false" ht="15" hidden="false" customHeight="false" outlineLevel="0" collapsed="false">
      <c r="A2" s="10" t="s">
        <v>81</v>
      </c>
      <c r="B2" s="10" t="s">
        <v>122</v>
      </c>
      <c r="C2" s="10" t="s">
        <v>142</v>
      </c>
      <c r="D2" s="10" t="s">
        <v>143</v>
      </c>
      <c r="E2" s="10" t="s">
        <v>144</v>
      </c>
      <c r="F2" s="9" t="n">
        <v>46331</v>
      </c>
      <c r="G2" s="21" t="n">
        <v>18250</v>
      </c>
      <c r="H2" s="10"/>
    </row>
    <row r="3" customFormat="false" ht="15" hidden="false" customHeight="false" outlineLevel="0" collapsed="false">
      <c r="A3" s="10" t="s">
        <v>85</v>
      </c>
      <c r="B3" s="10" t="s">
        <v>122</v>
      </c>
      <c r="C3" s="10" t="s">
        <v>145</v>
      </c>
      <c r="D3" s="10" t="s">
        <v>143</v>
      </c>
      <c r="E3" s="10" t="s">
        <v>146</v>
      </c>
      <c r="F3" s="9" t="n">
        <v>46307</v>
      </c>
      <c r="G3" s="21" t="n">
        <v>31240</v>
      </c>
      <c r="H3" s="10" t="s">
        <v>147</v>
      </c>
    </row>
    <row r="4" customFormat="false" ht="15" hidden="false" customHeight="false" outlineLevel="0" collapsed="false">
      <c r="A4" s="10" t="s">
        <v>96</v>
      </c>
      <c r="B4" s="10" t="s">
        <v>131</v>
      </c>
      <c r="C4" s="10" t="s">
        <v>148</v>
      </c>
      <c r="D4" s="10" t="s">
        <v>149</v>
      </c>
      <c r="E4" s="10" t="s">
        <v>144</v>
      </c>
      <c r="F4" s="9" t="n">
        <v>46358</v>
      </c>
      <c r="G4" s="21" t="n">
        <v>74120</v>
      </c>
      <c r="H4" s="10"/>
    </row>
    <row r="5" customFormat="false" ht="15" hidden="false" customHeight="false" outlineLevel="0" collapsed="false">
      <c r="A5" s="10" t="s">
        <v>90</v>
      </c>
      <c r="B5" s="10" t="s">
        <v>135</v>
      </c>
      <c r="C5" s="10" t="s">
        <v>150</v>
      </c>
      <c r="D5" s="10" t="s">
        <v>149</v>
      </c>
      <c r="E5" s="10" t="s">
        <v>151</v>
      </c>
      <c r="F5" s="9" t="n">
        <v>46346</v>
      </c>
      <c r="G5" s="21" t="n">
        <v>212880</v>
      </c>
      <c r="H5" s="10"/>
    </row>
    <row r="6" customFormat="false" ht="15" hidden="false" customHeight="false" outlineLevel="0" collapsed="false">
      <c r="A6" s="15"/>
      <c r="B6" s="15"/>
      <c r="C6" s="15"/>
      <c r="D6" s="15"/>
      <c r="E6" s="15"/>
      <c r="F6" s="14"/>
      <c r="G6" s="22"/>
      <c r="H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4"/>
      <c r="G7" s="22"/>
      <c r="H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4"/>
      <c r="G8" s="22"/>
      <c r="H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4"/>
      <c r="G9" s="22"/>
      <c r="H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4"/>
      <c r="G10" s="22"/>
      <c r="H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4"/>
      <c r="G11" s="22"/>
      <c r="H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4"/>
      <c r="G12" s="22"/>
      <c r="H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4"/>
      <c r="G13" s="22"/>
      <c r="H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4"/>
      <c r="G14" s="22"/>
      <c r="H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4"/>
      <c r="G15" s="22"/>
      <c r="H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4"/>
      <c r="G16" s="22"/>
      <c r="H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4"/>
      <c r="G17" s="22"/>
      <c r="H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4"/>
      <c r="G18" s="22"/>
      <c r="H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4"/>
      <c r="G19" s="22"/>
      <c r="H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4"/>
      <c r="G20" s="22"/>
      <c r="H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4"/>
      <c r="G21" s="22"/>
      <c r="H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4"/>
      <c r="G22" s="22"/>
      <c r="H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4"/>
      <c r="G23" s="22"/>
      <c r="H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4"/>
      <c r="G24" s="22"/>
      <c r="H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4"/>
      <c r="G25" s="22"/>
      <c r="H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4"/>
      <c r="G26" s="22"/>
      <c r="H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4"/>
      <c r="G27" s="22"/>
      <c r="H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4"/>
      <c r="G28" s="22"/>
      <c r="H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4"/>
      <c r="G29" s="22"/>
      <c r="H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4"/>
      <c r="G30" s="22"/>
      <c r="H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4"/>
      <c r="G31" s="22"/>
      <c r="H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4"/>
      <c r="G32" s="22"/>
      <c r="H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4"/>
      <c r="G33" s="22"/>
      <c r="H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4"/>
      <c r="G34" s="22"/>
      <c r="H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4"/>
      <c r="G35" s="22"/>
      <c r="H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4"/>
      <c r="G36" s="22"/>
      <c r="H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4"/>
      <c r="G37" s="22"/>
      <c r="H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4"/>
      <c r="G38" s="22"/>
      <c r="H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4"/>
      <c r="G39" s="22"/>
      <c r="H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4"/>
      <c r="G40" s="22"/>
      <c r="H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4"/>
      <c r="G41" s="22"/>
      <c r="H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4"/>
      <c r="G42" s="22"/>
      <c r="H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4"/>
      <c r="G43" s="22"/>
      <c r="H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4"/>
      <c r="G44" s="22"/>
      <c r="H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4"/>
      <c r="G45" s="22"/>
      <c r="H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4"/>
      <c r="G46" s="22"/>
      <c r="H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4"/>
      <c r="G47" s="22"/>
      <c r="H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4"/>
      <c r="G48" s="22"/>
      <c r="H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4"/>
      <c r="G49" s="22"/>
      <c r="H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4"/>
      <c r="G50" s="22"/>
      <c r="H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4"/>
      <c r="G51" s="22"/>
      <c r="H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4"/>
      <c r="G52" s="22"/>
      <c r="H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4"/>
      <c r="G53" s="22"/>
      <c r="H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4"/>
      <c r="G54" s="22"/>
      <c r="H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4"/>
      <c r="G55" s="22"/>
      <c r="H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4"/>
      <c r="G56" s="22"/>
      <c r="H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4"/>
      <c r="G57" s="22"/>
      <c r="H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4"/>
      <c r="G58" s="22"/>
      <c r="H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4"/>
      <c r="G59" s="22"/>
      <c r="H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4"/>
      <c r="G60" s="22"/>
      <c r="H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4"/>
      <c r="G61" s="22"/>
      <c r="H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4"/>
      <c r="G62" s="22"/>
      <c r="H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4"/>
      <c r="G63" s="22"/>
      <c r="H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4"/>
      <c r="G64" s="22"/>
      <c r="H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4"/>
      <c r="G65" s="22"/>
      <c r="H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4"/>
      <c r="G66" s="22"/>
      <c r="H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4"/>
      <c r="G67" s="22"/>
      <c r="H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4"/>
      <c r="G68" s="22"/>
      <c r="H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4"/>
      <c r="G69" s="22"/>
      <c r="H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4"/>
      <c r="G70" s="22"/>
      <c r="H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4"/>
      <c r="G71" s="22"/>
      <c r="H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4"/>
      <c r="G72" s="22"/>
      <c r="H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4"/>
      <c r="G73" s="22"/>
      <c r="H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4"/>
      <c r="G74" s="22"/>
      <c r="H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4"/>
      <c r="G75" s="22"/>
      <c r="H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4"/>
      <c r="G76" s="22"/>
      <c r="H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4"/>
      <c r="G77" s="22"/>
      <c r="H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4"/>
      <c r="G78" s="22"/>
      <c r="H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4"/>
      <c r="G79" s="22"/>
      <c r="H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4"/>
      <c r="G80" s="22"/>
      <c r="H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4"/>
      <c r="G81" s="22"/>
      <c r="H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4"/>
      <c r="G82" s="22"/>
      <c r="H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4"/>
      <c r="G83" s="22"/>
      <c r="H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4"/>
      <c r="G84" s="22"/>
      <c r="H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4"/>
      <c r="G85" s="22"/>
      <c r="H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4"/>
      <c r="G86" s="22"/>
      <c r="H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4"/>
      <c r="G87" s="22"/>
      <c r="H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4"/>
      <c r="G88" s="22"/>
      <c r="H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4"/>
      <c r="G89" s="22"/>
      <c r="H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4"/>
      <c r="G90" s="22"/>
      <c r="H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4"/>
      <c r="G91" s="22"/>
      <c r="H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4"/>
      <c r="G92" s="22"/>
      <c r="H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4"/>
      <c r="G93" s="22"/>
      <c r="H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4"/>
      <c r="G94" s="22"/>
      <c r="H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4"/>
      <c r="G95" s="22"/>
      <c r="H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4"/>
      <c r="G96" s="22"/>
      <c r="H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4"/>
      <c r="G97" s="22"/>
      <c r="H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4"/>
      <c r="G98" s="22"/>
      <c r="H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4"/>
      <c r="G99" s="22"/>
      <c r="H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4"/>
      <c r="G100" s="22"/>
      <c r="H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4"/>
      <c r="G101" s="22"/>
      <c r="H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4"/>
      <c r="G102" s="22"/>
      <c r="H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4"/>
      <c r="G103" s="22"/>
      <c r="H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4"/>
      <c r="G104" s="22"/>
      <c r="H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4"/>
      <c r="G105" s="22"/>
      <c r="H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4"/>
      <c r="G106" s="22"/>
      <c r="H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4"/>
      <c r="G107" s="22"/>
      <c r="H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4"/>
      <c r="G108" s="22"/>
      <c r="H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4"/>
      <c r="G109" s="22"/>
      <c r="H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4"/>
      <c r="G110" s="22"/>
      <c r="H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4"/>
      <c r="G111" s="22"/>
      <c r="H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4"/>
      <c r="G112" s="22"/>
      <c r="H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4"/>
      <c r="G113" s="22"/>
      <c r="H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4"/>
      <c r="G114" s="22"/>
      <c r="H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4"/>
      <c r="G115" s="22"/>
      <c r="H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4"/>
      <c r="G116" s="22"/>
      <c r="H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4"/>
      <c r="G117" s="22"/>
      <c r="H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4"/>
      <c r="G118" s="22"/>
      <c r="H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4"/>
      <c r="G119" s="22"/>
      <c r="H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4"/>
      <c r="G120" s="22"/>
      <c r="H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4"/>
      <c r="G121" s="22"/>
      <c r="H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4"/>
      <c r="G122" s="22"/>
      <c r="H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4"/>
      <c r="G123" s="22"/>
      <c r="H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4"/>
      <c r="G124" s="22"/>
      <c r="H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4"/>
      <c r="G125" s="22"/>
      <c r="H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4"/>
      <c r="G126" s="22"/>
      <c r="H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4"/>
      <c r="G127" s="22"/>
      <c r="H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4"/>
      <c r="G128" s="22"/>
      <c r="H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4"/>
      <c r="G129" s="22"/>
      <c r="H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4"/>
      <c r="G130" s="22"/>
      <c r="H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4"/>
      <c r="G131" s="22"/>
      <c r="H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4"/>
      <c r="G132" s="22"/>
      <c r="H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4"/>
      <c r="G133" s="22"/>
      <c r="H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4"/>
      <c r="G134" s="22"/>
      <c r="H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4"/>
      <c r="G135" s="22"/>
      <c r="H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4"/>
      <c r="G136" s="22"/>
      <c r="H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4"/>
      <c r="G137" s="22"/>
      <c r="H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4"/>
      <c r="G138" s="22"/>
      <c r="H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4"/>
      <c r="G139" s="22"/>
      <c r="H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4"/>
      <c r="G140" s="22"/>
      <c r="H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4"/>
      <c r="G141" s="22"/>
      <c r="H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4"/>
      <c r="G142" s="22"/>
      <c r="H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4"/>
      <c r="G143" s="22"/>
      <c r="H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4"/>
      <c r="G144" s="22"/>
      <c r="H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4"/>
      <c r="G145" s="22"/>
      <c r="H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4"/>
      <c r="G146" s="22"/>
      <c r="H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4"/>
      <c r="G147" s="22"/>
      <c r="H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4"/>
      <c r="G148" s="22"/>
      <c r="H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4"/>
      <c r="G149" s="22"/>
      <c r="H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4"/>
      <c r="G150" s="22"/>
      <c r="H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4"/>
      <c r="G151" s="22"/>
      <c r="H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4"/>
      <c r="G152" s="22"/>
      <c r="H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4"/>
      <c r="G153" s="22"/>
      <c r="H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4"/>
      <c r="G154" s="22"/>
      <c r="H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4"/>
      <c r="G155" s="22"/>
      <c r="H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4"/>
      <c r="G156" s="22"/>
      <c r="H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4"/>
      <c r="G157" s="22"/>
      <c r="H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4"/>
      <c r="G158" s="22"/>
      <c r="H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4"/>
      <c r="G159" s="22"/>
      <c r="H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4"/>
      <c r="G160" s="22"/>
      <c r="H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4"/>
      <c r="G161" s="22"/>
      <c r="H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4"/>
      <c r="G162" s="22"/>
      <c r="H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4"/>
      <c r="G163" s="22"/>
      <c r="H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4"/>
      <c r="G164" s="22"/>
      <c r="H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4"/>
      <c r="G165" s="22"/>
      <c r="H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4"/>
      <c r="G166" s="22"/>
      <c r="H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4"/>
      <c r="G167" s="22"/>
      <c r="H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4"/>
      <c r="G168" s="22"/>
      <c r="H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4"/>
      <c r="G169" s="22"/>
      <c r="H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4"/>
      <c r="G170" s="22"/>
      <c r="H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4"/>
      <c r="G171" s="22"/>
      <c r="H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4"/>
      <c r="G172" s="22"/>
      <c r="H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4"/>
      <c r="G173" s="22"/>
      <c r="H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4"/>
      <c r="G174" s="22"/>
      <c r="H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4"/>
      <c r="G175" s="22"/>
      <c r="H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4"/>
      <c r="G176" s="22"/>
      <c r="H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4"/>
      <c r="G177" s="22"/>
      <c r="H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4"/>
      <c r="G178" s="22"/>
      <c r="H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4"/>
      <c r="G179" s="22"/>
      <c r="H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4"/>
      <c r="G180" s="22"/>
      <c r="H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4"/>
      <c r="G181" s="22"/>
      <c r="H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4"/>
      <c r="G182" s="22"/>
      <c r="H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4"/>
      <c r="G183" s="22"/>
      <c r="H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4"/>
      <c r="G184" s="22"/>
      <c r="H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4"/>
      <c r="G185" s="22"/>
      <c r="H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4"/>
      <c r="G186" s="22"/>
      <c r="H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4"/>
      <c r="G187" s="22"/>
      <c r="H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4"/>
      <c r="G188" s="22"/>
      <c r="H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4"/>
      <c r="G189" s="22"/>
      <c r="H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4"/>
      <c r="G190" s="22"/>
      <c r="H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4"/>
      <c r="G191" s="22"/>
      <c r="H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4"/>
      <c r="G192" s="22"/>
      <c r="H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4"/>
      <c r="G193" s="22"/>
      <c r="H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4"/>
      <c r="G194" s="22"/>
      <c r="H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4"/>
      <c r="G195" s="22"/>
      <c r="H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4"/>
      <c r="G196" s="22"/>
      <c r="H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4"/>
      <c r="G197" s="22"/>
      <c r="H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4"/>
      <c r="G198" s="22"/>
      <c r="H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4"/>
      <c r="G199" s="22"/>
      <c r="H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4"/>
      <c r="G200" s="22"/>
      <c r="H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4"/>
      <c r="G201" s="22"/>
      <c r="H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4"/>
      <c r="G202" s="22"/>
      <c r="H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4"/>
      <c r="G203" s="22"/>
      <c r="H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4"/>
      <c r="G204" s="22"/>
      <c r="H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4"/>
      <c r="G205" s="22"/>
      <c r="H205" s="15"/>
    </row>
    <row r="206" customFormat="false" ht="15" hidden="false" customHeight="false" outlineLevel="0" collapsed="false">
      <c r="A206" s="15"/>
      <c r="B206" s="15"/>
      <c r="C206" s="15"/>
      <c r="D206" s="15"/>
      <c r="E206" s="15"/>
      <c r="F206" s="14"/>
      <c r="G206" s="22"/>
      <c r="H206" s="15"/>
    </row>
    <row r="207" customFormat="false" ht="15" hidden="false" customHeight="false" outlineLevel="0" collapsed="false">
      <c r="A207" s="15"/>
      <c r="B207" s="15"/>
      <c r="C207" s="15"/>
      <c r="D207" s="15"/>
      <c r="E207" s="15"/>
      <c r="F207" s="14"/>
      <c r="G207" s="22"/>
      <c r="H207" s="15"/>
    </row>
    <row r="208" customFormat="false" ht="15" hidden="false" customHeight="false" outlineLevel="0" collapsed="false">
      <c r="A208" s="15"/>
      <c r="B208" s="15"/>
      <c r="C208" s="15"/>
      <c r="D208" s="15"/>
      <c r="E208" s="15"/>
      <c r="F208" s="14"/>
      <c r="G208" s="22"/>
      <c r="H208" s="15"/>
    </row>
    <row r="209" customFormat="false" ht="15" hidden="false" customHeight="false" outlineLevel="0" collapsed="false">
      <c r="A209" s="15"/>
      <c r="B209" s="15"/>
      <c r="C209" s="15"/>
      <c r="D209" s="15"/>
      <c r="E209" s="15"/>
      <c r="F209" s="14"/>
      <c r="G209" s="22"/>
      <c r="H209" s="15"/>
    </row>
    <row r="210" customFormat="false" ht="15" hidden="false" customHeight="false" outlineLevel="0" collapsed="false">
      <c r="A210" s="15"/>
      <c r="B210" s="15"/>
      <c r="C210" s="15"/>
      <c r="D210" s="15"/>
      <c r="E210" s="15"/>
      <c r="F210" s="14"/>
      <c r="G210" s="22"/>
      <c r="H210" s="15"/>
    </row>
    <row r="211" customFormat="false" ht="15" hidden="false" customHeight="false" outlineLevel="0" collapsed="false">
      <c r="A211" s="15"/>
      <c r="B211" s="15"/>
      <c r="C211" s="15"/>
      <c r="D211" s="15"/>
      <c r="E211" s="15"/>
      <c r="F211" s="14"/>
      <c r="G211" s="22"/>
      <c r="H211" s="15"/>
    </row>
    <row r="212" customFormat="false" ht="15" hidden="false" customHeight="false" outlineLevel="0" collapsed="false">
      <c r="A212" s="15"/>
      <c r="B212" s="15"/>
      <c r="C212" s="15"/>
      <c r="D212" s="15"/>
      <c r="E212" s="15"/>
      <c r="F212" s="14"/>
      <c r="G212" s="22"/>
      <c r="H212" s="15"/>
    </row>
    <row r="213" customFormat="false" ht="15" hidden="false" customHeight="false" outlineLevel="0" collapsed="false">
      <c r="A213" s="15"/>
      <c r="B213" s="15"/>
      <c r="C213" s="15"/>
      <c r="D213" s="15"/>
      <c r="E213" s="15"/>
      <c r="F213" s="14"/>
      <c r="G213" s="22"/>
      <c r="H213" s="15"/>
    </row>
    <row r="214" customFormat="false" ht="15" hidden="false" customHeight="false" outlineLevel="0" collapsed="false">
      <c r="A214" s="15"/>
      <c r="B214" s="15"/>
      <c r="C214" s="15"/>
      <c r="D214" s="15"/>
      <c r="E214" s="15"/>
      <c r="F214" s="14"/>
      <c r="G214" s="22"/>
      <c r="H214" s="15"/>
    </row>
    <row r="215" customFormat="false" ht="15" hidden="false" customHeight="false" outlineLevel="0" collapsed="false">
      <c r="A215" s="15"/>
      <c r="B215" s="15"/>
      <c r="C215" s="15"/>
      <c r="D215" s="15"/>
      <c r="E215" s="15"/>
      <c r="F215" s="14"/>
      <c r="G215" s="22"/>
      <c r="H215" s="15"/>
    </row>
    <row r="216" customFormat="false" ht="15" hidden="false" customHeight="false" outlineLevel="0" collapsed="false">
      <c r="A216" s="15"/>
      <c r="B216" s="15"/>
      <c r="C216" s="15"/>
      <c r="D216" s="15"/>
      <c r="E216" s="15"/>
      <c r="F216" s="14"/>
      <c r="G216" s="22"/>
      <c r="H216" s="15"/>
    </row>
    <row r="217" customFormat="false" ht="15" hidden="false" customHeight="false" outlineLevel="0" collapsed="false">
      <c r="A217" s="15"/>
      <c r="B217" s="15"/>
      <c r="C217" s="15"/>
      <c r="D217" s="15"/>
      <c r="E217" s="15"/>
      <c r="F217" s="14"/>
      <c r="G217" s="22"/>
      <c r="H217" s="15"/>
    </row>
    <row r="218" customFormat="false" ht="15" hidden="false" customHeight="false" outlineLevel="0" collapsed="false">
      <c r="A218" s="15"/>
      <c r="B218" s="15"/>
      <c r="C218" s="15"/>
      <c r="D218" s="15"/>
      <c r="E218" s="15"/>
      <c r="F218" s="14"/>
      <c r="G218" s="22"/>
      <c r="H218" s="15"/>
    </row>
    <row r="219" customFormat="false" ht="15" hidden="false" customHeight="false" outlineLevel="0" collapsed="false">
      <c r="A219" s="15"/>
      <c r="B219" s="15"/>
      <c r="C219" s="15"/>
      <c r="D219" s="15"/>
      <c r="E219" s="15"/>
      <c r="F219" s="14"/>
      <c r="G219" s="22"/>
      <c r="H219" s="15"/>
    </row>
    <row r="220" customFormat="false" ht="15" hidden="false" customHeight="false" outlineLevel="0" collapsed="false">
      <c r="A220" s="15"/>
      <c r="B220" s="15"/>
      <c r="C220" s="15"/>
      <c r="D220" s="15"/>
      <c r="E220" s="15"/>
      <c r="F220" s="14"/>
      <c r="G220" s="22"/>
      <c r="H220" s="15"/>
    </row>
    <row r="221" customFormat="false" ht="15" hidden="false" customHeight="false" outlineLevel="0" collapsed="false">
      <c r="A221" s="15"/>
      <c r="B221" s="15"/>
      <c r="C221" s="15"/>
      <c r="D221" s="15"/>
      <c r="E221" s="15"/>
      <c r="F221" s="14"/>
      <c r="G221" s="22"/>
      <c r="H221" s="15"/>
    </row>
    <row r="222" customFormat="false" ht="15" hidden="false" customHeight="false" outlineLevel="0" collapsed="false">
      <c r="A222" s="15"/>
      <c r="B222" s="15"/>
      <c r="C222" s="15"/>
      <c r="D222" s="15"/>
      <c r="E222" s="15"/>
      <c r="F222" s="14"/>
      <c r="G222" s="22"/>
      <c r="H222" s="15"/>
    </row>
    <row r="223" customFormat="false" ht="15" hidden="false" customHeight="false" outlineLevel="0" collapsed="false">
      <c r="A223" s="15"/>
      <c r="B223" s="15"/>
      <c r="C223" s="15"/>
      <c r="D223" s="15"/>
      <c r="E223" s="15"/>
      <c r="F223" s="14"/>
      <c r="G223" s="22"/>
      <c r="H223" s="15"/>
    </row>
    <row r="224" customFormat="false" ht="15" hidden="false" customHeight="false" outlineLevel="0" collapsed="false">
      <c r="A224" s="15"/>
      <c r="B224" s="15"/>
      <c r="C224" s="15"/>
      <c r="D224" s="15"/>
      <c r="E224" s="15"/>
      <c r="F224" s="14"/>
      <c r="G224" s="22"/>
      <c r="H224" s="15"/>
    </row>
    <row r="225" customFormat="false" ht="15" hidden="false" customHeight="false" outlineLevel="0" collapsed="false">
      <c r="A225" s="15"/>
      <c r="B225" s="15"/>
      <c r="C225" s="15"/>
      <c r="D225" s="15"/>
      <c r="E225" s="15"/>
      <c r="F225" s="14"/>
      <c r="G225" s="22"/>
      <c r="H225" s="15"/>
    </row>
    <row r="226" customFormat="false" ht="15" hidden="false" customHeight="false" outlineLevel="0" collapsed="false">
      <c r="A226" s="15"/>
      <c r="B226" s="15"/>
      <c r="C226" s="15"/>
      <c r="D226" s="15"/>
      <c r="E226" s="15"/>
      <c r="F226" s="14"/>
      <c r="G226" s="22"/>
      <c r="H226" s="15"/>
    </row>
    <row r="227" customFormat="false" ht="15" hidden="false" customHeight="false" outlineLevel="0" collapsed="false">
      <c r="A227" s="15"/>
      <c r="B227" s="15"/>
      <c r="C227" s="15"/>
      <c r="D227" s="15"/>
      <c r="E227" s="15"/>
      <c r="F227" s="14"/>
      <c r="G227" s="22"/>
      <c r="H227" s="15"/>
    </row>
    <row r="228" customFormat="false" ht="15" hidden="false" customHeight="false" outlineLevel="0" collapsed="false">
      <c r="A228" s="15"/>
      <c r="B228" s="15"/>
      <c r="C228" s="15"/>
      <c r="D228" s="15"/>
      <c r="E228" s="15"/>
      <c r="F228" s="14"/>
      <c r="G228" s="22"/>
      <c r="H228" s="15"/>
    </row>
    <row r="229" customFormat="false" ht="15" hidden="false" customHeight="false" outlineLevel="0" collapsed="false">
      <c r="A229" s="15"/>
      <c r="B229" s="15"/>
      <c r="C229" s="15"/>
      <c r="D229" s="15"/>
      <c r="E229" s="15"/>
      <c r="F229" s="14"/>
      <c r="G229" s="22"/>
      <c r="H229" s="15"/>
    </row>
    <row r="230" customFormat="false" ht="15" hidden="false" customHeight="false" outlineLevel="0" collapsed="false">
      <c r="A230" s="15"/>
      <c r="B230" s="15"/>
      <c r="C230" s="15"/>
      <c r="D230" s="15"/>
      <c r="E230" s="15"/>
      <c r="F230" s="14"/>
      <c r="G230" s="22"/>
      <c r="H230" s="15"/>
    </row>
    <row r="231" customFormat="false" ht="15" hidden="false" customHeight="false" outlineLevel="0" collapsed="false">
      <c r="A231" s="15"/>
      <c r="B231" s="15"/>
      <c r="C231" s="15"/>
      <c r="D231" s="15"/>
      <c r="E231" s="15"/>
      <c r="F231" s="14"/>
      <c r="G231" s="22"/>
      <c r="H231" s="15"/>
    </row>
    <row r="232" customFormat="false" ht="15" hidden="false" customHeight="false" outlineLevel="0" collapsed="false">
      <c r="A232" s="15"/>
      <c r="B232" s="15"/>
      <c r="C232" s="15"/>
      <c r="D232" s="15"/>
      <c r="E232" s="15"/>
      <c r="F232" s="14"/>
      <c r="G232" s="22"/>
      <c r="H232" s="15"/>
    </row>
    <row r="233" customFormat="false" ht="15" hidden="false" customHeight="false" outlineLevel="0" collapsed="false">
      <c r="A233" s="15"/>
      <c r="B233" s="15"/>
      <c r="C233" s="15"/>
      <c r="D233" s="15"/>
      <c r="E233" s="15"/>
      <c r="F233" s="14"/>
      <c r="G233" s="22"/>
      <c r="H233" s="15"/>
    </row>
    <row r="234" customFormat="false" ht="15" hidden="false" customHeight="false" outlineLevel="0" collapsed="false">
      <c r="A234" s="15"/>
      <c r="B234" s="15"/>
      <c r="C234" s="15"/>
      <c r="D234" s="15"/>
      <c r="E234" s="15"/>
      <c r="F234" s="14"/>
      <c r="G234" s="22"/>
      <c r="H234" s="15"/>
    </row>
    <row r="235" customFormat="false" ht="15" hidden="false" customHeight="false" outlineLevel="0" collapsed="false">
      <c r="A235" s="15"/>
      <c r="B235" s="15"/>
      <c r="C235" s="15"/>
      <c r="D235" s="15"/>
      <c r="E235" s="15"/>
      <c r="F235" s="14"/>
      <c r="G235" s="22"/>
      <c r="H235" s="15"/>
    </row>
    <row r="236" customFormat="false" ht="15" hidden="false" customHeight="false" outlineLevel="0" collapsed="false">
      <c r="A236" s="15"/>
      <c r="B236" s="15"/>
      <c r="C236" s="15"/>
      <c r="D236" s="15"/>
      <c r="E236" s="15"/>
      <c r="F236" s="14"/>
      <c r="G236" s="22"/>
      <c r="H236" s="15"/>
    </row>
    <row r="237" customFormat="false" ht="15" hidden="false" customHeight="false" outlineLevel="0" collapsed="false">
      <c r="A237" s="15"/>
      <c r="B237" s="15"/>
      <c r="C237" s="15"/>
      <c r="D237" s="15"/>
      <c r="E237" s="15"/>
      <c r="F237" s="14"/>
      <c r="G237" s="22"/>
      <c r="H237" s="15"/>
    </row>
    <row r="238" customFormat="false" ht="15" hidden="false" customHeight="false" outlineLevel="0" collapsed="false">
      <c r="A238" s="15"/>
      <c r="B238" s="15"/>
      <c r="C238" s="15"/>
      <c r="D238" s="15"/>
      <c r="E238" s="15"/>
      <c r="F238" s="14"/>
      <c r="G238" s="22"/>
      <c r="H238" s="15"/>
    </row>
    <row r="239" customFormat="false" ht="15" hidden="false" customHeight="false" outlineLevel="0" collapsed="false">
      <c r="A239" s="15"/>
      <c r="B239" s="15"/>
      <c r="C239" s="15"/>
      <c r="D239" s="15"/>
      <c r="E239" s="15"/>
      <c r="F239" s="14"/>
      <c r="G239" s="22"/>
      <c r="H239" s="15"/>
    </row>
    <row r="240" customFormat="false" ht="15" hidden="false" customHeight="false" outlineLevel="0" collapsed="false">
      <c r="A240" s="15"/>
      <c r="B240" s="15"/>
      <c r="C240" s="15"/>
      <c r="D240" s="15"/>
      <c r="E240" s="15"/>
      <c r="F240" s="14"/>
      <c r="G240" s="22"/>
      <c r="H240" s="15"/>
    </row>
    <row r="241" customFormat="false" ht="15" hidden="false" customHeight="false" outlineLevel="0" collapsed="false">
      <c r="A241" s="15"/>
      <c r="B241" s="15"/>
      <c r="C241" s="15"/>
      <c r="D241" s="15"/>
      <c r="E241" s="15"/>
      <c r="F241" s="14"/>
      <c r="G241" s="22"/>
      <c r="H241" s="15"/>
    </row>
    <row r="242" customFormat="false" ht="15" hidden="false" customHeight="false" outlineLevel="0" collapsed="false">
      <c r="A242" s="15"/>
      <c r="B242" s="15"/>
      <c r="C242" s="15"/>
      <c r="D242" s="15"/>
      <c r="E242" s="15"/>
      <c r="F242" s="14"/>
      <c r="G242" s="22"/>
      <c r="H242" s="15"/>
    </row>
    <row r="243" customFormat="false" ht="15" hidden="false" customHeight="false" outlineLevel="0" collapsed="false">
      <c r="A243" s="15"/>
      <c r="B243" s="15"/>
      <c r="C243" s="15"/>
      <c r="D243" s="15"/>
      <c r="E243" s="15"/>
      <c r="F243" s="14"/>
      <c r="G243" s="22"/>
      <c r="H243" s="15"/>
    </row>
    <row r="244" customFormat="false" ht="15" hidden="false" customHeight="false" outlineLevel="0" collapsed="false">
      <c r="A244" s="15"/>
      <c r="B244" s="15"/>
      <c r="C244" s="15"/>
      <c r="D244" s="15"/>
      <c r="E244" s="15"/>
      <c r="F244" s="14"/>
      <c r="G244" s="22"/>
      <c r="H244" s="15"/>
    </row>
    <row r="245" customFormat="false" ht="15" hidden="false" customHeight="false" outlineLevel="0" collapsed="false">
      <c r="A245" s="15"/>
      <c r="B245" s="15"/>
      <c r="C245" s="15"/>
      <c r="D245" s="15"/>
      <c r="E245" s="15"/>
      <c r="F245" s="14"/>
      <c r="G245" s="22"/>
      <c r="H245" s="15"/>
    </row>
    <row r="246" customFormat="false" ht="15" hidden="false" customHeight="false" outlineLevel="0" collapsed="false">
      <c r="A246" s="15"/>
      <c r="B246" s="15"/>
      <c r="C246" s="15"/>
      <c r="D246" s="15"/>
      <c r="E246" s="15"/>
      <c r="F246" s="14"/>
      <c r="G246" s="22"/>
      <c r="H246" s="15"/>
    </row>
    <row r="247" customFormat="false" ht="15" hidden="false" customHeight="false" outlineLevel="0" collapsed="false">
      <c r="A247" s="15"/>
      <c r="B247" s="15"/>
      <c r="C247" s="15"/>
      <c r="D247" s="15"/>
      <c r="E247" s="15"/>
      <c r="F247" s="14"/>
      <c r="G247" s="22"/>
      <c r="H247" s="15"/>
    </row>
    <row r="248" customFormat="false" ht="15" hidden="false" customHeight="false" outlineLevel="0" collapsed="false">
      <c r="A248" s="15"/>
      <c r="B248" s="15"/>
      <c r="C248" s="15"/>
      <c r="D248" s="15"/>
      <c r="E248" s="15"/>
      <c r="F248" s="14"/>
      <c r="G248" s="22"/>
      <c r="H248" s="15"/>
    </row>
    <row r="249" customFormat="false" ht="15" hidden="false" customHeight="false" outlineLevel="0" collapsed="false">
      <c r="A249" s="15"/>
      <c r="B249" s="15"/>
      <c r="C249" s="15"/>
      <c r="D249" s="15"/>
      <c r="E249" s="15"/>
      <c r="F249" s="14"/>
      <c r="G249" s="22"/>
      <c r="H249" s="15"/>
    </row>
    <row r="250" customFormat="false" ht="15" hidden="false" customHeight="false" outlineLevel="0" collapsed="false">
      <c r="A250" s="15"/>
      <c r="B250" s="15"/>
      <c r="C250" s="15"/>
      <c r="D250" s="15"/>
      <c r="E250" s="15"/>
      <c r="F250" s="14"/>
      <c r="G250" s="22"/>
      <c r="H250" s="15"/>
    </row>
    <row r="251" customFormat="false" ht="15" hidden="false" customHeight="false" outlineLevel="0" collapsed="false">
      <c r="A251" s="15"/>
      <c r="B251" s="15"/>
      <c r="C251" s="15"/>
      <c r="D251" s="15"/>
      <c r="E251" s="15"/>
      <c r="F251" s="14"/>
      <c r="G251" s="22"/>
      <c r="H251" s="15"/>
    </row>
    <row r="252" customFormat="false" ht="15" hidden="false" customHeight="false" outlineLevel="0" collapsed="false">
      <c r="A252" s="15"/>
      <c r="B252" s="15"/>
      <c r="C252" s="15"/>
      <c r="D252" s="15"/>
      <c r="E252" s="15"/>
      <c r="F252" s="14"/>
      <c r="G252" s="22"/>
      <c r="H252" s="15"/>
    </row>
    <row r="253" customFormat="false" ht="15" hidden="false" customHeight="false" outlineLevel="0" collapsed="false">
      <c r="A253" s="15"/>
      <c r="B253" s="15"/>
      <c r="C253" s="15"/>
      <c r="D253" s="15"/>
      <c r="E253" s="15"/>
      <c r="F253" s="14"/>
      <c r="G253" s="22"/>
      <c r="H253" s="15"/>
    </row>
    <row r="254" customFormat="false" ht="15" hidden="false" customHeight="false" outlineLevel="0" collapsed="false">
      <c r="A254" s="15"/>
      <c r="B254" s="15"/>
      <c r="C254" s="15"/>
      <c r="D254" s="15"/>
      <c r="E254" s="15"/>
      <c r="F254" s="14"/>
      <c r="G254" s="22"/>
      <c r="H254" s="15"/>
    </row>
    <row r="255" customFormat="false" ht="15" hidden="false" customHeight="false" outlineLevel="0" collapsed="false">
      <c r="A255" s="15"/>
      <c r="B255" s="15"/>
      <c r="C255" s="15"/>
      <c r="D255" s="15"/>
      <c r="E255" s="15"/>
      <c r="F255" s="14"/>
      <c r="G255" s="22"/>
      <c r="H255" s="15"/>
    </row>
    <row r="256" customFormat="false" ht="15" hidden="false" customHeight="false" outlineLevel="0" collapsed="false">
      <c r="A256" s="15"/>
      <c r="B256" s="15"/>
      <c r="C256" s="15"/>
      <c r="D256" s="15"/>
      <c r="E256" s="15"/>
      <c r="F256" s="14"/>
      <c r="G256" s="22"/>
      <c r="H256" s="15"/>
    </row>
    <row r="257" customFormat="false" ht="15" hidden="false" customHeight="false" outlineLevel="0" collapsed="false">
      <c r="A257" s="15"/>
      <c r="B257" s="15"/>
      <c r="C257" s="15"/>
      <c r="D257" s="15"/>
      <c r="E257" s="15"/>
      <c r="F257" s="14"/>
      <c r="G257" s="22"/>
      <c r="H257" s="15"/>
    </row>
    <row r="258" customFormat="false" ht="15" hidden="false" customHeight="false" outlineLevel="0" collapsed="false">
      <c r="A258" s="15"/>
      <c r="B258" s="15"/>
      <c r="C258" s="15"/>
      <c r="D258" s="15"/>
      <c r="E258" s="15"/>
      <c r="F258" s="14"/>
      <c r="G258" s="22"/>
      <c r="H258" s="15"/>
    </row>
    <row r="259" customFormat="false" ht="15" hidden="false" customHeight="false" outlineLevel="0" collapsed="false">
      <c r="A259" s="15"/>
      <c r="B259" s="15"/>
      <c r="C259" s="15"/>
      <c r="D259" s="15"/>
      <c r="E259" s="15"/>
      <c r="F259" s="14"/>
      <c r="G259" s="22"/>
      <c r="H259" s="15"/>
    </row>
    <row r="260" customFormat="false" ht="15" hidden="false" customHeight="false" outlineLevel="0" collapsed="false">
      <c r="A260" s="15"/>
      <c r="B260" s="15"/>
      <c r="C260" s="15"/>
      <c r="D260" s="15"/>
      <c r="E260" s="15"/>
      <c r="F260" s="14"/>
      <c r="G260" s="22"/>
      <c r="H260" s="15"/>
    </row>
    <row r="261" customFormat="false" ht="15" hidden="false" customHeight="false" outlineLevel="0" collapsed="false">
      <c r="A261" s="15"/>
      <c r="B261" s="15"/>
      <c r="C261" s="15"/>
      <c r="D261" s="15"/>
      <c r="E261" s="15"/>
      <c r="F261" s="14"/>
      <c r="G261" s="22"/>
      <c r="H261" s="15"/>
    </row>
    <row r="262" customFormat="false" ht="15" hidden="false" customHeight="false" outlineLevel="0" collapsed="false">
      <c r="A262" s="15"/>
      <c r="B262" s="15"/>
      <c r="C262" s="15"/>
      <c r="D262" s="15"/>
      <c r="E262" s="15"/>
      <c r="F262" s="14"/>
      <c r="G262" s="22"/>
      <c r="H262" s="15"/>
    </row>
    <row r="263" customFormat="false" ht="15" hidden="false" customHeight="false" outlineLevel="0" collapsed="false">
      <c r="A263" s="15"/>
      <c r="B263" s="15"/>
      <c r="C263" s="15"/>
      <c r="D263" s="15"/>
      <c r="E263" s="15"/>
      <c r="F263" s="14"/>
      <c r="G263" s="22"/>
      <c r="H263" s="15"/>
    </row>
    <row r="264" customFormat="false" ht="15" hidden="false" customHeight="false" outlineLevel="0" collapsed="false">
      <c r="A264" s="15"/>
      <c r="B264" s="15"/>
      <c r="C264" s="15"/>
      <c r="D264" s="15"/>
      <c r="E264" s="15"/>
      <c r="F264" s="14"/>
      <c r="G264" s="22"/>
      <c r="H264" s="15"/>
    </row>
    <row r="265" customFormat="false" ht="15" hidden="false" customHeight="false" outlineLevel="0" collapsed="false">
      <c r="A265" s="15"/>
      <c r="B265" s="15"/>
      <c r="C265" s="15"/>
      <c r="D265" s="15"/>
      <c r="E265" s="15"/>
      <c r="F265" s="14"/>
      <c r="G265" s="22"/>
      <c r="H265" s="15"/>
    </row>
    <row r="266" customFormat="false" ht="15" hidden="false" customHeight="false" outlineLevel="0" collapsed="false">
      <c r="A266" s="15"/>
      <c r="B266" s="15"/>
      <c r="C266" s="15"/>
      <c r="D266" s="15"/>
      <c r="E266" s="15"/>
      <c r="F266" s="14"/>
      <c r="G266" s="22"/>
      <c r="H266" s="15"/>
    </row>
    <row r="267" customFormat="false" ht="15" hidden="false" customHeight="false" outlineLevel="0" collapsed="false">
      <c r="A267" s="15"/>
      <c r="B267" s="15"/>
      <c r="C267" s="15"/>
      <c r="D267" s="15"/>
      <c r="E267" s="15"/>
      <c r="F267" s="14"/>
      <c r="G267" s="22"/>
      <c r="H267" s="15"/>
    </row>
    <row r="268" customFormat="false" ht="15" hidden="false" customHeight="false" outlineLevel="0" collapsed="false">
      <c r="A268" s="15"/>
      <c r="B268" s="15"/>
      <c r="C268" s="15"/>
      <c r="D268" s="15"/>
      <c r="E268" s="15"/>
      <c r="F268" s="14"/>
      <c r="G268" s="22"/>
      <c r="H268" s="15"/>
    </row>
    <row r="269" customFormat="false" ht="15" hidden="false" customHeight="false" outlineLevel="0" collapsed="false">
      <c r="A269" s="15"/>
      <c r="B269" s="15"/>
      <c r="C269" s="15"/>
      <c r="D269" s="15"/>
      <c r="E269" s="15"/>
      <c r="F269" s="14"/>
      <c r="G269" s="22"/>
      <c r="H269" s="15"/>
    </row>
    <row r="270" customFormat="false" ht="15" hidden="false" customHeight="false" outlineLevel="0" collapsed="false">
      <c r="A270" s="15"/>
      <c r="B270" s="15"/>
      <c r="C270" s="15"/>
      <c r="D270" s="15"/>
      <c r="E270" s="15"/>
      <c r="F270" s="14"/>
      <c r="G270" s="22"/>
      <c r="H270" s="15"/>
    </row>
    <row r="271" customFormat="false" ht="15" hidden="false" customHeight="false" outlineLevel="0" collapsed="false">
      <c r="A271" s="15"/>
      <c r="B271" s="15"/>
      <c r="C271" s="15"/>
      <c r="D271" s="15"/>
      <c r="E271" s="15"/>
      <c r="F271" s="14"/>
      <c r="G271" s="22"/>
      <c r="H271" s="15"/>
    </row>
    <row r="272" customFormat="false" ht="15" hidden="false" customHeight="false" outlineLevel="0" collapsed="false">
      <c r="A272" s="15"/>
      <c r="B272" s="15"/>
      <c r="C272" s="15"/>
      <c r="D272" s="15"/>
      <c r="E272" s="15"/>
      <c r="F272" s="14"/>
      <c r="G272" s="22"/>
      <c r="H272" s="15"/>
    </row>
    <row r="273" customFormat="false" ht="15" hidden="false" customHeight="false" outlineLevel="0" collapsed="false">
      <c r="A273" s="15"/>
      <c r="B273" s="15"/>
      <c r="C273" s="15"/>
      <c r="D273" s="15"/>
      <c r="E273" s="15"/>
      <c r="F273" s="14"/>
      <c r="G273" s="22"/>
      <c r="H273" s="15"/>
    </row>
    <row r="274" customFormat="false" ht="15" hidden="false" customHeight="false" outlineLevel="0" collapsed="false">
      <c r="A274" s="15"/>
      <c r="B274" s="15"/>
      <c r="C274" s="15"/>
      <c r="D274" s="15"/>
      <c r="E274" s="15"/>
      <c r="F274" s="14"/>
      <c r="G274" s="22"/>
      <c r="H274" s="15"/>
    </row>
    <row r="275" customFormat="false" ht="15" hidden="false" customHeight="false" outlineLevel="0" collapsed="false">
      <c r="A275" s="15"/>
      <c r="B275" s="15"/>
      <c r="C275" s="15"/>
      <c r="D275" s="15"/>
      <c r="E275" s="15"/>
      <c r="F275" s="14"/>
      <c r="G275" s="22"/>
      <c r="H275" s="15"/>
    </row>
    <row r="276" customFormat="false" ht="15" hidden="false" customHeight="false" outlineLevel="0" collapsed="false">
      <c r="A276" s="15"/>
      <c r="B276" s="15"/>
      <c r="C276" s="15"/>
      <c r="D276" s="15"/>
      <c r="E276" s="15"/>
      <c r="F276" s="14"/>
      <c r="G276" s="22"/>
      <c r="H276" s="15"/>
    </row>
    <row r="277" customFormat="false" ht="15" hidden="false" customHeight="false" outlineLevel="0" collapsed="false">
      <c r="A277" s="15"/>
      <c r="B277" s="15"/>
      <c r="C277" s="15"/>
      <c r="D277" s="15"/>
      <c r="E277" s="15"/>
      <c r="F277" s="14"/>
      <c r="G277" s="22"/>
      <c r="H277" s="15"/>
    </row>
    <row r="278" customFormat="false" ht="15" hidden="false" customHeight="false" outlineLevel="0" collapsed="false">
      <c r="A278" s="15"/>
      <c r="B278" s="15"/>
      <c r="C278" s="15"/>
      <c r="D278" s="15"/>
      <c r="E278" s="15"/>
      <c r="F278" s="14"/>
      <c r="G278" s="22"/>
      <c r="H278" s="15"/>
    </row>
    <row r="279" customFormat="false" ht="15" hidden="false" customHeight="false" outlineLevel="0" collapsed="false">
      <c r="A279" s="15"/>
      <c r="B279" s="15"/>
      <c r="C279" s="15"/>
      <c r="D279" s="15"/>
      <c r="E279" s="15"/>
      <c r="F279" s="14"/>
      <c r="G279" s="22"/>
      <c r="H279" s="15"/>
    </row>
    <row r="280" customFormat="false" ht="15" hidden="false" customHeight="false" outlineLevel="0" collapsed="false">
      <c r="A280" s="15"/>
      <c r="B280" s="15"/>
      <c r="C280" s="15"/>
      <c r="D280" s="15"/>
      <c r="E280" s="15"/>
      <c r="F280" s="14"/>
      <c r="G280" s="22"/>
      <c r="H280" s="15"/>
    </row>
    <row r="281" customFormat="false" ht="15" hidden="false" customHeight="false" outlineLevel="0" collapsed="false">
      <c r="A281" s="15"/>
      <c r="B281" s="15"/>
      <c r="C281" s="15"/>
      <c r="D281" s="15"/>
      <c r="E281" s="15"/>
      <c r="F281" s="14"/>
      <c r="G281" s="22"/>
      <c r="H281" s="15"/>
    </row>
    <row r="282" customFormat="false" ht="15" hidden="false" customHeight="false" outlineLevel="0" collapsed="false">
      <c r="A282" s="15"/>
      <c r="B282" s="15"/>
      <c r="C282" s="15"/>
      <c r="D282" s="15"/>
      <c r="E282" s="15"/>
      <c r="F282" s="14"/>
      <c r="G282" s="22"/>
      <c r="H282" s="15"/>
    </row>
    <row r="283" customFormat="false" ht="15" hidden="false" customHeight="false" outlineLevel="0" collapsed="false">
      <c r="A283" s="15"/>
      <c r="B283" s="15"/>
      <c r="C283" s="15"/>
      <c r="D283" s="15"/>
      <c r="E283" s="15"/>
      <c r="F283" s="14"/>
      <c r="G283" s="22"/>
      <c r="H283" s="15"/>
    </row>
    <row r="284" customFormat="false" ht="15" hidden="false" customHeight="false" outlineLevel="0" collapsed="false">
      <c r="A284" s="15"/>
      <c r="B284" s="15"/>
      <c r="C284" s="15"/>
      <c r="D284" s="15"/>
      <c r="E284" s="15"/>
      <c r="F284" s="14"/>
      <c r="G284" s="22"/>
      <c r="H284" s="15"/>
    </row>
    <row r="285" customFormat="false" ht="15" hidden="false" customHeight="false" outlineLevel="0" collapsed="false">
      <c r="A285" s="15"/>
      <c r="B285" s="15"/>
      <c r="C285" s="15"/>
      <c r="D285" s="15"/>
      <c r="E285" s="15"/>
      <c r="F285" s="14"/>
      <c r="G285" s="22"/>
      <c r="H285" s="15"/>
    </row>
    <row r="286" customFormat="false" ht="15" hidden="false" customHeight="false" outlineLevel="0" collapsed="false">
      <c r="A286" s="15"/>
      <c r="B286" s="15"/>
      <c r="C286" s="15"/>
      <c r="D286" s="15"/>
      <c r="E286" s="15"/>
      <c r="F286" s="14"/>
      <c r="G286" s="22"/>
      <c r="H286" s="15"/>
    </row>
    <row r="287" customFormat="false" ht="15" hidden="false" customHeight="false" outlineLevel="0" collapsed="false">
      <c r="A287" s="15"/>
      <c r="B287" s="15"/>
      <c r="C287" s="15"/>
      <c r="D287" s="15"/>
      <c r="E287" s="15"/>
      <c r="F287" s="14"/>
      <c r="G287" s="22"/>
      <c r="H287" s="15"/>
    </row>
    <row r="288" customFormat="false" ht="15" hidden="false" customHeight="false" outlineLevel="0" collapsed="false">
      <c r="A288" s="15"/>
      <c r="B288" s="15"/>
      <c r="C288" s="15"/>
      <c r="D288" s="15"/>
      <c r="E288" s="15"/>
      <c r="F288" s="14"/>
      <c r="G288" s="22"/>
      <c r="H288" s="15"/>
    </row>
    <row r="289" customFormat="false" ht="15" hidden="false" customHeight="false" outlineLevel="0" collapsed="false">
      <c r="A289" s="15"/>
      <c r="B289" s="15"/>
      <c r="C289" s="15"/>
      <c r="D289" s="15"/>
      <c r="E289" s="15"/>
      <c r="F289" s="14"/>
      <c r="G289" s="22"/>
      <c r="H289" s="15"/>
    </row>
    <row r="290" customFormat="false" ht="15" hidden="false" customHeight="false" outlineLevel="0" collapsed="false">
      <c r="A290" s="15"/>
      <c r="B290" s="15"/>
      <c r="C290" s="15"/>
      <c r="D290" s="15"/>
      <c r="E290" s="15"/>
      <c r="F290" s="14"/>
      <c r="G290" s="22"/>
      <c r="H290" s="15"/>
    </row>
    <row r="291" customFormat="false" ht="15" hidden="false" customHeight="false" outlineLevel="0" collapsed="false">
      <c r="A291" s="15"/>
      <c r="B291" s="15"/>
      <c r="C291" s="15"/>
      <c r="D291" s="15"/>
      <c r="E291" s="15"/>
      <c r="F291" s="14"/>
      <c r="G291" s="22"/>
      <c r="H291" s="15"/>
    </row>
    <row r="292" customFormat="false" ht="15" hidden="false" customHeight="false" outlineLevel="0" collapsed="false">
      <c r="A292" s="15"/>
      <c r="B292" s="15"/>
      <c r="C292" s="15"/>
      <c r="D292" s="15"/>
      <c r="E292" s="15"/>
      <c r="F292" s="14"/>
      <c r="G292" s="22"/>
      <c r="H292" s="15"/>
    </row>
    <row r="293" customFormat="false" ht="15" hidden="false" customHeight="false" outlineLevel="0" collapsed="false">
      <c r="A293" s="15"/>
      <c r="B293" s="15"/>
      <c r="C293" s="15"/>
      <c r="D293" s="15"/>
      <c r="E293" s="15"/>
      <c r="F293" s="14"/>
      <c r="G293" s="22"/>
      <c r="H293" s="15"/>
    </row>
    <row r="294" customFormat="false" ht="15" hidden="false" customHeight="false" outlineLevel="0" collapsed="false">
      <c r="A294" s="15"/>
      <c r="B294" s="15"/>
      <c r="C294" s="15"/>
      <c r="D294" s="15"/>
      <c r="E294" s="15"/>
      <c r="F294" s="14"/>
      <c r="G294" s="22"/>
      <c r="H294" s="15"/>
    </row>
    <row r="295" customFormat="false" ht="15" hidden="false" customHeight="false" outlineLevel="0" collapsed="false">
      <c r="A295" s="15"/>
      <c r="B295" s="15"/>
      <c r="C295" s="15"/>
      <c r="D295" s="15"/>
      <c r="E295" s="15"/>
      <c r="F295" s="14"/>
      <c r="G295" s="22"/>
      <c r="H295" s="15"/>
    </row>
    <row r="296" customFormat="false" ht="15" hidden="false" customHeight="false" outlineLevel="0" collapsed="false">
      <c r="A296" s="15"/>
      <c r="B296" s="15"/>
      <c r="C296" s="15"/>
      <c r="D296" s="15"/>
      <c r="E296" s="15"/>
      <c r="F296" s="14"/>
      <c r="G296" s="22"/>
      <c r="H296" s="15"/>
    </row>
    <row r="297" customFormat="false" ht="15" hidden="false" customHeight="false" outlineLevel="0" collapsed="false">
      <c r="A297" s="15"/>
      <c r="B297" s="15"/>
      <c r="C297" s="15"/>
      <c r="D297" s="15"/>
      <c r="E297" s="15"/>
      <c r="F297" s="14"/>
      <c r="G297" s="22"/>
      <c r="H297" s="15"/>
    </row>
    <row r="298" customFormat="false" ht="15" hidden="false" customHeight="false" outlineLevel="0" collapsed="false">
      <c r="A298" s="15"/>
      <c r="B298" s="15"/>
      <c r="C298" s="15"/>
      <c r="D298" s="15"/>
      <c r="E298" s="15"/>
      <c r="F298" s="14"/>
      <c r="G298" s="22"/>
      <c r="H298" s="15"/>
    </row>
    <row r="299" customFormat="false" ht="15" hidden="false" customHeight="false" outlineLevel="0" collapsed="false">
      <c r="A299" s="15"/>
      <c r="B299" s="15"/>
      <c r="C299" s="15"/>
      <c r="D299" s="15"/>
      <c r="E299" s="15"/>
      <c r="F299" s="14"/>
      <c r="G299" s="22"/>
      <c r="H299" s="15"/>
    </row>
    <row r="300" customFormat="false" ht="15" hidden="false" customHeight="false" outlineLevel="0" collapsed="false">
      <c r="A300" s="15"/>
      <c r="B300" s="15"/>
      <c r="C300" s="15"/>
      <c r="D300" s="15"/>
      <c r="E300" s="15"/>
      <c r="F300" s="14"/>
      <c r="G300" s="22"/>
      <c r="H300" s="15"/>
    </row>
    <row r="301" customFormat="false" ht="15" hidden="false" customHeight="false" outlineLevel="0" collapsed="false">
      <c r="A301" s="15"/>
      <c r="B301" s="15"/>
      <c r="C301" s="15"/>
      <c r="D301" s="15"/>
      <c r="E301" s="15"/>
      <c r="F301" s="14"/>
      <c r="G301" s="22"/>
      <c r="H301" s="15"/>
    </row>
  </sheetData>
  <autoFilter ref="A1:H301"/>
  <conditionalFormatting sqref="A2:A301">
    <cfRule type="expression" priority="2" aboveAverage="0" equalAverage="0" bottom="0" percent="0" rank="0" text="" dxfId="14">
      <formula>AND(A2&lt;&gt;"",COUNTIF($A$2:$A$301,A2)&gt;1)</formula>
    </cfRule>
  </conditionalFormatting>
  <conditionalFormatting sqref="E2:E301">
    <cfRule type="cellIs" priority="3" operator="equal" aboveAverage="0" equalAverage="0" bottom="0" percent="0" rank="0" text="" dxfId="11">
      <formula>"Workshop"</formula>
    </cfRule>
    <cfRule type="cellIs" priority="4" operator="equal" aboveAverage="0" equalAverage="0" bottom="0" percent="0" rank="0" text="" dxfId="15">
      <formula>"Out of service"</formula>
    </cfRule>
  </conditionalFormatting>
  <conditionalFormatting sqref="F2:F301">
    <cfRule type="expression" priority="5" aboveAverage="0" equalAverage="0" bottom="0" percent="0" rank="0" text="" dxfId="15">
      <formula>AND(F2&lt;&gt;"",F2&lt;TODAY()+7)</formula>
    </cfRule>
  </conditionalFormatting>
  <dataValidations count="4">
    <dataValidation allowBlank="true" error="Enter a valid date, for example 2026-10-09." errorStyle="stop" errorTitle="Date needed" operator="greaterThan" showDropDown="false" showErrorMessage="true" showInputMessage="false" sqref="F2:F301" type="date">
      <formula1>36526</formula1>
      <formula2>0</formula2>
    </dataValidation>
    <dataValidation allowBlank="true" error="Choose a value from the list." errorStyle="stop" errorTitle="Not allowed" operator="between" showDropDown="false" showErrorMessage="true" showInputMessage="false" sqref="B2:B301" type="list">
      <formula1>Lists!$A$2:$A$4</formula1>
      <formula2>0</formula2>
    </dataValidation>
    <dataValidation allowBlank="true" error="Choose a value from the list." errorStyle="stop" errorTitle="Not allowed" operator="between" showDropDown="false" showErrorMessage="true" showInputMessage="false" sqref="D2:D301" type="list">
      <formula1>Lists!$F$2:$F$3</formula1>
      <formula2>0</formula2>
    </dataValidation>
    <dataValidation allowBlank="true" error="Choose a value from the list." errorStyle="stop" errorTitle="Not allowed" operator="between" showDropDown="false" showErrorMessage="true" showInputMessage="false" sqref="E2:E301" type="list">
      <formula1>Lists!$B$2:$B$5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0"/>
  </cols>
  <sheetData>
    <row r="1" customFormat="false" ht="31.5" hidden="false" customHeight="true" outlineLevel="0" collapsed="false">
      <c r="A1" s="7" t="s">
        <v>65</v>
      </c>
      <c r="B1" s="7" t="s">
        <v>69</v>
      </c>
      <c r="C1" s="7" t="s">
        <v>115</v>
      </c>
      <c r="D1" s="7" t="s">
        <v>152</v>
      </c>
      <c r="E1" s="7" t="s">
        <v>153</v>
      </c>
      <c r="F1" s="7" t="s">
        <v>154</v>
      </c>
    </row>
    <row r="2" customFormat="false" ht="15" hidden="false" customHeight="false" outlineLevel="0" collapsed="false">
      <c r="A2" s="10" t="s">
        <v>79</v>
      </c>
      <c r="B2" s="10" t="s">
        <v>155</v>
      </c>
      <c r="C2" s="10" t="s">
        <v>122</v>
      </c>
      <c r="D2" s="10" t="n">
        <v>24</v>
      </c>
      <c r="E2" s="10" t="n">
        <v>45</v>
      </c>
      <c r="F2" s="10" t="s">
        <v>111</v>
      </c>
    </row>
    <row r="3" customFormat="false" ht="15" hidden="false" customHeight="false" outlineLevel="0" collapsed="false">
      <c r="A3" s="10" t="s">
        <v>83</v>
      </c>
      <c r="B3" s="10" t="s">
        <v>156</v>
      </c>
      <c r="C3" s="10" t="s">
        <v>122</v>
      </c>
      <c r="D3" s="10" t="n">
        <v>22</v>
      </c>
      <c r="E3" s="10" t="n">
        <v>38</v>
      </c>
      <c r="F3" s="10" t="s">
        <v>111</v>
      </c>
    </row>
    <row r="4" customFormat="false" ht="15" hidden="false" customHeight="false" outlineLevel="0" collapsed="false">
      <c r="A4" s="10" t="s">
        <v>94</v>
      </c>
      <c r="B4" s="10" t="s">
        <v>157</v>
      </c>
      <c r="C4" s="10" t="s">
        <v>131</v>
      </c>
      <c r="D4" s="10" t="n">
        <v>18</v>
      </c>
      <c r="E4" s="10" t="n">
        <v>105</v>
      </c>
      <c r="F4" s="10" t="s">
        <v>111</v>
      </c>
    </row>
    <row r="5" customFormat="false" ht="15" hidden="false" customHeight="false" outlineLevel="0" collapsed="false">
      <c r="A5" s="10" t="s">
        <v>88</v>
      </c>
      <c r="B5" s="10" t="s">
        <v>158</v>
      </c>
      <c r="C5" s="10" t="s">
        <v>135</v>
      </c>
      <c r="D5" s="10" t="n">
        <v>8</v>
      </c>
      <c r="E5" s="10" t="n">
        <v>335</v>
      </c>
      <c r="F5" s="10" t="s">
        <v>111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5"/>
    </row>
    <row r="206" customFormat="false" ht="15" hidden="false" customHeight="false" outlineLevel="0" collapsed="false">
      <c r="A206" s="15"/>
      <c r="B206" s="15"/>
      <c r="C206" s="15"/>
      <c r="D206" s="15"/>
      <c r="E206" s="15"/>
      <c r="F206" s="15"/>
    </row>
    <row r="207" customFormat="false" ht="15" hidden="false" customHeight="false" outlineLevel="0" collapsed="false">
      <c r="A207" s="15"/>
      <c r="B207" s="15"/>
      <c r="C207" s="15"/>
      <c r="D207" s="15"/>
      <c r="E207" s="15"/>
      <c r="F207" s="15"/>
    </row>
    <row r="208" customFormat="false" ht="15" hidden="false" customHeight="false" outlineLevel="0" collapsed="false">
      <c r="A208" s="15"/>
      <c r="B208" s="15"/>
      <c r="C208" s="15"/>
      <c r="D208" s="15"/>
      <c r="E208" s="15"/>
      <c r="F208" s="15"/>
    </row>
    <row r="209" customFormat="false" ht="15" hidden="false" customHeight="false" outlineLevel="0" collapsed="false">
      <c r="A209" s="15"/>
      <c r="B209" s="15"/>
      <c r="C209" s="15"/>
      <c r="D209" s="15"/>
      <c r="E209" s="15"/>
      <c r="F209" s="15"/>
    </row>
    <row r="210" customFormat="false" ht="15" hidden="false" customHeight="false" outlineLevel="0" collapsed="false">
      <c r="A210" s="15"/>
      <c r="B210" s="15"/>
      <c r="C210" s="15"/>
      <c r="D210" s="15"/>
      <c r="E210" s="15"/>
      <c r="F210" s="15"/>
    </row>
    <row r="211" customFormat="false" ht="15" hidden="false" customHeight="false" outlineLevel="0" collapsed="false">
      <c r="A211" s="15"/>
      <c r="B211" s="15"/>
      <c r="C211" s="15"/>
      <c r="D211" s="15"/>
      <c r="E211" s="15"/>
      <c r="F211" s="15"/>
    </row>
    <row r="212" customFormat="false" ht="15" hidden="false" customHeight="false" outlineLevel="0" collapsed="false">
      <c r="A212" s="15"/>
      <c r="B212" s="15"/>
      <c r="C212" s="15"/>
      <c r="D212" s="15"/>
      <c r="E212" s="15"/>
      <c r="F212" s="15"/>
    </row>
    <row r="213" customFormat="false" ht="15" hidden="false" customHeight="false" outlineLevel="0" collapsed="false">
      <c r="A213" s="15"/>
      <c r="B213" s="15"/>
      <c r="C213" s="15"/>
      <c r="D213" s="15"/>
      <c r="E213" s="15"/>
      <c r="F213" s="15"/>
    </row>
    <row r="214" customFormat="false" ht="15" hidden="false" customHeight="false" outlineLevel="0" collapsed="false">
      <c r="A214" s="15"/>
      <c r="B214" s="15"/>
      <c r="C214" s="15"/>
      <c r="D214" s="15"/>
      <c r="E214" s="15"/>
      <c r="F214" s="15"/>
    </row>
    <row r="215" customFormat="false" ht="15" hidden="false" customHeight="false" outlineLevel="0" collapsed="false">
      <c r="A215" s="15"/>
      <c r="B215" s="15"/>
      <c r="C215" s="15"/>
      <c r="D215" s="15"/>
      <c r="E215" s="15"/>
      <c r="F215" s="15"/>
    </row>
    <row r="216" customFormat="false" ht="15" hidden="false" customHeight="false" outlineLevel="0" collapsed="false">
      <c r="A216" s="15"/>
      <c r="B216" s="15"/>
      <c r="C216" s="15"/>
      <c r="D216" s="15"/>
      <c r="E216" s="15"/>
      <c r="F216" s="15"/>
    </row>
    <row r="217" customFormat="false" ht="15" hidden="false" customHeight="false" outlineLevel="0" collapsed="false">
      <c r="A217" s="15"/>
      <c r="B217" s="15"/>
      <c r="C217" s="15"/>
      <c r="D217" s="15"/>
      <c r="E217" s="15"/>
      <c r="F217" s="15"/>
    </row>
    <row r="218" customFormat="false" ht="15" hidden="false" customHeight="false" outlineLevel="0" collapsed="false">
      <c r="A218" s="15"/>
      <c r="B218" s="15"/>
      <c r="C218" s="15"/>
      <c r="D218" s="15"/>
      <c r="E218" s="15"/>
      <c r="F218" s="15"/>
    </row>
    <row r="219" customFormat="false" ht="15" hidden="false" customHeight="false" outlineLevel="0" collapsed="false">
      <c r="A219" s="15"/>
      <c r="B219" s="15"/>
      <c r="C219" s="15"/>
      <c r="D219" s="15"/>
      <c r="E219" s="15"/>
      <c r="F219" s="15"/>
    </row>
    <row r="220" customFormat="false" ht="15" hidden="false" customHeight="false" outlineLevel="0" collapsed="false">
      <c r="A220" s="15"/>
      <c r="B220" s="15"/>
      <c r="C220" s="15"/>
      <c r="D220" s="15"/>
      <c r="E220" s="15"/>
      <c r="F220" s="15"/>
    </row>
    <row r="221" customFormat="false" ht="15" hidden="false" customHeight="false" outlineLevel="0" collapsed="false">
      <c r="A221" s="15"/>
      <c r="B221" s="15"/>
      <c r="C221" s="15"/>
      <c r="D221" s="15"/>
      <c r="E221" s="15"/>
      <c r="F221" s="15"/>
    </row>
    <row r="222" customFormat="false" ht="15" hidden="false" customHeight="false" outlineLevel="0" collapsed="false">
      <c r="A222" s="15"/>
      <c r="B222" s="15"/>
      <c r="C222" s="15"/>
      <c r="D222" s="15"/>
      <c r="E222" s="15"/>
      <c r="F222" s="15"/>
    </row>
    <row r="223" customFormat="false" ht="15" hidden="false" customHeight="false" outlineLevel="0" collapsed="false">
      <c r="A223" s="15"/>
      <c r="B223" s="15"/>
      <c r="C223" s="15"/>
      <c r="D223" s="15"/>
      <c r="E223" s="15"/>
      <c r="F223" s="15"/>
    </row>
    <row r="224" customFormat="false" ht="15" hidden="false" customHeight="false" outlineLevel="0" collapsed="false">
      <c r="A224" s="15"/>
      <c r="B224" s="15"/>
      <c r="C224" s="15"/>
      <c r="D224" s="15"/>
      <c r="E224" s="15"/>
      <c r="F224" s="15"/>
    </row>
    <row r="225" customFormat="false" ht="15" hidden="false" customHeight="false" outlineLevel="0" collapsed="false">
      <c r="A225" s="15"/>
      <c r="B225" s="15"/>
      <c r="C225" s="15"/>
      <c r="D225" s="15"/>
      <c r="E225" s="15"/>
      <c r="F225" s="15"/>
    </row>
    <row r="226" customFormat="false" ht="15" hidden="false" customHeight="false" outlineLevel="0" collapsed="false">
      <c r="A226" s="15"/>
      <c r="B226" s="15"/>
      <c r="C226" s="15"/>
      <c r="D226" s="15"/>
      <c r="E226" s="15"/>
      <c r="F226" s="15"/>
    </row>
    <row r="227" customFormat="false" ht="15" hidden="false" customHeight="false" outlineLevel="0" collapsed="false">
      <c r="A227" s="15"/>
      <c r="B227" s="15"/>
      <c r="C227" s="15"/>
      <c r="D227" s="15"/>
      <c r="E227" s="15"/>
      <c r="F227" s="15"/>
    </row>
    <row r="228" customFormat="false" ht="15" hidden="false" customHeight="false" outlineLevel="0" collapsed="false">
      <c r="A228" s="15"/>
      <c r="B228" s="15"/>
      <c r="C228" s="15"/>
      <c r="D228" s="15"/>
      <c r="E228" s="15"/>
      <c r="F228" s="15"/>
    </row>
    <row r="229" customFormat="false" ht="15" hidden="false" customHeight="false" outlineLevel="0" collapsed="false">
      <c r="A229" s="15"/>
      <c r="B229" s="15"/>
      <c r="C229" s="15"/>
      <c r="D229" s="15"/>
      <c r="E229" s="15"/>
      <c r="F229" s="15"/>
    </row>
    <row r="230" customFormat="false" ht="15" hidden="false" customHeight="false" outlineLevel="0" collapsed="false">
      <c r="A230" s="15"/>
      <c r="B230" s="15"/>
      <c r="C230" s="15"/>
      <c r="D230" s="15"/>
      <c r="E230" s="15"/>
      <c r="F230" s="15"/>
    </row>
    <row r="231" customFormat="false" ht="15" hidden="false" customHeight="false" outlineLevel="0" collapsed="false">
      <c r="A231" s="15"/>
      <c r="B231" s="15"/>
      <c r="C231" s="15"/>
      <c r="D231" s="15"/>
      <c r="E231" s="15"/>
      <c r="F231" s="15"/>
    </row>
    <row r="232" customFormat="false" ht="15" hidden="false" customHeight="false" outlineLevel="0" collapsed="false">
      <c r="A232" s="15"/>
      <c r="B232" s="15"/>
      <c r="C232" s="15"/>
      <c r="D232" s="15"/>
      <c r="E232" s="15"/>
      <c r="F232" s="15"/>
    </row>
    <row r="233" customFormat="false" ht="15" hidden="false" customHeight="false" outlineLevel="0" collapsed="false">
      <c r="A233" s="15"/>
      <c r="B233" s="15"/>
      <c r="C233" s="15"/>
      <c r="D233" s="15"/>
      <c r="E233" s="15"/>
      <c r="F233" s="15"/>
    </row>
    <row r="234" customFormat="false" ht="15" hidden="false" customHeight="false" outlineLevel="0" collapsed="false">
      <c r="A234" s="15"/>
      <c r="B234" s="15"/>
      <c r="C234" s="15"/>
      <c r="D234" s="15"/>
      <c r="E234" s="15"/>
      <c r="F234" s="15"/>
    </row>
    <row r="235" customFormat="false" ht="15" hidden="false" customHeight="false" outlineLevel="0" collapsed="false">
      <c r="A235" s="15"/>
      <c r="B235" s="15"/>
      <c r="C235" s="15"/>
      <c r="D235" s="15"/>
      <c r="E235" s="15"/>
      <c r="F235" s="15"/>
    </row>
    <row r="236" customFormat="false" ht="15" hidden="false" customHeight="false" outlineLevel="0" collapsed="false">
      <c r="A236" s="15"/>
      <c r="B236" s="15"/>
      <c r="C236" s="15"/>
      <c r="D236" s="15"/>
      <c r="E236" s="15"/>
      <c r="F236" s="15"/>
    </row>
    <row r="237" customFormat="false" ht="15" hidden="false" customHeight="false" outlineLevel="0" collapsed="false">
      <c r="A237" s="15"/>
      <c r="B237" s="15"/>
      <c r="C237" s="15"/>
      <c r="D237" s="15"/>
      <c r="E237" s="15"/>
      <c r="F237" s="15"/>
    </row>
    <row r="238" customFormat="false" ht="15" hidden="false" customHeight="false" outlineLevel="0" collapsed="false">
      <c r="A238" s="15"/>
      <c r="B238" s="15"/>
      <c r="C238" s="15"/>
      <c r="D238" s="15"/>
      <c r="E238" s="15"/>
      <c r="F238" s="15"/>
    </row>
    <row r="239" customFormat="false" ht="15" hidden="false" customHeight="false" outlineLevel="0" collapsed="false">
      <c r="A239" s="15"/>
      <c r="B239" s="15"/>
      <c r="C239" s="15"/>
      <c r="D239" s="15"/>
      <c r="E239" s="15"/>
      <c r="F239" s="15"/>
    </row>
    <row r="240" customFormat="false" ht="15" hidden="false" customHeight="false" outlineLevel="0" collapsed="false">
      <c r="A240" s="15"/>
      <c r="B240" s="15"/>
      <c r="C240" s="15"/>
      <c r="D240" s="15"/>
      <c r="E240" s="15"/>
      <c r="F240" s="15"/>
    </row>
    <row r="241" customFormat="false" ht="15" hidden="false" customHeight="false" outlineLevel="0" collapsed="false">
      <c r="A241" s="15"/>
      <c r="B241" s="15"/>
      <c r="C241" s="15"/>
      <c r="D241" s="15"/>
      <c r="E241" s="15"/>
      <c r="F241" s="15"/>
    </row>
    <row r="242" customFormat="false" ht="15" hidden="false" customHeight="false" outlineLevel="0" collapsed="false">
      <c r="A242" s="15"/>
      <c r="B242" s="15"/>
      <c r="C242" s="15"/>
      <c r="D242" s="15"/>
      <c r="E242" s="15"/>
      <c r="F242" s="15"/>
    </row>
    <row r="243" customFormat="false" ht="15" hidden="false" customHeight="false" outlineLevel="0" collapsed="false">
      <c r="A243" s="15"/>
      <c r="B243" s="15"/>
      <c r="C243" s="15"/>
      <c r="D243" s="15"/>
      <c r="E243" s="15"/>
      <c r="F243" s="15"/>
    </row>
    <row r="244" customFormat="false" ht="15" hidden="false" customHeight="false" outlineLevel="0" collapsed="false">
      <c r="A244" s="15"/>
      <c r="B244" s="15"/>
      <c r="C244" s="15"/>
      <c r="D244" s="15"/>
      <c r="E244" s="15"/>
      <c r="F244" s="15"/>
    </row>
    <row r="245" customFormat="false" ht="15" hidden="false" customHeight="false" outlineLevel="0" collapsed="false">
      <c r="A245" s="15"/>
      <c r="B245" s="15"/>
      <c r="C245" s="15"/>
      <c r="D245" s="15"/>
      <c r="E245" s="15"/>
      <c r="F245" s="15"/>
    </row>
    <row r="246" customFormat="false" ht="15" hidden="false" customHeight="false" outlineLevel="0" collapsed="false">
      <c r="A246" s="15"/>
      <c r="B246" s="15"/>
      <c r="C246" s="15"/>
      <c r="D246" s="15"/>
      <c r="E246" s="15"/>
      <c r="F246" s="15"/>
    </row>
    <row r="247" customFormat="false" ht="15" hidden="false" customHeight="false" outlineLevel="0" collapsed="false">
      <c r="A247" s="15"/>
      <c r="B247" s="15"/>
      <c r="C247" s="15"/>
      <c r="D247" s="15"/>
      <c r="E247" s="15"/>
      <c r="F247" s="15"/>
    </row>
    <row r="248" customFormat="false" ht="15" hidden="false" customHeight="false" outlineLevel="0" collapsed="false">
      <c r="A248" s="15"/>
      <c r="B248" s="15"/>
      <c r="C248" s="15"/>
      <c r="D248" s="15"/>
      <c r="E248" s="15"/>
      <c r="F248" s="15"/>
    </row>
    <row r="249" customFormat="false" ht="15" hidden="false" customHeight="false" outlineLevel="0" collapsed="false">
      <c r="A249" s="15"/>
      <c r="B249" s="15"/>
      <c r="C249" s="15"/>
      <c r="D249" s="15"/>
      <c r="E249" s="15"/>
      <c r="F249" s="15"/>
    </row>
    <row r="250" customFormat="false" ht="15" hidden="false" customHeight="false" outlineLevel="0" collapsed="false">
      <c r="A250" s="15"/>
      <c r="B250" s="15"/>
      <c r="C250" s="15"/>
      <c r="D250" s="15"/>
      <c r="E250" s="15"/>
      <c r="F250" s="15"/>
    </row>
    <row r="251" customFormat="false" ht="15" hidden="false" customHeight="false" outlineLevel="0" collapsed="false">
      <c r="A251" s="15"/>
      <c r="B251" s="15"/>
      <c r="C251" s="15"/>
      <c r="D251" s="15"/>
      <c r="E251" s="15"/>
      <c r="F251" s="15"/>
    </row>
    <row r="252" customFormat="false" ht="15" hidden="false" customHeight="false" outlineLevel="0" collapsed="false">
      <c r="A252" s="15"/>
      <c r="B252" s="15"/>
      <c r="C252" s="15"/>
      <c r="D252" s="15"/>
      <c r="E252" s="15"/>
      <c r="F252" s="15"/>
    </row>
    <row r="253" customFormat="false" ht="15" hidden="false" customHeight="false" outlineLevel="0" collapsed="false">
      <c r="A253" s="15"/>
      <c r="B253" s="15"/>
      <c r="C253" s="15"/>
      <c r="D253" s="15"/>
      <c r="E253" s="15"/>
      <c r="F253" s="15"/>
    </row>
    <row r="254" customFormat="false" ht="15" hidden="false" customHeight="false" outlineLevel="0" collapsed="false">
      <c r="A254" s="15"/>
      <c r="B254" s="15"/>
      <c r="C254" s="15"/>
      <c r="D254" s="15"/>
      <c r="E254" s="15"/>
      <c r="F254" s="15"/>
    </row>
    <row r="255" customFormat="false" ht="15" hidden="false" customHeight="false" outlineLevel="0" collapsed="false">
      <c r="A255" s="15"/>
      <c r="B255" s="15"/>
      <c r="C255" s="15"/>
      <c r="D255" s="15"/>
      <c r="E255" s="15"/>
      <c r="F255" s="15"/>
    </row>
    <row r="256" customFormat="false" ht="15" hidden="false" customHeight="false" outlineLevel="0" collapsed="false">
      <c r="A256" s="15"/>
      <c r="B256" s="15"/>
      <c r="C256" s="15"/>
      <c r="D256" s="15"/>
      <c r="E256" s="15"/>
      <c r="F256" s="15"/>
    </row>
    <row r="257" customFormat="false" ht="15" hidden="false" customHeight="false" outlineLevel="0" collapsed="false">
      <c r="A257" s="15"/>
      <c r="B257" s="15"/>
      <c r="C257" s="15"/>
      <c r="D257" s="15"/>
      <c r="E257" s="15"/>
      <c r="F257" s="15"/>
    </row>
    <row r="258" customFormat="false" ht="15" hidden="false" customHeight="false" outlineLevel="0" collapsed="false">
      <c r="A258" s="15"/>
      <c r="B258" s="15"/>
      <c r="C258" s="15"/>
      <c r="D258" s="15"/>
      <c r="E258" s="15"/>
      <c r="F258" s="15"/>
    </row>
    <row r="259" customFormat="false" ht="15" hidden="false" customHeight="false" outlineLevel="0" collapsed="false">
      <c r="A259" s="15"/>
      <c r="B259" s="15"/>
      <c r="C259" s="15"/>
      <c r="D259" s="15"/>
      <c r="E259" s="15"/>
      <c r="F259" s="15"/>
    </row>
    <row r="260" customFormat="false" ht="15" hidden="false" customHeight="false" outlineLevel="0" collapsed="false">
      <c r="A260" s="15"/>
      <c r="B260" s="15"/>
      <c r="C260" s="15"/>
      <c r="D260" s="15"/>
      <c r="E260" s="15"/>
      <c r="F260" s="15"/>
    </row>
    <row r="261" customFormat="false" ht="15" hidden="false" customHeight="false" outlineLevel="0" collapsed="false">
      <c r="A261" s="15"/>
      <c r="B261" s="15"/>
      <c r="C261" s="15"/>
      <c r="D261" s="15"/>
      <c r="E261" s="15"/>
      <c r="F261" s="15"/>
    </row>
    <row r="262" customFormat="false" ht="15" hidden="false" customHeight="false" outlineLevel="0" collapsed="false">
      <c r="A262" s="15"/>
      <c r="B262" s="15"/>
      <c r="C262" s="15"/>
      <c r="D262" s="15"/>
      <c r="E262" s="15"/>
      <c r="F262" s="15"/>
    </row>
    <row r="263" customFormat="false" ht="15" hidden="false" customHeight="false" outlineLevel="0" collapsed="false">
      <c r="A263" s="15"/>
      <c r="B263" s="15"/>
      <c r="C263" s="15"/>
      <c r="D263" s="15"/>
      <c r="E263" s="15"/>
      <c r="F263" s="15"/>
    </row>
    <row r="264" customFormat="false" ht="15" hidden="false" customHeight="false" outlineLevel="0" collapsed="false">
      <c r="A264" s="15"/>
      <c r="B264" s="15"/>
      <c r="C264" s="15"/>
      <c r="D264" s="15"/>
      <c r="E264" s="15"/>
      <c r="F264" s="15"/>
    </row>
    <row r="265" customFormat="false" ht="15" hidden="false" customHeight="false" outlineLevel="0" collapsed="false">
      <c r="A265" s="15"/>
      <c r="B265" s="15"/>
      <c r="C265" s="15"/>
      <c r="D265" s="15"/>
      <c r="E265" s="15"/>
      <c r="F265" s="15"/>
    </row>
    <row r="266" customFormat="false" ht="15" hidden="false" customHeight="false" outlineLevel="0" collapsed="false">
      <c r="A266" s="15"/>
      <c r="B266" s="15"/>
      <c r="C266" s="15"/>
      <c r="D266" s="15"/>
      <c r="E266" s="15"/>
      <c r="F266" s="15"/>
    </row>
    <row r="267" customFormat="false" ht="15" hidden="false" customHeight="false" outlineLevel="0" collapsed="false">
      <c r="A267" s="15"/>
      <c r="B267" s="15"/>
      <c r="C267" s="15"/>
      <c r="D267" s="15"/>
      <c r="E267" s="15"/>
      <c r="F267" s="15"/>
    </row>
    <row r="268" customFormat="false" ht="15" hidden="false" customHeight="false" outlineLevel="0" collapsed="false">
      <c r="A268" s="15"/>
      <c r="B268" s="15"/>
      <c r="C268" s="15"/>
      <c r="D268" s="15"/>
      <c r="E268" s="15"/>
      <c r="F268" s="15"/>
    </row>
    <row r="269" customFormat="false" ht="15" hidden="false" customHeight="false" outlineLevel="0" collapsed="false">
      <c r="A269" s="15"/>
      <c r="B269" s="15"/>
      <c r="C269" s="15"/>
      <c r="D269" s="15"/>
      <c r="E269" s="15"/>
      <c r="F269" s="15"/>
    </row>
    <row r="270" customFormat="false" ht="15" hidden="false" customHeight="false" outlineLevel="0" collapsed="false">
      <c r="A270" s="15"/>
      <c r="B270" s="15"/>
      <c r="C270" s="15"/>
      <c r="D270" s="15"/>
      <c r="E270" s="15"/>
      <c r="F270" s="15"/>
    </row>
    <row r="271" customFormat="false" ht="15" hidden="false" customHeight="false" outlineLevel="0" collapsed="false">
      <c r="A271" s="15"/>
      <c r="B271" s="15"/>
      <c r="C271" s="15"/>
      <c r="D271" s="15"/>
      <c r="E271" s="15"/>
      <c r="F271" s="15"/>
    </row>
    <row r="272" customFormat="false" ht="15" hidden="false" customHeight="false" outlineLevel="0" collapsed="false">
      <c r="A272" s="15"/>
      <c r="B272" s="15"/>
      <c r="C272" s="15"/>
      <c r="D272" s="15"/>
      <c r="E272" s="15"/>
      <c r="F272" s="15"/>
    </row>
    <row r="273" customFormat="false" ht="15" hidden="false" customHeight="false" outlineLevel="0" collapsed="false">
      <c r="A273" s="15"/>
      <c r="B273" s="15"/>
      <c r="C273" s="15"/>
      <c r="D273" s="15"/>
      <c r="E273" s="15"/>
      <c r="F273" s="15"/>
    </row>
    <row r="274" customFormat="false" ht="15" hidden="false" customHeight="false" outlineLevel="0" collapsed="false">
      <c r="A274" s="15"/>
      <c r="B274" s="15"/>
      <c r="C274" s="15"/>
      <c r="D274" s="15"/>
      <c r="E274" s="15"/>
      <c r="F274" s="15"/>
    </row>
    <row r="275" customFormat="false" ht="15" hidden="false" customHeight="false" outlineLevel="0" collapsed="false">
      <c r="A275" s="15"/>
      <c r="B275" s="15"/>
      <c r="C275" s="15"/>
      <c r="D275" s="15"/>
      <c r="E275" s="15"/>
      <c r="F275" s="15"/>
    </row>
    <row r="276" customFormat="false" ht="15" hidden="false" customHeight="false" outlineLevel="0" collapsed="false">
      <c r="A276" s="15"/>
      <c r="B276" s="15"/>
      <c r="C276" s="15"/>
      <c r="D276" s="15"/>
      <c r="E276" s="15"/>
      <c r="F276" s="15"/>
    </row>
    <row r="277" customFormat="false" ht="15" hidden="false" customHeight="false" outlineLevel="0" collapsed="false">
      <c r="A277" s="15"/>
      <c r="B277" s="15"/>
      <c r="C277" s="15"/>
      <c r="D277" s="15"/>
      <c r="E277" s="15"/>
      <c r="F277" s="15"/>
    </row>
    <row r="278" customFormat="false" ht="15" hidden="false" customHeight="false" outlineLevel="0" collapsed="false">
      <c r="A278" s="15"/>
      <c r="B278" s="15"/>
      <c r="C278" s="15"/>
      <c r="D278" s="15"/>
      <c r="E278" s="15"/>
      <c r="F278" s="15"/>
    </row>
    <row r="279" customFormat="false" ht="15" hidden="false" customHeight="false" outlineLevel="0" collapsed="false">
      <c r="A279" s="15"/>
      <c r="B279" s="15"/>
      <c r="C279" s="15"/>
      <c r="D279" s="15"/>
      <c r="E279" s="15"/>
      <c r="F279" s="15"/>
    </row>
    <row r="280" customFormat="false" ht="15" hidden="false" customHeight="false" outlineLevel="0" collapsed="false">
      <c r="A280" s="15"/>
      <c r="B280" s="15"/>
      <c r="C280" s="15"/>
      <c r="D280" s="15"/>
      <c r="E280" s="15"/>
      <c r="F280" s="15"/>
    </row>
    <row r="281" customFormat="false" ht="15" hidden="false" customHeight="false" outlineLevel="0" collapsed="false">
      <c r="A281" s="15"/>
      <c r="B281" s="15"/>
      <c r="C281" s="15"/>
      <c r="D281" s="15"/>
      <c r="E281" s="15"/>
      <c r="F281" s="15"/>
    </row>
    <row r="282" customFormat="false" ht="15" hidden="false" customHeight="false" outlineLevel="0" collapsed="false">
      <c r="A282" s="15"/>
      <c r="B282" s="15"/>
      <c r="C282" s="15"/>
      <c r="D282" s="15"/>
      <c r="E282" s="15"/>
      <c r="F282" s="15"/>
    </row>
    <row r="283" customFormat="false" ht="15" hidden="false" customHeight="false" outlineLevel="0" collapsed="false">
      <c r="A283" s="15"/>
      <c r="B283" s="15"/>
      <c r="C283" s="15"/>
      <c r="D283" s="15"/>
      <c r="E283" s="15"/>
      <c r="F283" s="15"/>
    </row>
    <row r="284" customFormat="false" ht="15" hidden="false" customHeight="false" outlineLevel="0" collapsed="false">
      <c r="A284" s="15"/>
      <c r="B284" s="15"/>
      <c r="C284" s="15"/>
      <c r="D284" s="15"/>
      <c r="E284" s="15"/>
      <c r="F284" s="15"/>
    </row>
    <row r="285" customFormat="false" ht="15" hidden="false" customHeight="false" outlineLevel="0" collapsed="false">
      <c r="A285" s="15"/>
      <c r="B285" s="15"/>
      <c r="C285" s="15"/>
      <c r="D285" s="15"/>
      <c r="E285" s="15"/>
      <c r="F285" s="15"/>
    </row>
    <row r="286" customFormat="false" ht="15" hidden="false" customHeight="false" outlineLevel="0" collapsed="false">
      <c r="A286" s="15"/>
      <c r="B286" s="15"/>
      <c r="C286" s="15"/>
      <c r="D286" s="15"/>
      <c r="E286" s="15"/>
      <c r="F286" s="15"/>
    </row>
    <row r="287" customFormat="false" ht="15" hidden="false" customHeight="false" outlineLevel="0" collapsed="false">
      <c r="A287" s="15"/>
      <c r="B287" s="15"/>
      <c r="C287" s="15"/>
      <c r="D287" s="15"/>
      <c r="E287" s="15"/>
      <c r="F287" s="15"/>
    </row>
    <row r="288" customFormat="false" ht="15" hidden="false" customHeight="false" outlineLevel="0" collapsed="false">
      <c r="A288" s="15"/>
      <c r="B288" s="15"/>
      <c r="C288" s="15"/>
      <c r="D288" s="15"/>
      <c r="E288" s="15"/>
      <c r="F288" s="15"/>
    </row>
    <row r="289" customFormat="false" ht="15" hidden="false" customHeight="false" outlineLevel="0" collapsed="false">
      <c r="A289" s="15"/>
      <c r="B289" s="15"/>
      <c r="C289" s="15"/>
      <c r="D289" s="15"/>
      <c r="E289" s="15"/>
      <c r="F289" s="15"/>
    </row>
    <row r="290" customFormat="false" ht="15" hidden="false" customHeight="false" outlineLevel="0" collapsed="false">
      <c r="A290" s="15"/>
      <c r="B290" s="15"/>
      <c r="C290" s="15"/>
      <c r="D290" s="15"/>
      <c r="E290" s="15"/>
      <c r="F290" s="15"/>
    </row>
    <row r="291" customFormat="false" ht="15" hidden="false" customHeight="false" outlineLevel="0" collapsed="false">
      <c r="A291" s="15"/>
      <c r="B291" s="15"/>
      <c r="C291" s="15"/>
      <c r="D291" s="15"/>
      <c r="E291" s="15"/>
      <c r="F291" s="15"/>
    </row>
    <row r="292" customFormat="false" ht="15" hidden="false" customHeight="false" outlineLevel="0" collapsed="false">
      <c r="A292" s="15"/>
      <c r="B292" s="15"/>
      <c r="C292" s="15"/>
      <c r="D292" s="15"/>
      <c r="E292" s="15"/>
      <c r="F292" s="15"/>
    </row>
    <row r="293" customFormat="false" ht="15" hidden="false" customHeight="false" outlineLevel="0" collapsed="false">
      <c r="A293" s="15"/>
      <c r="B293" s="15"/>
      <c r="C293" s="15"/>
      <c r="D293" s="15"/>
      <c r="E293" s="15"/>
      <c r="F293" s="15"/>
    </row>
    <row r="294" customFormat="false" ht="15" hidden="false" customHeight="false" outlineLevel="0" collapsed="false">
      <c r="A294" s="15"/>
      <c r="B294" s="15"/>
      <c r="C294" s="15"/>
      <c r="D294" s="15"/>
      <c r="E294" s="15"/>
      <c r="F294" s="15"/>
    </row>
    <row r="295" customFormat="false" ht="15" hidden="false" customHeight="false" outlineLevel="0" collapsed="false">
      <c r="A295" s="15"/>
      <c r="B295" s="15"/>
      <c r="C295" s="15"/>
      <c r="D295" s="15"/>
      <c r="E295" s="15"/>
      <c r="F295" s="15"/>
    </row>
    <row r="296" customFormat="false" ht="15" hidden="false" customHeight="false" outlineLevel="0" collapsed="false">
      <c r="A296" s="15"/>
      <c r="B296" s="15"/>
      <c r="C296" s="15"/>
      <c r="D296" s="15"/>
      <c r="E296" s="15"/>
      <c r="F296" s="15"/>
    </row>
    <row r="297" customFormat="false" ht="15" hidden="false" customHeight="false" outlineLevel="0" collapsed="false">
      <c r="A297" s="15"/>
      <c r="B297" s="15"/>
      <c r="C297" s="15"/>
      <c r="D297" s="15"/>
      <c r="E297" s="15"/>
      <c r="F297" s="15"/>
    </row>
    <row r="298" customFormat="false" ht="15" hidden="false" customHeight="false" outlineLevel="0" collapsed="false">
      <c r="A298" s="15"/>
      <c r="B298" s="15"/>
      <c r="C298" s="15"/>
      <c r="D298" s="15"/>
      <c r="E298" s="15"/>
      <c r="F298" s="15"/>
    </row>
    <row r="299" customFormat="false" ht="15" hidden="false" customHeight="false" outlineLevel="0" collapsed="false">
      <c r="A299" s="15"/>
      <c r="B299" s="15"/>
      <c r="C299" s="15"/>
      <c r="D299" s="15"/>
      <c r="E299" s="15"/>
      <c r="F299" s="15"/>
    </row>
    <row r="300" customFormat="false" ht="15" hidden="false" customHeight="false" outlineLevel="0" collapsed="false">
      <c r="A300" s="15"/>
      <c r="B300" s="15"/>
      <c r="C300" s="15"/>
      <c r="D300" s="15"/>
      <c r="E300" s="15"/>
      <c r="F300" s="15"/>
    </row>
    <row r="301" customFormat="false" ht="15" hidden="false" customHeight="false" outlineLevel="0" collapsed="false">
      <c r="A301" s="15"/>
      <c r="B301" s="15"/>
      <c r="C301" s="15"/>
      <c r="D301" s="15"/>
      <c r="E301" s="15"/>
      <c r="F301" s="15"/>
    </row>
  </sheetData>
  <autoFilter ref="A1:F301"/>
  <conditionalFormatting sqref="A2:A301">
    <cfRule type="expression" priority="2" aboveAverage="0" equalAverage="0" bottom="0" percent="0" rank="0" text="" dxfId="14">
      <formula>AND(A2&lt;&gt;"",COUNTIF($A$2:$A$301,A2)&gt;1)</formula>
    </cfRule>
  </conditionalFormatting>
  <dataValidations count="2">
    <dataValidation allowBlank="true" error="Choose a value from the list." errorStyle="stop" errorTitle="Not allowed" operator="between" showDropDown="false" showErrorMessage="true" showInputMessage="false" sqref="C2:C301" type="list">
      <formula1>Lists!$A$2:$A$4</formula1>
      <formula2>0</formula2>
    </dataValidation>
    <dataValidation allowBlank="true" error="Choose a value from the list." errorStyle="stop" errorTitle="Not allowed" operator="between" showDropDown="false" showErrorMessage="true" showInputMessage="false" sqref="F2:F301" type="list">
      <formula1>Lists!$J$2:$J$3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8"/>
    <col collapsed="false" customWidth="true" hidden="false" outlineLevel="0" max="12" min="12" style="0" width="14"/>
    <col collapsed="false" customWidth="true" hidden="false" outlineLevel="0" max="13" min="13" style="0" width="26"/>
    <col collapsed="false" customWidth="true" hidden="false" outlineLevel="0" max="14" min="14" style="0" width="50"/>
  </cols>
  <sheetData>
    <row r="1" customFormat="false" ht="15" hidden="false" customHeight="false" outlineLevel="0" collapsed="false">
      <c r="A1" s="3" t="s">
        <v>159</v>
      </c>
      <c r="B1" s="3" t="s">
        <v>160</v>
      </c>
      <c r="C1" s="3" t="s">
        <v>161</v>
      </c>
      <c r="D1" s="3" t="s">
        <v>162</v>
      </c>
      <c r="E1" s="3" t="s">
        <v>163</v>
      </c>
      <c r="F1" s="3" t="s">
        <v>164</v>
      </c>
      <c r="G1" s="3" t="s">
        <v>165</v>
      </c>
      <c r="H1" s="3" t="s">
        <v>166</v>
      </c>
      <c r="I1" s="3" t="s">
        <v>112</v>
      </c>
      <c r="J1" s="3" t="s">
        <v>167</v>
      </c>
      <c r="L1" s="3" t="s">
        <v>168</v>
      </c>
      <c r="M1" s="3" t="s">
        <v>169</v>
      </c>
      <c r="N1" s="3" t="s">
        <v>170</v>
      </c>
    </row>
    <row r="2" customFormat="false" ht="15" hidden="false" customHeight="false" outlineLevel="0" collapsed="false">
      <c r="A2" s="23" t="s">
        <v>122</v>
      </c>
      <c r="B2" s="23" t="s">
        <v>144</v>
      </c>
      <c r="C2" s="23" t="s">
        <v>125</v>
      </c>
      <c r="D2" s="23" t="s">
        <v>124</v>
      </c>
      <c r="E2" s="23" t="s">
        <v>123</v>
      </c>
      <c r="F2" s="23" t="s">
        <v>143</v>
      </c>
      <c r="G2" s="23" t="s">
        <v>86</v>
      </c>
      <c r="H2" s="23" t="s">
        <v>171</v>
      </c>
      <c r="I2" s="23" t="s">
        <v>172</v>
      </c>
      <c r="J2" s="23" t="s">
        <v>111</v>
      </c>
      <c r="L2" s="23" t="s">
        <v>92</v>
      </c>
      <c r="M2" s="23" t="s">
        <v>173</v>
      </c>
      <c r="N2" s="23" t="s">
        <v>174</v>
      </c>
    </row>
    <row r="3" customFormat="false" ht="15" hidden="false" customHeight="false" outlineLevel="0" collapsed="false">
      <c r="A3" s="23" t="s">
        <v>131</v>
      </c>
      <c r="B3" s="23" t="s">
        <v>151</v>
      </c>
      <c r="C3" s="23" t="s">
        <v>175</v>
      </c>
      <c r="D3" s="23" t="s">
        <v>128</v>
      </c>
      <c r="E3" s="23" t="s">
        <v>132</v>
      </c>
      <c r="F3" s="23" t="s">
        <v>149</v>
      </c>
      <c r="G3" s="23" t="s">
        <v>82</v>
      </c>
      <c r="H3" s="23" t="s">
        <v>108</v>
      </c>
      <c r="I3" s="23" t="s">
        <v>112</v>
      </c>
      <c r="J3" s="23" t="s">
        <v>176</v>
      </c>
      <c r="L3" s="23" t="s">
        <v>177</v>
      </c>
      <c r="M3" s="23" t="s">
        <v>178</v>
      </c>
      <c r="N3" s="23" t="s">
        <v>179</v>
      </c>
    </row>
    <row r="4" customFormat="false" ht="15" hidden="false" customHeight="false" outlineLevel="0" collapsed="false">
      <c r="A4" s="23" t="s">
        <v>135</v>
      </c>
      <c r="B4" s="23" t="s">
        <v>146</v>
      </c>
      <c r="C4" s="23" t="s">
        <v>180</v>
      </c>
      <c r="D4" s="23" t="s">
        <v>137</v>
      </c>
      <c r="E4" s="23" t="s">
        <v>136</v>
      </c>
      <c r="G4" s="23" t="s">
        <v>97</v>
      </c>
      <c r="H4" s="23" t="s">
        <v>181</v>
      </c>
      <c r="L4" s="23" t="s">
        <v>182</v>
      </c>
      <c r="M4" s="23" t="s">
        <v>183</v>
      </c>
      <c r="N4" s="23" t="s">
        <v>184</v>
      </c>
    </row>
    <row r="5" customFormat="false" ht="15" hidden="false" customHeight="false" outlineLevel="0" collapsed="false">
      <c r="B5" s="23" t="s">
        <v>185</v>
      </c>
      <c r="G5" s="23" t="s">
        <v>91</v>
      </c>
      <c r="L5" s="23" t="s">
        <v>186</v>
      </c>
      <c r="M5" s="23" t="s">
        <v>187</v>
      </c>
      <c r="N5" s="23" t="s">
        <v>188</v>
      </c>
    </row>
    <row r="6" customFormat="false" ht="15" hidden="false" customHeight="false" outlineLevel="0" collapsed="false">
      <c r="G6" s="23" t="s">
        <v>189</v>
      </c>
      <c r="L6" s="23" t="s">
        <v>190</v>
      </c>
      <c r="M6" s="23" t="s">
        <v>191</v>
      </c>
      <c r="N6" s="23" t="s">
        <v>192</v>
      </c>
    </row>
    <row r="7" customFormat="false" ht="15" hidden="false" customHeight="false" outlineLevel="0" collapsed="false">
      <c r="G7" s="23" t="s">
        <v>193</v>
      </c>
      <c r="L7" s="23" t="s">
        <v>194</v>
      </c>
      <c r="M7" s="23" t="s">
        <v>195</v>
      </c>
      <c r="N7" s="23" t="s">
        <v>196</v>
      </c>
    </row>
    <row r="8" customFormat="false" ht="15" hidden="false" customHeight="false" outlineLevel="0" collapsed="false">
      <c r="L8" s="23" t="s">
        <v>197</v>
      </c>
      <c r="M8" s="23" t="s">
        <v>198</v>
      </c>
      <c r="N8" s="23" t="s">
        <v>199</v>
      </c>
    </row>
    <row r="9" customFormat="false" ht="15" hidden="false" customHeight="false" outlineLevel="0" collapsed="false">
      <c r="L9" s="23" t="s">
        <v>200</v>
      </c>
      <c r="M9" s="23" t="s">
        <v>201</v>
      </c>
      <c r="N9" s="23" t="s">
        <v>202</v>
      </c>
    </row>
    <row r="10" customFormat="false" ht="15" hidden="false" customHeight="false" outlineLevel="0" collapsed="false">
      <c r="L10" s="23" t="s">
        <v>203</v>
      </c>
      <c r="M10" s="23" t="s">
        <v>204</v>
      </c>
      <c r="N10" s="23" t="s">
        <v>205</v>
      </c>
    </row>
    <row r="11" customFormat="false" ht="15" hidden="false" customHeight="false" outlineLevel="0" collapsed="false">
      <c r="L11" s="23" t="s">
        <v>206</v>
      </c>
      <c r="M11" s="23" t="s">
        <v>207</v>
      </c>
      <c r="N11" s="23" t="s">
        <v>208</v>
      </c>
    </row>
    <row r="12" customFormat="false" ht="15" hidden="false" customHeight="false" outlineLevel="0" collapsed="false">
      <c r="L12" s="23" t="s">
        <v>209</v>
      </c>
      <c r="M12" s="23" t="s">
        <v>210</v>
      </c>
      <c r="N12" s="23" t="s">
        <v>211</v>
      </c>
    </row>
    <row r="13" customFormat="false" ht="15" hidden="false" customHeight="false" outlineLevel="0" collapsed="false">
      <c r="L13" s="23" t="s">
        <v>212</v>
      </c>
      <c r="M13" s="23" t="s">
        <v>213</v>
      </c>
      <c r="N13" s="23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2026-10-08T22:28:20Z</dcterms:created>
  <dc:creator>openpyxl</dc:creator>
  <dc:description/>
  <dc:language>en-US</dc:language>
  <cp:lastModifiedBy/>
  <dcterms:modified xsi:type="dcterms:W3CDTF">2026-10-08T22:28:21Z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