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Hoy" sheetId="3" state="visible" r:id="rId5"/>
    <sheet name="Incidencias" sheetId="4" state="visible" r:id="rId6"/>
    <sheet name="Revision_previa" sheetId="5" state="visible" r:id="rId7"/>
    <sheet name="Conductores" sheetId="6" state="visible" r:id="rId8"/>
    <sheet name="Vehículos" sheetId="7" state="visible" r:id="rId9"/>
    <sheet name="Rutas" sheetId="8" state="visible" r:id="rId10"/>
    <sheet name="Listas" sheetId="9" state="visible" r:id="rId11"/>
  </sheets>
  <definedNames>
    <definedName function="false" hidden="true" localSheetId="5" name="_xlnm._FilterDatabase" vbProcedure="false">Conductores!$A$1:$I$301</definedName>
    <definedName function="false" hidden="true" localSheetId="2" name="_xlnm._FilterDatabase" vbProcedure="false">Hoy!$A$1:$P$301</definedName>
    <definedName function="false" hidden="true" localSheetId="3" name="_xlnm._FilterDatabase" vbProcedure="false">Incidencias!$A$1:$L$301</definedName>
    <definedName function="false" hidden="true" localSheetId="4" name="_xlnm._FilterDatabase" vbProcedure="false">Revision_previa!$A$1:$J$301</definedName>
    <definedName function="false" hidden="true" localSheetId="7" name="_xlnm._FilterDatabase" vbProcedure="false">Rutas!$A$1:$F$301</definedName>
    <definedName function="false" hidden="true" localSheetId="6" name="_xlnm._FilterDatabase" vbProcedure="false">Vehículos!$A$1:$H$301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<sst xmlns="http://schemas.openxmlformats.org/spreadsheetml/2006/main" count="412" uniqueCount="304">
  <si>
    <t xml:space="preserve">Plantilla de operaciones de flota</t>
  </si>
  <si>
    <t xml:space="preserve">Una sola fuente de verdad para conductores, vehículos, rutas, el plan del día e incidencias. Para Google Sheets o Excel, sin programar.</t>
  </si>
  <si>
    <t xml:space="preserve">Cómo empezar (más o menos 1 hora)</t>
  </si>
  <si>
    <t xml:space="preserve">1. Llena las pestañas maestras</t>
  </si>
  <si>
    <t xml:space="preserve">Conductores, Vehículos y Rutas. Una fila cada uno. Las filas amarillas son EJEMPLOS: sobrescríbelas o bórralas.</t>
  </si>
  <si>
    <t xml:space="preserve">2. No escribas texto libre donde hay lista desplegable</t>
  </si>
  <si>
    <t xml:space="preserve">Estados, tipos y códigos de motivo salen de la pestaña Listas. Un valor incorrecto se rechaza a propósito.</t>
  </si>
  <si>
    <t xml:space="preserve">3. Cada día, usa la pestaña Hoy</t>
  </si>
  <si>
    <t xml:space="preserve">Una fila por ruta: fecha, ruta, conductor, vehículo y paradas. Actualiza paradas_hechas y estado en cada control.</t>
  </si>
  <si>
    <t xml:space="preserve">4. Registra cada problema en Incidencias</t>
  </si>
  <si>
    <t xml:space="preserve">Una fila por incidencia, siempre con un código de motivo. Así aparecen los patrones más adelante.</t>
  </si>
  <si>
    <t xml:space="preserve">5. Lee las verificaciones</t>
  </si>
  <si>
    <t xml:space="preserve">verificacion_asignacion, verificacion_datos y revision_previa se ponen en rojo cuando algo no cuadra. Corrige la causa, no ocultes el mensaje.</t>
  </si>
  <si>
    <t xml:space="preserve">6. Registra la revisión previa de cada vehículo</t>
  </si>
  <si>
    <t xml:space="preserve">En la pestaña Revision_previa, una fila por vehículo y por salida (a mano o con un formulario de Google). Hoy muestra si el vehículo salió Apto, No apto o Sin revisión.</t>
  </si>
  <si>
    <t xml:space="preserve">7. Cada semana, abre Resumen</t>
  </si>
  <si>
    <t xml:space="preserve">Cambia las fechas Desde y Hasta y revisa rutas atrasadas, incidencias abiertas y el gráfico por motivo.</t>
  </si>
  <si>
    <t xml:space="preserve">Las 6 reglas para mantener los datos limpios</t>
  </si>
  <si>
    <t xml:space="preserve">Regla 1: los ID son permanentes</t>
  </si>
  <si>
    <t xml:space="preserve">Un ID nunca cambia ni se reutiliza. Si un conductor se va, ponlo como Inactivo; no borres la fila.</t>
  </si>
  <si>
    <t xml:space="preserve">Regla 2: el ID se escribe una sola vez</t>
  </si>
  <si>
    <t xml:space="preserve">En los demás lugares lo eliges de la lista, así nombres e ID no se desfasan.</t>
  </si>
  <si>
    <t xml:space="preserve">Regla 3: solo valores fijos</t>
  </si>
  <si>
    <t xml:space="preserve">Estado, tipo de vehículo, gravedad y código de motivo salen de las listas. Para añadir un valor, agrégalo primero en Listas.</t>
  </si>
  <si>
    <t xml:space="preserve">Regla 4: una fila = una cosa</t>
  </si>
  <si>
    <t xml:space="preserve">Un conductor, un vehículo, una ruta, una salida del día, una incidencia. Sin celdas combinadas y sin notas en la columna del ID.</t>
  </si>
  <si>
    <t xml:space="preserve">Regla 5: toda ruta atrasada o en riesgo lleva código de motivo</t>
  </si>
  <si>
    <t xml:space="preserve">Si hay varias causas, anota la principal y explica el resto en notas.</t>
  </si>
  <si>
    <t xml:space="preserve">Regla 6: un responsable</t>
  </si>
  <si>
    <t xml:space="preserve">Nombra a una persona que pueda cambiar las pestañas maestras. El resto solo edita Hoy e Incidencias.</t>
  </si>
  <si>
    <t xml:space="preserve">Formato de los ID</t>
  </si>
  <si>
    <t xml:space="preserve">Conductor</t>
  </si>
  <si>
    <t xml:space="preserve">D + número</t>
  </si>
  <si>
    <t xml:space="preserve">D01, D02, ... D24</t>
  </si>
  <si>
    <t xml:space="preserve">Vehículo</t>
  </si>
  <si>
    <t xml:space="preserve">V + número</t>
  </si>
  <si>
    <t xml:space="preserve">V01, V02, ... V24</t>
  </si>
  <si>
    <t xml:space="preserve">Ruta</t>
  </si>
  <si>
    <t xml:space="preserve">letras del tipo + número</t>
  </si>
  <si>
    <t xml:space="preserve">BK-01 (moto), VN-01 (furgoneta), TR-01 (camión)</t>
  </si>
  <si>
    <t xml:space="preserve">Incidencia</t>
  </si>
  <si>
    <t xml:space="preserve">EX- + 4 dígitos</t>
  </si>
  <si>
    <t xml:space="preserve">EX-0001, EX-0002, ...</t>
  </si>
  <si>
    <t xml:space="preserve">Nota</t>
  </si>
  <si>
    <t xml:space="preserve">Los prefijos BK, VN, TR y EX se mantienen para que esta plantilla coincida con los datos y tableros de ejemplo.</t>
  </si>
  <si>
    <t xml:space="preserve">Colores</t>
  </si>
  <si>
    <t xml:space="preserve">Encabezado azul oscuro</t>
  </si>
  <si>
    <t xml:space="preserve">Aquí escribes o eliges valores.</t>
  </si>
  <si>
    <t xml:space="preserve">Encabezado gris</t>
  </si>
  <si>
    <t xml:space="preserve">Se calcula solo. No escribas aquí, es una fórmula.</t>
  </si>
  <si>
    <t xml:space="preserve">Fila amarillo claro</t>
  </si>
  <si>
    <t xml:space="preserve">Fila de ejemplo. Sobrescríbela con tus datos reales.</t>
  </si>
  <si>
    <t xml:space="preserve">Texto en rojo</t>
  </si>
  <si>
    <t xml:space="preserve">Falló una verificación o hay un ID duplicado.</t>
  </si>
  <si>
    <t xml:space="preserve">Códigos de motivo (lista completa en la pestaña Listas)</t>
  </si>
  <si>
    <t xml:space="preserve">TRA  CLI  AVE  INC</t>
  </si>
  <si>
    <t xml:space="preserve">Tráfico, clima, avería, accidente o incidente</t>
  </si>
  <si>
    <t xml:space="preserve">AUS  DIR  ACE  REC</t>
  </si>
  <si>
    <t xml:space="preserve">Cliente ausente, problema de dirección, acceso bloqueado, entrega rechazada</t>
  </si>
  <si>
    <t xml:space="preserve">PLA  CON  VEH  OTR</t>
  </si>
  <si>
    <t xml:space="preserve">Plan muy ajustado, problema del conductor, vehículo no listo, otro (explicar en notas)</t>
  </si>
  <si>
    <t xml:space="preserve">Notas y límites</t>
  </si>
  <si>
    <t xml:space="preserve">Filas preparadas</t>
  </si>
  <si>
    <t xml:space="preserve">Cada pestaña viene lista para 300 filas. Si necesitas más, copia la última fila hacia abajo.</t>
  </si>
  <si>
    <t xml:space="preserve">Usarla en Google Sheets</t>
  </si>
  <si>
    <t xml:space="preserve">Sube el archivo a Google Drive y ábrelo con Google Sheets. Las listas, los colores y las fórmulas deberían mantenerse, pero prueba una lista y una verificación antes de depender de ellas.</t>
  </si>
  <si>
    <t xml:space="preserve">Datos personales</t>
  </si>
  <si>
    <t xml:space="preserve">Los teléfonos y las fechas de licencia son datos personales. Limita quién puede abrir la pestaña Conductores y sigue las reglas de tu empresa.</t>
  </si>
  <si>
    <t xml:space="preserve">Los ejemplos son ficticios</t>
  </si>
  <si>
    <t xml:space="preserve">Todos los nombres, placas y teléfonos de este archivo son inventados.</t>
  </si>
  <si>
    <t xml:space="preserve">Resumen semanal</t>
  </si>
  <si>
    <t xml:space="preserve">Se calcula solo a partir de Hoy, Incidencias, Revision_previa, Vehículos y Conductores. No escribas en las celdas con fórmula.</t>
  </si>
  <si>
    <t xml:space="preserve">Desde</t>
  </si>
  <si>
    <t xml:space="preserve">← Cambia estas dos fechas para ver otra semana u otro período (celdas azul claro).</t>
  </si>
  <si>
    <t xml:space="preserve">Hasta</t>
  </si>
  <si>
    <t xml:space="preserve">Rutas e incidencias del período</t>
  </si>
  <si>
    <t xml:space="preserve">Medida</t>
  </si>
  <si>
    <t xml:space="preserve">Valor</t>
  </si>
  <si>
    <t xml:space="preserve">Qué significa</t>
  </si>
  <si>
    <t xml:space="preserve">Rutas registradas</t>
  </si>
  <si>
    <t xml:space="preserve">Filas de Hoy en el período</t>
  </si>
  <si>
    <t xml:space="preserve">Paradas planificadas</t>
  </si>
  <si>
    <t xml:space="preserve">Suma de paradas_planificadas</t>
  </si>
  <si>
    <t xml:space="preserve">Paradas hechas</t>
  </si>
  <si>
    <t xml:space="preserve">Suma de paradas_hechas</t>
  </si>
  <si>
    <t xml:space="preserve">Cumplimiento de paradas</t>
  </si>
  <si>
    <t xml:space="preserve">Hechas entre planificadas. Útil con días ya cerrados; un día en curso saldrá bajo</t>
  </si>
  <si>
    <t xml:space="preserve">Rutas finalizadas</t>
  </si>
  <si>
    <t xml:space="preserve">Estado Finalizada</t>
  </si>
  <si>
    <t xml:space="preserve">Rutas atrasadas</t>
  </si>
  <si>
    <t xml:space="preserve">Estado Atrasada</t>
  </si>
  <si>
    <t xml:space="preserve">Rutas en riesgo</t>
  </si>
  <si>
    <t xml:space="preserve">Estado En riesgo</t>
  </si>
  <si>
    <t xml:space="preserve">Rutas canceladas</t>
  </si>
  <si>
    <t xml:space="preserve">Estado Cancelada</t>
  </si>
  <si>
    <t xml:space="preserve">Incidencias registradas</t>
  </si>
  <si>
    <t xml:space="preserve">Filas de Incidencias en el período</t>
  </si>
  <si>
    <t xml:space="preserve">Incidencias abiertas</t>
  </si>
  <si>
    <t xml:space="preserve">Estado Abierta: alguien debe cerrarlas</t>
  </si>
  <si>
    <t xml:space="preserve">Incidencias de gravedad alta</t>
  </si>
  <si>
    <t xml:space="preserve">Gravedad Alta</t>
  </si>
  <si>
    <t xml:space="preserve">Revisiones previas realizadas</t>
  </si>
  <si>
    <t xml:space="preserve">Filas de Revision_previa en el período</t>
  </si>
  <si>
    <t xml:space="preserve">Fallas halladas en revisiones previas</t>
  </si>
  <si>
    <t xml:space="preserve">Neumáticos, luces, frenos con Falla y testigos Encendidos</t>
  </si>
  <si>
    <t xml:space="preserve">Flota hoy (no depende del período)</t>
  </si>
  <si>
    <t xml:space="preserve">Vehículos Disponibles</t>
  </si>
  <si>
    <t xml:space="preserve">Listos para asignar</t>
  </si>
  <si>
    <t xml:space="preserve">Vehículos En uso</t>
  </si>
  <si>
    <t xml:space="preserve">Ya asignados</t>
  </si>
  <si>
    <t xml:space="preserve">Vehículos en Taller</t>
  </si>
  <si>
    <t xml:space="preserve">No se pueden asignar</t>
  </si>
  <si>
    <t xml:space="preserve">Vehículos Fuera de servicio</t>
  </si>
  <si>
    <t xml:space="preserve">Retirados</t>
  </si>
  <si>
    <t xml:space="preserve">Servicios que vencen en 7 días o ya vencidos</t>
  </si>
  <si>
    <t xml:space="preserve">Programa el mantenimiento</t>
  </si>
  <si>
    <t xml:space="preserve">Licencias que vencen en 30 días o ya vencidas</t>
  </si>
  <si>
    <t xml:space="preserve">Avisa al conductor y al responsable</t>
  </si>
  <si>
    <t xml:space="preserve">Conductores Activos</t>
  </si>
  <si>
    <t xml:space="preserve">Disponibles para asignar</t>
  </si>
  <si>
    <t xml:space="preserve">Incidencias por código de motivo</t>
  </si>
  <si>
    <t xml:space="preserve">Motivo</t>
  </si>
  <si>
    <t xml:space="preserve">Incidencias</t>
  </si>
  <si>
    <t xml:space="preserve">% del total</t>
  </si>
  <si>
    <t xml:space="preserve">Barra</t>
  </si>
  <si>
    <t xml:space="preserve">Total</t>
  </si>
  <si>
    <t xml:space="preserve">Cómo leer este resumen</t>
  </si>
  <si>
    <t xml:space="preserve">1. Cambia las fechas Desde y Hasta. Todo el resumen se recalcula.</t>
  </si>
  <si>
    <t xml:space="preserve">2. Mira primero Rutas atrasadas e Incidencias abiertas: son lo que requiere acción.</t>
  </si>
  <si>
    <t xml:space="preserve">3. En el gráfico, el motivo que más se repite es el primero a atacar (por ejemplo PLA pide rehacer el plan).</t>
  </si>
  <si>
    <t xml:space="preserve">4. Compara Vehículos Disponibles con las rutas del día antes de asignar.</t>
  </si>
  <si>
    <t xml:space="preserve">5. Si el total de incidencias es menor al de rutas atrasadas, faltan registros: revisa la columna verificacion_datos de Hoy.</t>
  </si>
  <si>
    <t xml:space="preserve">fecha</t>
  </si>
  <si>
    <t xml:space="preserve">id_ruta</t>
  </si>
  <si>
    <t xml:space="preserve">id_conductor</t>
  </si>
  <si>
    <t xml:space="preserve">id_vehiculo</t>
  </si>
  <si>
    <t xml:space="preserve">nombre_conductor</t>
  </si>
  <si>
    <t xml:space="preserve">zona</t>
  </si>
  <si>
    <t xml:space="preserve">verificacion_asignacion</t>
  </si>
  <si>
    <t xml:space="preserve">paradas_planificadas</t>
  </si>
  <si>
    <t xml:space="preserve">paradas_hechas</t>
  </si>
  <si>
    <t xml:space="preserve">avance</t>
  </si>
  <si>
    <t xml:space="preserve">estado</t>
  </si>
  <si>
    <t xml:space="preserve">codigo_motivo</t>
  </si>
  <si>
    <t xml:space="preserve">ultimo_control</t>
  </si>
  <si>
    <t xml:space="preserve">notas</t>
  </si>
  <si>
    <t xml:space="preserve">verificacion_datos</t>
  </si>
  <si>
    <t xml:space="preserve">revision_previa</t>
  </si>
  <si>
    <t xml:space="preserve">BK-01</t>
  </si>
  <si>
    <t xml:space="preserve">D01</t>
  </si>
  <si>
    <t xml:space="preserve">V01</t>
  </si>
  <si>
    <t xml:space="preserve">En tiempo</t>
  </si>
  <si>
    <t xml:space="preserve">BK-02</t>
  </si>
  <si>
    <t xml:space="preserve">D02</t>
  </si>
  <si>
    <t xml:space="preserve">V02</t>
  </si>
  <si>
    <t xml:space="preserve">No iniciada</t>
  </si>
  <si>
    <t xml:space="preserve">Ejemplo: el vehículo V02 está en el taller y la verificación lo señala</t>
  </si>
  <si>
    <t xml:space="preserve">TR-02</t>
  </si>
  <si>
    <t xml:space="preserve">D21</t>
  </si>
  <si>
    <t xml:space="preserve">V21</t>
  </si>
  <si>
    <t xml:space="preserve">Atrasada</t>
  </si>
  <si>
    <t xml:space="preserve">TRA</t>
  </si>
  <si>
    <t xml:space="preserve">Accidente en la autopista, 40 min detenido</t>
  </si>
  <si>
    <t xml:space="preserve">VN-02</t>
  </si>
  <si>
    <t xml:space="preserve">D15</t>
  </si>
  <si>
    <t xml:space="preserve">V15</t>
  </si>
  <si>
    <t xml:space="preserve">En riesgo</t>
  </si>
  <si>
    <t xml:space="preserve">Ejemplo: falta el código de motivo y la verificación lo señala</t>
  </si>
  <si>
    <t xml:space="preserve">id_incidencia</t>
  </si>
  <si>
    <t xml:space="preserve">hora</t>
  </si>
  <si>
    <t xml:space="preserve">significado_motivo</t>
  </si>
  <si>
    <t xml:space="preserve">gravedad</t>
  </si>
  <si>
    <t xml:space="preserve">que_paso</t>
  </si>
  <si>
    <t xml:space="preserve">accion_tomada</t>
  </si>
  <si>
    <t xml:space="preserve">cliente_informado</t>
  </si>
  <si>
    <t xml:space="preserve">resuelta</t>
  </si>
  <si>
    <t xml:space="preserve">EX-0001</t>
  </si>
  <si>
    <t xml:space="preserve">Media</t>
  </si>
  <si>
    <t xml:space="preserve">Accidente en la autopista, camión detenido 40 min</t>
  </si>
  <si>
    <t xml:space="preserve">Se llamó al cliente, se movió la hora estimada 45 min y el conductor reanudó a las 12:20</t>
  </si>
  <si>
    <t xml:space="preserve">Sí</t>
  </si>
  <si>
    <t xml:space="preserve">Resuelta</t>
  </si>
  <si>
    <t xml:space="preserve">marca_temporal</t>
  </si>
  <si>
    <t xml:space="preserve">neumaticos</t>
  </si>
  <si>
    <t xml:space="preserve">luces</t>
  </si>
  <si>
    <t xml:space="preserve">frenos</t>
  </si>
  <si>
    <t xml:space="preserve">combustible</t>
  </si>
  <si>
    <t xml:space="preserve">testigos_aviso</t>
  </si>
  <si>
    <t xml:space="preserve">danos_nuevos</t>
  </si>
  <si>
    <t xml:space="preserve">observaciones</t>
  </si>
  <si>
    <t xml:space="preserve">OK</t>
  </si>
  <si>
    <t xml:space="preserve">Tres cuartos</t>
  </si>
  <si>
    <t xml:space="preserve">Ninguno</t>
  </si>
  <si>
    <t xml:space="preserve">No</t>
  </si>
  <si>
    <t xml:space="preserve">Lleno</t>
  </si>
  <si>
    <t xml:space="preserve">Falla</t>
  </si>
  <si>
    <t xml:space="preserve">Medio</t>
  </si>
  <si>
    <t xml:space="preserve">Ejemplo: frenos con ruido, no sale hasta revisar</t>
  </si>
  <si>
    <t xml:space="preserve">nombre</t>
  </si>
  <si>
    <t xml:space="preserve">telefono</t>
  </si>
  <si>
    <t xml:space="preserve">tipo_vehiculo</t>
  </si>
  <si>
    <t xml:space="preserve">categoria_licencia</t>
  </si>
  <si>
    <t xml:space="preserve">turno</t>
  </si>
  <si>
    <t xml:space="preserve">vencimiento_licencia</t>
  </si>
  <si>
    <t xml:space="preserve">vehiculo_habitual</t>
  </si>
  <si>
    <t xml:space="preserve">Juan Martínez</t>
  </si>
  <si>
    <t xml:space="preserve">809-555-0101</t>
  </si>
  <si>
    <t xml:space="preserve">moto</t>
  </si>
  <si>
    <t xml:space="preserve">Motocicleta</t>
  </si>
  <si>
    <t xml:space="preserve">Mañana</t>
  </si>
  <si>
    <t xml:space="preserve">Activo</t>
  </si>
  <si>
    <t xml:space="preserve">Luis Almonte</t>
  </si>
  <si>
    <t xml:space="preserve">809-555-0102</t>
  </si>
  <si>
    <t xml:space="preserve">Tarde</t>
  </si>
  <si>
    <t xml:space="preserve">Mercedes Rodríguez</t>
  </si>
  <si>
    <t xml:space="preserve">809-555-0115</t>
  </si>
  <si>
    <t xml:space="preserve">furgoneta</t>
  </si>
  <si>
    <t xml:space="preserve">Vehículo liviano</t>
  </si>
  <si>
    <t xml:space="preserve">Yeison Tavárez</t>
  </si>
  <si>
    <t xml:space="preserve">809-555-0121</t>
  </si>
  <si>
    <t xml:space="preserve">camión</t>
  </si>
  <si>
    <t xml:space="preserve">Camión pesado</t>
  </si>
  <si>
    <t xml:space="preserve">Larga distancia</t>
  </si>
  <si>
    <t xml:space="preserve">placa</t>
  </si>
  <si>
    <t xml:space="preserve">proximo_servicio</t>
  </si>
  <si>
    <t xml:space="preserve">odometro_km</t>
  </si>
  <si>
    <t xml:space="preserve">EJEMPLO-01</t>
  </si>
  <si>
    <t xml:space="preserve">gasolina</t>
  </si>
  <si>
    <t xml:space="preserve">Disponible</t>
  </si>
  <si>
    <t xml:space="preserve">EJEMPLO-02</t>
  </si>
  <si>
    <t xml:space="preserve">Taller</t>
  </si>
  <si>
    <t xml:space="preserve">Pastillas de freno, vuelve el lunes</t>
  </si>
  <si>
    <t xml:space="preserve">EJEMPLO-15</t>
  </si>
  <si>
    <t xml:space="preserve">gasoil</t>
  </si>
  <si>
    <t xml:space="preserve">EJEMPLO-21</t>
  </si>
  <si>
    <t xml:space="preserve">En uso</t>
  </si>
  <si>
    <t xml:space="preserve">paradas_tipicas</t>
  </si>
  <si>
    <t xml:space="preserve">km_tipicos</t>
  </si>
  <si>
    <t xml:space="preserve">activa</t>
  </si>
  <si>
    <t xml:space="preserve">Distrito Nacional</t>
  </si>
  <si>
    <t xml:space="preserve">Zona Colonial</t>
  </si>
  <si>
    <t xml:space="preserve">San Cristóbal</t>
  </si>
  <si>
    <t xml:space="preserve">Santiago</t>
  </si>
  <si>
    <t xml:space="preserve">Tipo de vehículo</t>
  </si>
  <si>
    <t xml:space="preserve">Estado del vehículo</t>
  </si>
  <si>
    <t xml:space="preserve">Estado del conductor</t>
  </si>
  <si>
    <t xml:space="preserve">Turno</t>
  </si>
  <si>
    <t xml:space="preserve">Categoría de licencia</t>
  </si>
  <si>
    <t xml:space="preserve">Combustible</t>
  </si>
  <si>
    <t xml:space="preserve">Estado de la ruta</t>
  </si>
  <si>
    <t xml:space="preserve">Gravedad</t>
  </si>
  <si>
    <t xml:space="preserve">Sí/No</t>
  </si>
  <si>
    <t xml:space="preserve">Resultado de revisión</t>
  </si>
  <si>
    <t xml:space="preserve">Nivel de combustible</t>
  </si>
  <si>
    <t xml:space="preserve">Testigos de aviso</t>
  </si>
  <si>
    <t xml:space="preserve">Código de motivo</t>
  </si>
  <si>
    <t xml:space="preserve">Significado</t>
  </si>
  <si>
    <t xml:space="preserve">Cuándo usarlo</t>
  </si>
  <si>
    <t xml:space="preserve">Baja</t>
  </si>
  <si>
    <t xml:space="preserve">Abierta</t>
  </si>
  <si>
    <t xml:space="preserve">Tráfico o cierre de vía</t>
  </si>
  <si>
    <t xml:space="preserve">Vías lentas, accidente adelante, calle cerrada</t>
  </si>
  <si>
    <t xml:space="preserve">De permiso</t>
  </si>
  <si>
    <t xml:space="preserve">Encendido</t>
  </si>
  <si>
    <t xml:space="preserve">CLI</t>
  </si>
  <si>
    <t xml:space="preserve">Clima</t>
  </si>
  <si>
    <t xml:space="preserve">Lluvia, tormenta, inundación</t>
  </si>
  <si>
    <t xml:space="preserve">Inactivo</t>
  </si>
  <si>
    <t xml:space="preserve">Alta</t>
  </si>
  <si>
    <t xml:space="preserve">AVE</t>
  </si>
  <si>
    <t xml:space="preserve">Avería del vehículo</t>
  </si>
  <si>
    <t xml:space="preserve">Falla mecánica, goma ponchada, sin combustible</t>
  </si>
  <si>
    <t xml:space="preserve">Fuera de servicio</t>
  </si>
  <si>
    <t xml:space="preserve">Un cuarto</t>
  </si>
  <si>
    <t xml:space="preserve">INC</t>
  </si>
  <si>
    <t xml:space="preserve">Accidente o incidente</t>
  </si>
  <si>
    <t xml:space="preserve">Choque, lesión, robo, problema de seguridad</t>
  </si>
  <si>
    <t xml:space="preserve">Finalizada</t>
  </si>
  <si>
    <t xml:space="preserve">Reserva</t>
  </si>
  <si>
    <t xml:space="preserve">AUS</t>
  </si>
  <si>
    <t xml:space="preserve">Cliente ausente</t>
  </si>
  <si>
    <t xml:space="preserve">Nadie para recibir la entrega</t>
  </si>
  <si>
    <t xml:space="preserve">Cancelada</t>
  </si>
  <si>
    <t xml:space="preserve">DIR</t>
  </si>
  <si>
    <t xml:space="preserve">Problema de dirección</t>
  </si>
  <si>
    <t xml:space="preserve">Dirección errónea, incompleta o imposible de encontrar</t>
  </si>
  <si>
    <t xml:space="preserve">ACE</t>
  </si>
  <si>
    <t xml:space="preserve">Acceso bloqueado</t>
  </si>
  <si>
    <t xml:space="preserve">Portón, edificio o calle sin acceso</t>
  </si>
  <si>
    <t xml:space="preserve">REC</t>
  </si>
  <si>
    <t xml:space="preserve">Entrega rechazada</t>
  </si>
  <si>
    <t xml:space="preserve">El cliente rechaza la entrega</t>
  </si>
  <si>
    <t xml:space="preserve">PLA</t>
  </si>
  <si>
    <t xml:space="preserve">Plan muy ajustado</t>
  </si>
  <si>
    <t xml:space="preserve">La ruta tenía demasiadas paradas o tiempos poco realistas</t>
  </si>
  <si>
    <t xml:space="preserve">CON</t>
  </si>
  <si>
    <t xml:space="preserve">Problema del conductor</t>
  </si>
  <si>
    <t xml:space="preserve">Ausente, salida tardía, enfermo, perdido</t>
  </si>
  <si>
    <t xml:space="preserve">VEH</t>
  </si>
  <si>
    <t xml:space="preserve">Vehículo no listo</t>
  </si>
  <si>
    <t xml:space="preserve">No pasó la revisión previa, sin combustible, no disponible</t>
  </si>
  <si>
    <t xml:space="preserve">OTR</t>
  </si>
  <si>
    <t xml:space="preserve">Otro</t>
  </si>
  <si>
    <t xml:space="preserve">Usar pocas veces y siempre explicar en las notas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</si>
</sst>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#,##0"/>
    <numFmt numFmtId="168" formatCode="0.0%"/>
    <numFmt numFmtId="169" formatCode="0%"/>
    <numFmt numFmtId="170" formatCode="hh:mm"/>
    <numFmt numFmtId="171" formatCode="dd/mm/yyyy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7F7F7F"/>
        <bgColor rgb="FF878787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E699"/>
      <rgbColor rgb="FF99CCFF"/>
      <rgbColor rgb="FFF4B183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Incidencias por motivo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Resumen!C34</c:f>
              <c:strCache>
                <c:ptCount val="1"/>
                <c:pt idx="0">
                  <c:v>Incidencias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Resumen!$B$35:$B$46</c:f>
              <c:strCache>
                <c:ptCount val="12"/>
                <c:pt idx="0">
                  <c:v>TRA - Tráfico o cierre de vía</c:v>
                </c:pt>
                <c:pt idx="1">
                  <c:v>CLI - Clima</c:v>
                </c:pt>
                <c:pt idx="2">
                  <c:v>AVE - Avería del vehículo</c:v>
                </c:pt>
                <c:pt idx="3">
                  <c:v>INC - Accidente o incidente</c:v>
                </c:pt>
                <c:pt idx="4">
                  <c:v>AUS - Cliente ausente</c:v>
                </c:pt>
                <c:pt idx="5">
                  <c:v>DIR - Problema de dirección</c:v>
                </c:pt>
                <c:pt idx="6">
                  <c:v>ACE - Acceso bloqueado</c:v>
                </c:pt>
                <c:pt idx="7">
                  <c:v>REC - Entrega rechazada</c:v>
                </c:pt>
                <c:pt idx="8">
                  <c:v>PLA - Plan muy ajustado</c:v>
                </c:pt>
                <c:pt idx="9">
                  <c:v>CON - Problema del conductor</c:v>
                </c:pt>
                <c:pt idx="10">
                  <c:v>VEH - Vehículo no listo</c:v>
                </c:pt>
                <c:pt idx="11">
                  <c:v>OTR - Otro</c:v>
                </c:pt>
              </c:strCache>
            </c:strRef>
          </c:cat>
          <c:val>
            <c:numRef>
              <c:f>Resumen!$C$35:$C$46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6143898"/>
        <c:axId val="74559685"/>
      </c:barChart>
      <c:catAx>
        <c:axId val="761438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59685"/>
        <c:crosses val="autoZero"/>
        <c:auto val="1"/>
        <c:lblAlgn val="ctr"/>
        <c:lblOffset val="100"/>
        <c:noMultiLvlLbl val="0"/>
      </c:catAx>
      <c:valAx>
        <c:axId val="74559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43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130680</xdr:rowOff>
    </xdr:from>
    <xdr:to>
      <xdr:col>3</xdr:col>
      <xdr:colOff>2109600</xdr:colOff>
      <xdr:row>65</xdr:row>
      <xdr:rowOff>131760</xdr:rowOff>
    </xdr:to>
    <xdr:graphicFrame>
      <xdr:nvGraphicFramePr>
        <xdr:cNvPr id="0" name="Chart 1"/>
        <xdr:cNvGraphicFramePr/>
      </xdr:nvGraphicFramePr>
      <xdr:xfrm>
        <a:off x="211320" y="9334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72"/>
    <col collapsed="false" customWidth="true" hidden="false" outlineLevel="0" max="4" min="4" style="0" width="3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23.85" hidden="false" customHeight="false" outlineLevel="0" collapsed="false">
      <c r="B6" s="5" t="s">
        <v>3</v>
      </c>
      <c r="C6" s="6" t="s">
        <v>4</v>
      </c>
      <c r="D6" s="6"/>
    </row>
    <row r="7" customFormat="false" ht="23.85" hidden="false" customHeight="false" outlineLevel="0" collapsed="false">
      <c r="B7" s="5" t="s">
        <v>5</v>
      </c>
      <c r="C7" s="6" t="s">
        <v>6</v>
      </c>
      <c r="D7" s="6"/>
    </row>
    <row r="8" customFormat="false" ht="23.85" hidden="false" customHeight="false" outlineLevel="0" collapsed="false">
      <c r="B8" s="5" t="s">
        <v>7</v>
      </c>
      <c r="C8" s="6" t="s">
        <v>8</v>
      </c>
      <c r="D8" s="6"/>
    </row>
    <row r="9" customFormat="false" ht="23.85" hidden="false" customHeight="false" outlineLevel="0" collapsed="false">
      <c r="B9" s="5" t="s">
        <v>9</v>
      </c>
      <c r="C9" s="6" t="s">
        <v>10</v>
      </c>
      <c r="D9" s="6"/>
    </row>
    <row r="10" customFormat="false" ht="23.85" hidden="false" customHeight="false" outlineLevel="0" collapsed="false">
      <c r="B10" s="5" t="s">
        <v>11</v>
      </c>
      <c r="C10" s="6" t="s">
        <v>12</v>
      </c>
      <c r="D10" s="6"/>
    </row>
    <row r="11" customFormat="false" ht="23.85" hidden="false" customHeight="false" outlineLevel="0" collapsed="false">
      <c r="B11" s="5" t="s">
        <v>13</v>
      </c>
      <c r="C11" s="6" t="s">
        <v>14</v>
      </c>
      <c r="D11" s="6"/>
    </row>
    <row r="12" customFormat="false" ht="23.85" hidden="false" customHeight="false" outlineLevel="0" collapsed="false">
      <c r="B12" s="5" t="s">
        <v>15</v>
      </c>
      <c r="C12" s="6" t="s">
        <v>16</v>
      </c>
      <c r="D12" s="6"/>
    </row>
    <row r="14" customFormat="false" ht="15" hidden="false" customHeight="false" outlineLevel="0" collapsed="false">
      <c r="B14" s="3" t="s">
        <v>17</v>
      </c>
      <c r="C14" s="4"/>
      <c r="D14" s="4"/>
    </row>
    <row r="15" customFormat="false" ht="23.85" hidden="false" customHeight="false" outlineLevel="0" collapsed="false">
      <c r="B15" s="5" t="s">
        <v>18</v>
      </c>
      <c r="C15" s="6" t="s">
        <v>19</v>
      </c>
      <c r="D15" s="6"/>
    </row>
    <row r="16" customFormat="false" ht="23.85" hidden="false" customHeight="false" outlineLevel="0" collapsed="false">
      <c r="B16" s="5" t="s">
        <v>20</v>
      </c>
      <c r="C16" s="6" t="s">
        <v>21</v>
      </c>
      <c r="D16" s="6"/>
    </row>
    <row r="17" customFormat="false" ht="23.85" hidden="false" customHeight="false" outlineLevel="0" collapsed="false">
      <c r="B17" s="5" t="s">
        <v>22</v>
      </c>
      <c r="C17" s="6" t="s">
        <v>23</v>
      </c>
      <c r="D17" s="6"/>
    </row>
    <row r="18" customFormat="false" ht="23.85" hidden="false" customHeight="false" outlineLevel="0" collapsed="false">
      <c r="B18" s="5" t="s">
        <v>24</v>
      </c>
      <c r="C18" s="6" t="s">
        <v>25</v>
      </c>
      <c r="D18" s="6"/>
    </row>
    <row r="19" customFormat="false" ht="23.85" hidden="false" customHeight="false" outlineLevel="0" collapsed="false">
      <c r="B19" s="5" t="s">
        <v>26</v>
      </c>
      <c r="C19" s="6" t="s">
        <v>27</v>
      </c>
      <c r="D19" s="6"/>
    </row>
    <row r="20" customFormat="false" ht="23.85" hidden="false" customHeight="false" outlineLevel="0" collapsed="false">
      <c r="B20" s="5" t="s">
        <v>28</v>
      </c>
      <c r="C20" s="6" t="s">
        <v>29</v>
      </c>
      <c r="D20" s="6"/>
    </row>
    <row r="22" customFormat="false" ht="15" hidden="false" customHeight="false" outlineLevel="0" collapsed="false">
      <c r="B22" s="3" t="s">
        <v>30</v>
      </c>
      <c r="C22" s="4"/>
      <c r="D22" s="4"/>
    </row>
    <row r="23" customFormat="false" ht="15" hidden="false" customHeight="false" outlineLevel="0" collapsed="false">
      <c r="B23" s="5" t="s">
        <v>31</v>
      </c>
      <c r="C23" s="6" t="s">
        <v>32</v>
      </c>
      <c r="D23" s="6" t="s">
        <v>33</v>
      </c>
    </row>
    <row r="24" customFormat="false" ht="15" hidden="false" customHeight="false" outlineLevel="0" collapsed="false">
      <c r="B24" s="5" t="s">
        <v>34</v>
      </c>
      <c r="C24" s="6" t="s">
        <v>35</v>
      </c>
      <c r="D24" s="6" t="s">
        <v>36</v>
      </c>
    </row>
    <row r="25" customFormat="false" ht="23.85" hidden="false" customHeight="false" outlineLevel="0" collapsed="false">
      <c r="B25" s="5" t="s">
        <v>37</v>
      </c>
      <c r="C25" s="6" t="s">
        <v>38</v>
      </c>
      <c r="D25" s="6" t="s">
        <v>39</v>
      </c>
    </row>
    <row r="26" customFormat="false" ht="15" hidden="false" customHeight="false" outlineLevel="0" collapsed="false">
      <c r="B26" s="5" t="s">
        <v>40</v>
      </c>
      <c r="C26" s="6" t="s">
        <v>41</v>
      </c>
      <c r="D26" s="6" t="s">
        <v>42</v>
      </c>
    </row>
    <row r="27" customFormat="false" ht="23.85" hidden="false" customHeight="false" outlineLevel="0" collapsed="false">
      <c r="B27" s="5" t="s">
        <v>43</v>
      </c>
      <c r="C27" s="6" t="s">
        <v>44</v>
      </c>
      <c r="D27" s="6"/>
    </row>
    <row r="29" customFormat="false" ht="15" hidden="false" customHeight="false" outlineLevel="0" collapsed="false">
      <c r="B29" s="3" t="s">
        <v>45</v>
      </c>
      <c r="C29" s="4"/>
      <c r="D29" s="4"/>
    </row>
    <row r="30" customFormat="false" ht="15" hidden="false" customHeight="false" outlineLevel="0" collapsed="false">
      <c r="B30" s="5" t="s">
        <v>46</v>
      </c>
      <c r="C30" s="6" t="s">
        <v>47</v>
      </c>
      <c r="D30" s="6"/>
    </row>
    <row r="31" customFormat="false" ht="15" hidden="false" customHeight="false" outlineLevel="0" collapsed="false">
      <c r="B31" s="5" t="s">
        <v>48</v>
      </c>
      <c r="C31" s="6" t="s">
        <v>49</v>
      </c>
      <c r="D31" s="6"/>
    </row>
    <row r="32" customFormat="false" ht="15" hidden="false" customHeight="false" outlineLevel="0" collapsed="false">
      <c r="B32" s="5" t="s">
        <v>50</v>
      </c>
      <c r="C32" s="6" t="s">
        <v>51</v>
      </c>
      <c r="D32" s="6"/>
    </row>
    <row r="33" customFormat="false" ht="15" hidden="false" customHeight="false" outlineLevel="0" collapsed="false">
      <c r="B33" s="5" t="s">
        <v>52</v>
      </c>
      <c r="C33" s="6" t="s">
        <v>53</v>
      </c>
      <c r="D33" s="6"/>
    </row>
    <row r="35" customFormat="false" ht="15" hidden="false" customHeight="false" outlineLevel="0" collapsed="false">
      <c r="B35" s="3" t="s">
        <v>54</v>
      </c>
      <c r="C35" s="4"/>
      <c r="D35" s="4"/>
    </row>
    <row r="36" customFormat="false" ht="15" hidden="false" customHeight="false" outlineLevel="0" collapsed="false">
      <c r="B36" s="5" t="s">
        <v>55</v>
      </c>
      <c r="C36" s="6" t="s">
        <v>56</v>
      </c>
      <c r="D36" s="6"/>
    </row>
    <row r="37" customFormat="false" ht="15" hidden="false" customHeight="false" outlineLevel="0" collapsed="false">
      <c r="B37" s="5" t="s">
        <v>57</v>
      </c>
      <c r="C37" s="6" t="s">
        <v>58</v>
      </c>
      <c r="D37" s="6"/>
    </row>
    <row r="38" customFormat="false" ht="15" hidden="false" customHeight="false" outlineLevel="0" collapsed="false">
      <c r="B38" s="5" t="s">
        <v>59</v>
      </c>
      <c r="C38" s="6" t="s">
        <v>60</v>
      </c>
      <c r="D38" s="6"/>
    </row>
    <row r="40" customFormat="false" ht="15" hidden="false" customHeight="false" outlineLevel="0" collapsed="false">
      <c r="B40" s="3" t="s">
        <v>61</v>
      </c>
      <c r="C40" s="4"/>
      <c r="D40" s="4"/>
    </row>
    <row r="41" customFormat="false" ht="15" hidden="false" customHeight="false" outlineLevel="0" collapsed="false">
      <c r="B41" s="5" t="s">
        <v>62</v>
      </c>
      <c r="C41" s="6" t="s">
        <v>63</v>
      </c>
      <c r="D41" s="6"/>
    </row>
    <row r="42" customFormat="false" ht="35.05" hidden="false" customHeight="false" outlineLevel="0" collapsed="false">
      <c r="B42" s="5" t="s">
        <v>64</v>
      </c>
      <c r="C42" s="6" t="s">
        <v>65</v>
      </c>
      <c r="D42" s="6"/>
    </row>
    <row r="43" customFormat="false" ht="23.85" hidden="false" customHeight="false" outlineLevel="0" collapsed="false">
      <c r="B43" s="5" t="s">
        <v>66</v>
      </c>
      <c r="C43" s="6" t="s">
        <v>67</v>
      </c>
      <c r="D43" s="6"/>
    </row>
    <row r="44" customFormat="false" ht="15" hidden="false" customHeight="false" outlineLevel="0" collapsed="false">
      <c r="B44" s="5" t="s">
        <v>68</v>
      </c>
      <c r="C44" s="6" t="s">
        <v>69</v>
      </c>
      <c r="D4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4"/>
    <col collapsed="false" customWidth="true" hidden="false" outlineLevel="0" max="5" min="5" style="0" width="14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" t="s">
        <v>70</v>
      </c>
    </row>
    <row r="3" customFormat="false" ht="15" hidden="false" customHeight="false" outlineLevel="0" collapsed="false">
      <c r="B3" s="2" t="s">
        <v>71</v>
      </c>
    </row>
    <row r="5" customFormat="false" ht="15" hidden="false" customHeight="false" outlineLevel="0" collapsed="false">
      <c r="B5" s="7" t="s">
        <v>72</v>
      </c>
      <c r="C5" s="8" t="n">
        <v>46300</v>
      </c>
      <c r="D5" s="2" t="s">
        <v>73</v>
      </c>
    </row>
    <row r="6" customFormat="false" ht="15" hidden="false" customHeight="false" outlineLevel="0" collapsed="false">
      <c r="B6" s="7" t="s">
        <v>74</v>
      </c>
      <c r="C6" s="8" t="n">
        <v>46306</v>
      </c>
    </row>
    <row r="7" customFormat="false" ht="15" hidden="false" customHeight="false" outlineLevel="0" collapsed="false">
      <c r="B7" s="7" t="s">
        <v>75</v>
      </c>
    </row>
    <row r="8" customFormat="false" ht="15" hidden="false" customHeight="false" outlineLevel="0" collapsed="false">
      <c r="B8" s="3" t="s">
        <v>76</v>
      </c>
      <c r="C8" s="3" t="s">
        <v>77</v>
      </c>
      <c r="D8" s="3" t="s">
        <v>78</v>
      </c>
    </row>
    <row r="9" customFormat="false" ht="15" hidden="false" customHeight="false" outlineLevel="0" collapsed="false">
      <c r="B9" s="9" t="s">
        <v>79</v>
      </c>
      <c r="C9" s="10" t="n">
        <f aca="false">COUNTIFS(Hoy!$A:$A,"&gt;="&amp;$C$5,Hoy!$A:$A,"&lt;="&amp;$C$6,Hoy!$B:$B,"&lt;&gt;")</f>
        <v>4</v>
      </c>
      <c r="D9" s="11" t="s">
        <v>80</v>
      </c>
    </row>
    <row r="10" customFormat="false" ht="15" hidden="false" customHeight="false" outlineLevel="0" collapsed="false">
      <c r="B10" s="9" t="s">
        <v>81</v>
      </c>
      <c r="C10" s="12" t="n">
        <f aca="false">SUMIFS(Hoy!$H:$H,Hoy!$A:$A,"&gt;="&amp;$C$5,Hoy!$A:$A,"&lt;="&amp;$C$6)</f>
        <v>72</v>
      </c>
      <c r="D10" s="11" t="s">
        <v>82</v>
      </c>
    </row>
    <row r="11" customFormat="false" ht="15" hidden="false" customHeight="false" outlineLevel="0" collapsed="false">
      <c r="B11" s="9" t="s">
        <v>83</v>
      </c>
      <c r="C11" s="12" t="n">
        <f aca="false">SUMIFS(Hoy!$I:$I,Hoy!$A:$A,"&gt;="&amp;$C$5,Hoy!$A:$A,"&lt;="&amp;$C$6)</f>
        <v>22</v>
      </c>
      <c r="D11" s="11" t="s">
        <v>84</v>
      </c>
    </row>
    <row r="12" customFormat="false" ht="15" hidden="false" customHeight="false" outlineLevel="0" collapsed="false">
      <c r="B12" s="9" t="s">
        <v>85</v>
      </c>
      <c r="C12" s="13" t="n">
        <f aca="false">IF(C10=0,"",C11/C10)</f>
        <v>0.305555555555556</v>
      </c>
      <c r="D12" s="11" t="s">
        <v>86</v>
      </c>
    </row>
    <row r="13" customFormat="false" ht="15" hidden="false" customHeight="false" outlineLevel="0" collapsed="false">
      <c r="B13" s="9" t="s">
        <v>87</v>
      </c>
      <c r="C13" s="10" t="n">
        <f aca="false">COUNTIFS(Hoy!$A:$A,"&gt;="&amp;$C$5,Hoy!$A:$A,"&lt;="&amp;$C$6,Hoy!$K:$K,"Finalizada")</f>
        <v>0</v>
      </c>
      <c r="D13" s="11" t="s">
        <v>88</v>
      </c>
    </row>
    <row r="14" customFormat="false" ht="15" hidden="false" customHeight="false" outlineLevel="0" collapsed="false">
      <c r="B14" s="9" t="s">
        <v>89</v>
      </c>
      <c r="C14" s="10" t="n">
        <f aca="false">COUNTIFS(Hoy!$A:$A,"&gt;="&amp;$C$5,Hoy!$A:$A,"&lt;="&amp;$C$6,Hoy!$K:$K,"Atrasada")</f>
        <v>1</v>
      </c>
      <c r="D14" s="11" t="s">
        <v>90</v>
      </c>
    </row>
    <row r="15" customFormat="false" ht="15" hidden="false" customHeight="false" outlineLevel="0" collapsed="false">
      <c r="B15" s="9" t="s">
        <v>91</v>
      </c>
      <c r="C15" s="10" t="n">
        <f aca="false">COUNTIFS(Hoy!$A:$A,"&gt;="&amp;$C$5,Hoy!$A:$A,"&lt;="&amp;$C$6,Hoy!$K:$K,"En riesgo")</f>
        <v>1</v>
      </c>
      <c r="D15" s="11" t="s">
        <v>92</v>
      </c>
    </row>
    <row r="16" customFormat="false" ht="15" hidden="false" customHeight="false" outlineLevel="0" collapsed="false">
      <c r="B16" s="9" t="s">
        <v>93</v>
      </c>
      <c r="C16" s="10" t="n">
        <f aca="false">COUNTIFS(Hoy!$A:$A,"&gt;="&amp;$C$5,Hoy!$A:$A,"&lt;="&amp;$C$6,Hoy!$K:$K,"Cancelada")</f>
        <v>0</v>
      </c>
      <c r="D16" s="11" t="s">
        <v>94</v>
      </c>
    </row>
    <row r="17" customFormat="false" ht="15" hidden="false" customHeight="false" outlineLevel="0" collapsed="false">
      <c r="B17" s="9" t="s">
        <v>95</v>
      </c>
      <c r="C17" s="10" t="n">
        <f aca="false">COUNTIFS(Incidencias!$B:$B,"&gt;="&amp;$C$5,Incidencias!$B:$B,"&lt;="&amp;$C$6)</f>
        <v>1</v>
      </c>
      <c r="D17" s="11" t="s">
        <v>96</v>
      </c>
    </row>
    <row r="18" customFormat="false" ht="15" hidden="false" customHeight="false" outlineLevel="0" collapsed="false">
      <c r="B18" s="9" t="s">
        <v>97</v>
      </c>
      <c r="C18" s="10" t="n">
        <f aca="false">COUNTIFS(Incidencias!$B:$B,"&gt;="&amp;$C$5,Incidencias!$B:$B,"&lt;="&amp;$C$6,Incidencias!$L:$L,"Abierta")</f>
        <v>0</v>
      </c>
      <c r="D18" s="11" t="s">
        <v>98</v>
      </c>
    </row>
    <row r="19" customFormat="false" ht="15" hidden="false" customHeight="false" outlineLevel="0" collapsed="false">
      <c r="B19" s="9" t="s">
        <v>99</v>
      </c>
      <c r="C19" s="10" t="n">
        <f aca="false">COUNTIFS(Incidencias!$B:$B,"&gt;="&amp;$C$5,Incidencias!$B:$B,"&lt;="&amp;$C$6,Incidencias!$H:$H,"Alta")</f>
        <v>0</v>
      </c>
      <c r="D19" s="11" t="s">
        <v>100</v>
      </c>
    </row>
    <row r="20" customFormat="false" ht="15" hidden="false" customHeight="false" outlineLevel="0" collapsed="false">
      <c r="B20" s="9" t="s">
        <v>101</v>
      </c>
      <c r="C20" s="10" t="n">
        <f aca="false">COUNTIFS(Revision_previa!$A:$A,"&gt;="&amp;$C$5,Revision_previa!$A:$A,"&lt;"&amp;($C$6+1))</f>
        <v>3</v>
      </c>
      <c r="D20" s="11" t="s">
        <v>102</v>
      </c>
    </row>
    <row r="21" customFormat="false" ht="15" hidden="false" customHeight="false" outlineLevel="0" collapsed="false">
      <c r="B21" s="9" t="s">
        <v>103</v>
      </c>
      <c r="C21" s="10" t="n">
        <f aca="false">COUNTIFS(Revision_previa!$A:$A,"&gt;="&amp;$C$5,Revision_previa!$A:$A,"&lt;"&amp;($C$6+1),Revision_previa!$D:$D,"Falla")+COUNTIFS(Revision_previa!$A:$A,"&gt;="&amp;$C$5,Revision_previa!$A:$A,"&lt;"&amp;($C$6+1),Revision_previa!$E:$E,"Falla")+COUNTIFS(Revision_previa!$A:$A,"&gt;="&amp;$C$5,Revision_previa!$A:$A,"&lt;"&amp;($C$6+1),Revision_previa!$F:$F,"Falla")+COUNTIFS(Revision_previa!$A:$A,"&gt;="&amp;$C$5,Revision_previa!$A:$A,"&lt;"&amp;($C$6+1),Revision_previa!$H:$H,"Encendido")</f>
        <v>1</v>
      </c>
      <c r="D21" s="11" t="s">
        <v>104</v>
      </c>
    </row>
    <row r="23" customFormat="false" ht="15" hidden="false" customHeight="false" outlineLevel="0" collapsed="false">
      <c r="B23" s="7" t="s">
        <v>105</v>
      </c>
    </row>
    <row r="24" customFormat="false" ht="15" hidden="false" customHeight="false" outlineLevel="0" collapsed="false">
      <c r="B24" s="3" t="s">
        <v>76</v>
      </c>
      <c r="C24" s="3" t="s">
        <v>77</v>
      </c>
      <c r="D24" s="3" t="s">
        <v>78</v>
      </c>
    </row>
    <row r="25" customFormat="false" ht="15" hidden="false" customHeight="false" outlineLevel="0" collapsed="false">
      <c r="B25" s="9" t="s">
        <v>106</v>
      </c>
      <c r="C25" s="10" t="n">
        <f aca="false">COUNTIF(Vehículos!$E:$E,"Disponible")</f>
        <v>2</v>
      </c>
      <c r="D25" s="11" t="s">
        <v>107</v>
      </c>
    </row>
    <row r="26" customFormat="false" ht="15" hidden="false" customHeight="false" outlineLevel="0" collapsed="false">
      <c r="B26" s="9" t="s">
        <v>108</v>
      </c>
      <c r="C26" s="10" t="n">
        <f aca="false">COUNTIF(Vehículos!$E:$E,"En uso")</f>
        <v>1</v>
      </c>
      <c r="D26" s="11" t="s">
        <v>109</v>
      </c>
    </row>
    <row r="27" customFormat="false" ht="15" hidden="false" customHeight="false" outlineLevel="0" collapsed="false">
      <c r="B27" s="9" t="s">
        <v>110</v>
      </c>
      <c r="C27" s="10" t="n">
        <f aca="false">COUNTIF(Vehículos!$E:$E,"Taller")</f>
        <v>1</v>
      </c>
      <c r="D27" s="11" t="s">
        <v>111</v>
      </c>
    </row>
    <row r="28" customFormat="false" ht="15" hidden="false" customHeight="false" outlineLevel="0" collapsed="false">
      <c r="B28" s="9" t="s">
        <v>112</v>
      </c>
      <c r="C28" s="10" t="n">
        <f aca="false">COUNTIF(Vehículos!$E:$E,"Fuera de servicio")</f>
        <v>0</v>
      </c>
      <c r="D28" s="11" t="s">
        <v>113</v>
      </c>
    </row>
    <row r="29" customFormat="false" ht="15" hidden="false" customHeight="false" outlineLevel="0" collapsed="false">
      <c r="B29" s="9" t="s">
        <v>114</v>
      </c>
      <c r="C29" s="10" t="n">
        <f aca="true">COUNTIF(Vehículos!$F:$F,"&lt;"&amp;(TODAY()+7))</f>
        <v>1</v>
      </c>
      <c r="D29" s="11" t="s">
        <v>115</v>
      </c>
    </row>
    <row r="30" customFormat="false" ht="15" hidden="false" customHeight="false" outlineLevel="0" collapsed="false">
      <c r="B30" s="9" t="s">
        <v>116</v>
      </c>
      <c r="C30" s="10" t="n">
        <f aca="true">COUNTIF(Conductores!$H:$H,"&lt;"&amp;(TODAY()+30))</f>
        <v>0</v>
      </c>
      <c r="D30" s="11" t="s">
        <v>117</v>
      </c>
    </row>
    <row r="31" customFormat="false" ht="15" hidden="false" customHeight="false" outlineLevel="0" collapsed="false">
      <c r="B31" s="9" t="s">
        <v>118</v>
      </c>
      <c r="C31" s="10" t="n">
        <f aca="false">COUNTIF(Conductores!$G:$G,"Activo")</f>
        <v>4</v>
      </c>
      <c r="D31" s="11" t="s">
        <v>119</v>
      </c>
    </row>
    <row r="33" customFormat="false" ht="15" hidden="false" customHeight="false" outlineLevel="0" collapsed="false">
      <c r="B33" s="7" t="s">
        <v>120</v>
      </c>
    </row>
    <row r="34" customFormat="false" ht="15" hidden="false" customHeight="false" outlineLevel="0" collapsed="false">
      <c r="B34" s="3" t="s">
        <v>121</v>
      </c>
      <c r="C34" s="3" t="s">
        <v>122</v>
      </c>
      <c r="D34" s="3" t="s">
        <v>78</v>
      </c>
      <c r="E34" s="3" t="s">
        <v>123</v>
      </c>
      <c r="F34" s="3" t="s">
        <v>124</v>
      </c>
    </row>
    <row r="35" customFormat="false" ht="15" hidden="false" customHeight="false" outlineLevel="0" collapsed="false">
      <c r="B35" s="9" t="str">
        <f aca="false">Listas!$O$2&amp;" - "&amp;Listas!$P$2</f>
        <v>TRA - Tráfico o cierre de vía</v>
      </c>
      <c r="C35" s="10" t="n">
        <f aca="false">COUNTIFS(Incidencias!$B:$B,"&gt;="&amp;$C$5,Incidencias!$B:$B,"&lt;="&amp;$C$6,Incidencias!$F:$F,Listas!$O$2)</f>
        <v>1</v>
      </c>
      <c r="D35" s="11" t="str">
        <f aca="false">Listas!$Q$2</f>
        <v>Vías lentas, accidente adelante, calle cerrada</v>
      </c>
      <c r="E35" s="14" t="n">
        <f aca="false">IF(SUM($C$35:$C$46)=0,"",C35/SUM($C$35:$C$46))</f>
        <v>1</v>
      </c>
      <c r="F35" s="15" t="str">
        <f aca="false">IF(E35="","",REPT("█",ROUND(E35*30,0)))</f>
        <v>██████████████████████████████</v>
      </c>
    </row>
    <row r="36" customFormat="false" ht="15" hidden="false" customHeight="false" outlineLevel="0" collapsed="false">
      <c r="B36" s="9" t="str">
        <f aca="false">Listas!$O$3&amp;" - "&amp;Listas!$P$3</f>
        <v>CLI - Clima</v>
      </c>
      <c r="C36" s="10" t="n">
        <f aca="false">COUNTIFS(Incidencias!$B:$B,"&gt;="&amp;$C$5,Incidencias!$B:$B,"&lt;="&amp;$C$6,Incidencias!$F:$F,Listas!$O$3)</f>
        <v>0</v>
      </c>
      <c r="D36" s="11" t="str">
        <f aca="false">Listas!$Q$3</f>
        <v>Lluvia, tormenta, inundación</v>
      </c>
      <c r="E36" s="14" t="n">
        <f aca="false">IF(SUM($C$35:$C$46)=0,"",C36/SUM($C$35:$C$46))</f>
        <v>0</v>
      </c>
      <c r="F36" s="15" t="str">
        <f aca="false">IF(E36="","",REPT("█",ROUND(E36*30,0)))</f>
        <v/>
      </c>
    </row>
    <row r="37" customFormat="false" ht="15" hidden="false" customHeight="false" outlineLevel="0" collapsed="false">
      <c r="B37" s="9" t="str">
        <f aca="false">Listas!$O$4&amp;" - "&amp;Listas!$P$4</f>
        <v>AVE - Avería del vehículo</v>
      </c>
      <c r="C37" s="10" t="n">
        <f aca="false">COUNTIFS(Incidencias!$B:$B,"&gt;="&amp;$C$5,Incidencias!$B:$B,"&lt;="&amp;$C$6,Incidencias!$F:$F,Listas!$O$4)</f>
        <v>0</v>
      </c>
      <c r="D37" s="11" t="str">
        <f aca="false">Listas!$Q$4</f>
        <v>Falla mecánica, goma ponchada, sin combustible</v>
      </c>
      <c r="E37" s="14" t="n">
        <f aca="false">IF(SUM($C$35:$C$46)=0,"",C37/SUM($C$35:$C$46))</f>
        <v>0</v>
      </c>
      <c r="F37" s="15" t="str">
        <f aca="false">IF(E37="","",REPT("█",ROUND(E37*30,0)))</f>
        <v/>
      </c>
    </row>
    <row r="38" customFormat="false" ht="15" hidden="false" customHeight="false" outlineLevel="0" collapsed="false">
      <c r="B38" s="9" t="str">
        <f aca="false">Listas!$O$5&amp;" - "&amp;Listas!$P$5</f>
        <v>INC - Accidente o incidente</v>
      </c>
      <c r="C38" s="10" t="n">
        <f aca="false">COUNTIFS(Incidencias!$B:$B,"&gt;="&amp;$C$5,Incidencias!$B:$B,"&lt;="&amp;$C$6,Incidencias!$F:$F,Listas!$O$5)</f>
        <v>0</v>
      </c>
      <c r="D38" s="11" t="str">
        <f aca="false">Listas!$Q$5</f>
        <v>Choque, lesión, robo, problema de seguridad</v>
      </c>
      <c r="E38" s="14" t="n">
        <f aca="false">IF(SUM($C$35:$C$46)=0,"",C38/SUM($C$35:$C$46))</f>
        <v>0</v>
      </c>
      <c r="F38" s="15" t="str">
        <f aca="false">IF(E38="","",REPT("█",ROUND(E38*30,0)))</f>
        <v/>
      </c>
    </row>
    <row r="39" customFormat="false" ht="15" hidden="false" customHeight="false" outlineLevel="0" collapsed="false">
      <c r="B39" s="9" t="str">
        <f aca="false">Listas!$O$6&amp;" - "&amp;Listas!$P$6</f>
        <v>AUS - Cliente ausente</v>
      </c>
      <c r="C39" s="10" t="n">
        <f aca="false">COUNTIFS(Incidencias!$B:$B,"&gt;="&amp;$C$5,Incidencias!$B:$B,"&lt;="&amp;$C$6,Incidencias!$F:$F,Listas!$O$6)</f>
        <v>0</v>
      </c>
      <c r="D39" s="11" t="str">
        <f aca="false">Listas!$Q$6</f>
        <v>Nadie para recibir la entrega</v>
      </c>
      <c r="E39" s="14" t="n">
        <f aca="false">IF(SUM($C$35:$C$46)=0,"",C39/SUM($C$35:$C$46))</f>
        <v>0</v>
      </c>
      <c r="F39" s="15" t="str">
        <f aca="false">IF(E39="","",REPT("█",ROUND(E39*30,0)))</f>
        <v/>
      </c>
    </row>
    <row r="40" customFormat="false" ht="15" hidden="false" customHeight="false" outlineLevel="0" collapsed="false">
      <c r="B40" s="9" t="str">
        <f aca="false">Listas!$O$7&amp;" - "&amp;Listas!$P$7</f>
        <v>DIR - Problema de dirección</v>
      </c>
      <c r="C40" s="10" t="n">
        <f aca="false">COUNTIFS(Incidencias!$B:$B,"&gt;="&amp;$C$5,Incidencias!$B:$B,"&lt;="&amp;$C$6,Incidencias!$F:$F,Listas!$O$7)</f>
        <v>0</v>
      </c>
      <c r="D40" s="11" t="str">
        <f aca="false">Listas!$Q$7</f>
        <v>Dirección errónea, incompleta o imposible de encontrar</v>
      </c>
      <c r="E40" s="14" t="n">
        <f aca="false">IF(SUM($C$35:$C$46)=0,"",C40/SUM($C$35:$C$46))</f>
        <v>0</v>
      </c>
      <c r="F40" s="15" t="str">
        <f aca="false">IF(E40="","",REPT("█",ROUND(E40*30,0)))</f>
        <v/>
      </c>
    </row>
    <row r="41" customFormat="false" ht="15" hidden="false" customHeight="false" outlineLevel="0" collapsed="false">
      <c r="B41" s="9" t="str">
        <f aca="false">Listas!$O$8&amp;" - "&amp;Listas!$P$8</f>
        <v>ACE - Acceso bloqueado</v>
      </c>
      <c r="C41" s="10" t="n">
        <f aca="false">COUNTIFS(Incidencias!$B:$B,"&gt;="&amp;$C$5,Incidencias!$B:$B,"&lt;="&amp;$C$6,Incidencias!$F:$F,Listas!$O$8)</f>
        <v>0</v>
      </c>
      <c r="D41" s="11" t="str">
        <f aca="false">Listas!$Q$8</f>
        <v>Portón, edificio o calle sin acceso</v>
      </c>
      <c r="E41" s="14" t="n">
        <f aca="false">IF(SUM($C$35:$C$46)=0,"",C41/SUM($C$35:$C$46))</f>
        <v>0</v>
      </c>
      <c r="F41" s="15" t="str">
        <f aca="false">IF(E41="","",REPT("█",ROUND(E41*30,0)))</f>
        <v/>
      </c>
    </row>
    <row r="42" customFormat="false" ht="15" hidden="false" customHeight="false" outlineLevel="0" collapsed="false">
      <c r="B42" s="9" t="str">
        <f aca="false">Listas!$O$9&amp;" - "&amp;Listas!$P$9</f>
        <v>REC - Entrega rechazada</v>
      </c>
      <c r="C42" s="10" t="n">
        <f aca="false">COUNTIFS(Incidencias!$B:$B,"&gt;="&amp;$C$5,Incidencias!$B:$B,"&lt;="&amp;$C$6,Incidencias!$F:$F,Listas!$O$9)</f>
        <v>0</v>
      </c>
      <c r="D42" s="11" t="str">
        <f aca="false">Listas!$Q$9</f>
        <v>El cliente rechaza la entrega</v>
      </c>
      <c r="E42" s="14" t="n">
        <f aca="false">IF(SUM($C$35:$C$46)=0,"",C42/SUM($C$35:$C$46))</f>
        <v>0</v>
      </c>
      <c r="F42" s="15" t="str">
        <f aca="false">IF(E42="","",REPT("█",ROUND(E42*30,0)))</f>
        <v/>
      </c>
    </row>
    <row r="43" customFormat="false" ht="15" hidden="false" customHeight="false" outlineLevel="0" collapsed="false">
      <c r="B43" s="9" t="str">
        <f aca="false">Listas!$O$10&amp;" - "&amp;Listas!$P$10</f>
        <v>PLA - Plan muy ajustado</v>
      </c>
      <c r="C43" s="10" t="n">
        <f aca="false">COUNTIFS(Incidencias!$B:$B,"&gt;="&amp;$C$5,Incidencias!$B:$B,"&lt;="&amp;$C$6,Incidencias!$F:$F,Listas!$O$10)</f>
        <v>0</v>
      </c>
      <c r="D43" s="11" t="str">
        <f aca="false">Listas!$Q$10</f>
        <v>La ruta tenía demasiadas paradas o tiempos poco realistas</v>
      </c>
      <c r="E43" s="14" t="n">
        <f aca="false">IF(SUM($C$35:$C$46)=0,"",C43/SUM($C$35:$C$46))</f>
        <v>0</v>
      </c>
      <c r="F43" s="15" t="str">
        <f aca="false">IF(E43="","",REPT("█",ROUND(E43*30,0)))</f>
        <v/>
      </c>
    </row>
    <row r="44" customFormat="false" ht="15" hidden="false" customHeight="false" outlineLevel="0" collapsed="false">
      <c r="B44" s="9" t="str">
        <f aca="false">Listas!$O$11&amp;" - "&amp;Listas!$P$11</f>
        <v>CON - Problema del conductor</v>
      </c>
      <c r="C44" s="10" t="n">
        <f aca="false">COUNTIFS(Incidencias!$B:$B,"&gt;="&amp;$C$5,Incidencias!$B:$B,"&lt;="&amp;$C$6,Incidencias!$F:$F,Listas!$O$11)</f>
        <v>0</v>
      </c>
      <c r="D44" s="11" t="str">
        <f aca="false">Listas!$Q$11</f>
        <v>Ausente, salida tardía, enfermo, perdido</v>
      </c>
      <c r="E44" s="14" t="n">
        <f aca="false">IF(SUM($C$35:$C$46)=0,"",C44/SUM($C$35:$C$46))</f>
        <v>0</v>
      </c>
      <c r="F44" s="15" t="str">
        <f aca="false">IF(E44="","",REPT("█",ROUND(E44*30,0)))</f>
        <v/>
      </c>
    </row>
    <row r="45" customFormat="false" ht="15" hidden="false" customHeight="false" outlineLevel="0" collapsed="false">
      <c r="B45" s="9" t="str">
        <f aca="false">Listas!$O$12&amp;" - "&amp;Listas!$P$12</f>
        <v>VEH - Vehículo no listo</v>
      </c>
      <c r="C45" s="10" t="n">
        <f aca="false">COUNTIFS(Incidencias!$B:$B,"&gt;="&amp;$C$5,Incidencias!$B:$B,"&lt;="&amp;$C$6,Incidencias!$F:$F,Listas!$O$12)</f>
        <v>0</v>
      </c>
      <c r="D45" s="11" t="str">
        <f aca="false">Listas!$Q$12</f>
        <v>No pasó la revisión previa, sin combustible, no disponible</v>
      </c>
      <c r="E45" s="14" t="n">
        <f aca="false">IF(SUM($C$35:$C$46)=0,"",C45/SUM($C$35:$C$46))</f>
        <v>0</v>
      </c>
      <c r="F45" s="15" t="str">
        <f aca="false">IF(E45="","",REPT("█",ROUND(E45*30,0)))</f>
        <v/>
      </c>
    </row>
    <row r="46" customFormat="false" ht="15" hidden="false" customHeight="false" outlineLevel="0" collapsed="false">
      <c r="B46" s="9" t="str">
        <f aca="false">Listas!$O$13&amp;" - "&amp;Listas!$P$13</f>
        <v>OTR - Otro</v>
      </c>
      <c r="C46" s="10" t="n">
        <f aca="false">COUNTIFS(Incidencias!$B:$B,"&gt;="&amp;$C$5,Incidencias!$B:$B,"&lt;="&amp;$C$6,Incidencias!$F:$F,Listas!$O$13)</f>
        <v>0</v>
      </c>
      <c r="D46" s="11" t="str">
        <f aca="false">Listas!$Q$13</f>
        <v>Usar pocas veces y siempre explicar en las notas</v>
      </c>
      <c r="E46" s="14" t="n">
        <f aca="false">IF(SUM($C$35:$C$46)=0,"",C46/SUM($C$35:$C$46))</f>
        <v>0</v>
      </c>
      <c r="F46" s="15" t="str">
        <f aca="false">IF(E46="","",REPT("█",ROUND(E46*30,0)))</f>
        <v/>
      </c>
    </row>
    <row r="47" customFormat="false" ht="15" hidden="false" customHeight="false" outlineLevel="0" collapsed="false">
      <c r="B47" s="7" t="s">
        <v>125</v>
      </c>
      <c r="C47" s="7" t="n">
        <f aca="false">SUM(C35:C46)</f>
        <v>1</v>
      </c>
    </row>
    <row r="70" customFormat="false" ht="15" hidden="false" customHeight="false" outlineLevel="0" collapsed="false">
      <c r="B70" s="7" t="s">
        <v>126</v>
      </c>
    </row>
    <row r="71" customFormat="false" ht="15" hidden="false" customHeight="false" outlineLevel="0" collapsed="false">
      <c r="B71" s="16" t="s">
        <v>127</v>
      </c>
    </row>
    <row r="72" customFormat="false" ht="15" hidden="false" customHeight="false" outlineLevel="0" collapsed="false">
      <c r="B72" s="16" t="s">
        <v>128</v>
      </c>
    </row>
    <row r="73" customFormat="false" ht="15" hidden="false" customHeight="false" outlineLevel="0" collapsed="false">
      <c r="B73" s="16" t="s">
        <v>129</v>
      </c>
    </row>
    <row r="74" customFormat="false" ht="15" hidden="false" customHeight="false" outlineLevel="0" collapsed="false">
      <c r="B74" s="16" t="s">
        <v>130</v>
      </c>
    </row>
    <row r="75" customFormat="false" ht="15" hidden="false" customHeight="false" outlineLevel="0" collapsed="false">
      <c r="B75" s="1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3" min="11" style="0" width="14"/>
    <col collapsed="false" customWidth="true" hidden="false" outlineLevel="0" max="14" min="14" style="0" width="36"/>
    <col collapsed="false" customWidth="true" hidden="false" outlineLevel="0" max="15" min="15" style="0" width="24"/>
    <col collapsed="false" customWidth="true" hidden="false" outlineLevel="0" max="16" min="16" style="0" width="18"/>
  </cols>
  <sheetData>
    <row r="1" customFormat="false" ht="31.5" hidden="false" customHeight="true" outlineLevel="0" collapsed="false">
      <c r="A1" s="17" t="s">
        <v>132</v>
      </c>
      <c r="B1" s="17" t="s">
        <v>133</v>
      </c>
      <c r="C1" s="17" t="s">
        <v>134</v>
      </c>
      <c r="D1" s="17" t="s">
        <v>135</v>
      </c>
      <c r="E1" s="18" t="s">
        <v>136</v>
      </c>
      <c r="F1" s="18" t="s">
        <v>137</v>
      </c>
      <c r="G1" s="18" t="s">
        <v>138</v>
      </c>
      <c r="H1" s="17" t="s">
        <v>139</v>
      </c>
      <c r="I1" s="17" t="s">
        <v>140</v>
      </c>
      <c r="J1" s="18" t="s">
        <v>141</v>
      </c>
      <c r="K1" s="17" t="s">
        <v>142</v>
      </c>
      <c r="L1" s="17" t="s">
        <v>143</v>
      </c>
      <c r="M1" s="17" t="s">
        <v>144</v>
      </c>
      <c r="N1" s="17" t="s">
        <v>145</v>
      </c>
      <c r="O1" s="18" t="s">
        <v>146</v>
      </c>
      <c r="P1" s="18" t="s">
        <v>147</v>
      </c>
    </row>
    <row r="2" customFormat="false" ht="15" hidden="false" customHeight="false" outlineLevel="0" collapsed="false">
      <c r="A2" s="19" t="n">
        <v>46304</v>
      </c>
      <c r="B2" s="20" t="s">
        <v>148</v>
      </c>
      <c r="C2" s="20" t="s">
        <v>149</v>
      </c>
      <c r="D2" s="20" t="s">
        <v>150</v>
      </c>
      <c r="E2" s="20" t="str">
        <f aca="false">IF(C2="","",IFERROR(INDEX(Conductores!$B:$B,MATCH(C2,Conductores!$A:$A,0)),"ID no encontrado"))</f>
        <v>Juan Martínez</v>
      </c>
      <c r="F2" s="20" t="str">
        <f aca="false">IF(B2="","",IFERROR(INDEX(Rutas!$B:$B,MATCH(B2,Rutas!$A:$A,0)),"ID no encontrado"))</f>
        <v>Distrito Nacional</v>
      </c>
      <c r="G2" s="20" t="str">
        <f aca="false">IF(OR(B2="",C2="",D2=""),"",IF(OR(ISNA(MATCH(B2,Rutas!$A:$A,0)),ISNA(MATCH(C2,Conductores!$A:$A,0)),ISNA(MATCH(D2,Vehículos!$A:$A,0))),"REVISAR: ID no encontrado",IF(INDEX(Rutas!$C:$C,MATCH(B2,Rutas!$A:$A,0))&lt;&gt;INDEX(Vehículos!$B:$B,MATCH(D2,Vehículos!$A:$A,0)),"REVISAR: el vehículo no corresponde a la ruta",IF(INDEX(Rutas!$C:$C,MATCH(B2,Rutas!$A:$A,0))&lt;&gt;INDEX(Conductores!$D:$D,MATCH(C2,Conductores!$A:$A,0)),"REVISAR: el conductor no corresponde a la ruta",IF(OR(INDEX(Vehículos!$E:$E,MATCH(D2,Vehículos!$A:$A,0))="Taller",INDEX(Vehículos!$E:$E,MATCH(D2,Vehículos!$A:$A,0))="Fuera de servicio"),"REVISAR: vehículo no disponible",IF(INDEX(Conductores!$G:$G,MATCH(C2,Conductores!$A:$A,0))&lt;&gt;"Activo","REVISAR: conductor no activo",IF(COUNTIFS($A:$A,A2,$C:$C,C2)&gt;1,"REVISAR: conductor asignado dos veces",IF(COUNTIFS($A:$A,A2,$D:$D,D2)&gt;1,"REVISAR: vehículo asignado dos veces","OK"))))))))</f>
        <v>OK</v>
      </c>
      <c r="H2" s="20" t="n">
        <v>24</v>
      </c>
      <c r="I2" s="20" t="n">
        <v>10</v>
      </c>
      <c r="J2" s="21" t="n">
        <f aca="false">IF(OR(H2="",H2=0),"",I2/H2)</f>
        <v>0.416666666666667</v>
      </c>
      <c r="K2" s="20" t="s">
        <v>151</v>
      </c>
      <c r="L2" s="20"/>
      <c r="M2" s="22" t="n">
        <v>0.4375</v>
      </c>
      <c r="N2" s="20"/>
      <c r="O2" s="20" t="str">
        <f aca="false">IF(AND(OR(K2="En riesgo",K2="Atrasada"),L2=""),"Falta código de motivo",IF(AND(L2="OTR",N2=""),"Explica OTR en las notas",IF(AND(K2="Finalizada",I2&lt;H2,L2=""),"Falta código de motivo","")))</f>
        <v/>
      </c>
      <c r="P2" s="20" t="str">
        <f aca="false">IF(OR(D2="",A2=""),"",IF(COUNTIFS(Revision_previa!$B:$B,D2,Revision_previa!$A:$A,"&gt;="&amp;A2,Revision_previa!$A:$A,"&lt;"&amp;(A2+1))=0,"Sin revisión",IF(COUNTIFS(Revision_previa!$B:$B,D2,Revision_previa!$A:$A,"&gt;="&amp;A2,Revision_previa!$A:$A,"&lt;"&amp;(A2+1),Revision_previa!$D:$D,"Falla")+COUNTIFS(Revision_previa!$B:$B,D2,Revision_previa!$A:$A,"&gt;="&amp;A2,Revision_previa!$A:$A,"&lt;"&amp;(A2+1),Revision_previa!$E:$E,"Falla")+COUNTIFS(Revision_previa!$B:$B,D2,Revision_previa!$A:$A,"&gt;="&amp;A2,Revision_previa!$A:$A,"&lt;"&amp;(A2+1),Revision_previa!$F:$F,"Falla")+COUNTIFS(Revision_previa!$B:$B,D2,Revision_previa!$A:$A,"&gt;="&amp;A2,Revision_previa!$A:$A,"&lt;"&amp;(A2+1),Revision_previa!$H:$H,"Encendido")&gt;0,"No apto","Apto")))</f>
        <v>Apto</v>
      </c>
    </row>
    <row r="3" customFormat="false" ht="15" hidden="false" customHeight="false" outlineLevel="0" collapsed="false">
      <c r="A3" s="19" t="n">
        <v>46304</v>
      </c>
      <c r="B3" s="20" t="s">
        <v>152</v>
      </c>
      <c r="C3" s="20" t="s">
        <v>153</v>
      </c>
      <c r="D3" s="20" t="s">
        <v>154</v>
      </c>
      <c r="E3" s="20" t="str">
        <f aca="false">IF(C3="","",IFERROR(INDEX(Conductores!$B:$B,MATCH(C3,Conductores!$A:$A,0)),"ID no encontrado"))</f>
        <v>Luis Almonte</v>
      </c>
      <c r="F3" s="20" t="str">
        <f aca="false">IF(B3="","",IFERROR(INDEX(Rutas!$B:$B,MATCH(B3,Rutas!$A:$A,0)),"ID no encontrado"))</f>
        <v>Zona Colonial</v>
      </c>
      <c r="G3" s="20" t="str">
        <f aca="false">IF(OR(B3="",C3="",D3=""),"",IF(OR(ISNA(MATCH(B3,Rutas!$A:$A,0)),ISNA(MATCH(C3,Conductores!$A:$A,0)),ISNA(MATCH(D3,Vehículos!$A:$A,0))),"REVISAR: ID no encontrado",IF(INDEX(Rutas!$C:$C,MATCH(B3,Rutas!$A:$A,0))&lt;&gt;INDEX(Vehículos!$B:$B,MATCH(D3,Vehículos!$A:$A,0)),"REVISAR: el vehículo no corresponde a la ruta",IF(INDEX(Rutas!$C:$C,MATCH(B3,Rutas!$A:$A,0))&lt;&gt;INDEX(Conductores!$D:$D,MATCH(C3,Conductores!$A:$A,0)),"REVISAR: el conductor no corresponde a la ruta",IF(OR(INDEX(Vehículos!$E:$E,MATCH(D3,Vehículos!$A:$A,0))="Taller",INDEX(Vehículos!$E:$E,MATCH(D3,Vehículos!$A:$A,0))="Fuera de servicio"),"REVISAR: vehículo no disponible",IF(INDEX(Conductores!$G:$G,MATCH(C3,Conductores!$A:$A,0))&lt;&gt;"Activo","REVISAR: conductor no activo",IF(COUNTIFS($A:$A,A3,$C:$C,C3)&gt;1,"REVISAR: conductor asignado dos veces",IF(COUNTIFS($A:$A,A3,$D:$D,D3)&gt;1,"REVISAR: vehículo asignado dos veces","OK"))))))))</f>
        <v>REVISAR: vehículo no disponible</v>
      </c>
      <c r="H3" s="20" t="n">
        <v>22</v>
      </c>
      <c r="I3" s="20" t="n">
        <v>0</v>
      </c>
      <c r="J3" s="21" t="n">
        <f aca="false">IF(OR(H3="",H3=0),"",I3/H3)</f>
        <v>0</v>
      </c>
      <c r="K3" s="20" t="s">
        <v>155</v>
      </c>
      <c r="L3" s="20"/>
      <c r="M3" s="22"/>
      <c r="N3" s="20" t="s">
        <v>156</v>
      </c>
      <c r="O3" s="20" t="str">
        <f aca="false">IF(AND(OR(K3="En riesgo",K3="Atrasada"),L3=""),"Falta código de motivo",IF(AND(L3="OTR",N3=""),"Explica OTR en las notas",IF(AND(K3="Finalizada",I3&lt;H3,L3=""),"Falta código de motivo","")))</f>
        <v/>
      </c>
      <c r="P3" s="20" t="str">
        <f aca="false">IF(OR(D3="",A3=""),"",IF(COUNTIFS(Revision_previa!$B:$B,D3,Revision_previa!$A:$A,"&gt;="&amp;A3,Revision_previa!$A:$A,"&lt;"&amp;(A3+1))=0,"Sin revisión",IF(COUNTIFS(Revision_previa!$B:$B,D3,Revision_previa!$A:$A,"&gt;="&amp;A3,Revision_previa!$A:$A,"&lt;"&amp;(A3+1),Revision_previa!$D:$D,"Falla")+COUNTIFS(Revision_previa!$B:$B,D3,Revision_previa!$A:$A,"&gt;="&amp;A3,Revision_previa!$A:$A,"&lt;"&amp;(A3+1),Revision_previa!$E:$E,"Falla")+COUNTIFS(Revision_previa!$B:$B,D3,Revision_previa!$A:$A,"&gt;="&amp;A3,Revision_previa!$A:$A,"&lt;"&amp;(A3+1),Revision_previa!$F:$F,"Falla")+COUNTIFS(Revision_previa!$B:$B,D3,Revision_previa!$A:$A,"&gt;="&amp;A3,Revision_previa!$A:$A,"&lt;"&amp;(A3+1),Revision_previa!$H:$H,"Encendido")&gt;0,"No apto","Apto")))</f>
        <v>Sin revisión</v>
      </c>
    </row>
    <row r="4" customFormat="false" ht="15" hidden="false" customHeight="false" outlineLevel="0" collapsed="false">
      <c r="A4" s="19" t="n">
        <v>46304</v>
      </c>
      <c r="B4" s="20" t="s">
        <v>157</v>
      </c>
      <c r="C4" s="20" t="s">
        <v>158</v>
      </c>
      <c r="D4" s="20" t="s">
        <v>159</v>
      </c>
      <c r="E4" s="20" t="str">
        <f aca="false">IF(C4="","",IFERROR(INDEX(Conductores!$B:$B,MATCH(C4,Conductores!$A:$A,0)),"ID no encontrado"))</f>
        <v>Yeison Tavárez</v>
      </c>
      <c r="F4" s="20" t="str">
        <f aca="false">IF(B4="","",IFERROR(INDEX(Rutas!$B:$B,MATCH(B4,Rutas!$A:$A,0)),"ID no encontrado"))</f>
        <v>Santiago</v>
      </c>
      <c r="G4" s="20" t="str">
        <f aca="false">IF(OR(B4="",C4="",D4=""),"",IF(OR(ISNA(MATCH(B4,Rutas!$A:$A,0)),ISNA(MATCH(C4,Conductores!$A:$A,0)),ISNA(MATCH(D4,Vehículos!$A:$A,0))),"REVISAR: ID no encontrado",IF(INDEX(Rutas!$C:$C,MATCH(B4,Rutas!$A:$A,0))&lt;&gt;INDEX(Vehículos!$B:$B,MATCH(D4,Vehículos!$A:$A,0)),"REVISAR: el vehículo no corresponde a la ruta",IF(INDEX(Rutas!$C:$C,MATCH(B4,Rutas!$A:$A,0))&lt;&gt;INDEX(Conductores!$D:$D,MATCH(C4,Conductores!$A:$A,0)),"REVISAR: el conductor no corresponde a la ruta",IF(OR(INDEX(Vehículos!$E:$E,MATCH(D4,Vehículos!$A:$A,0))="Taller",INDEX(Vehículos!$E:$E,MATCH(D4,Vehículos!$A:$A,0))="Fuera de servicio"),"REVISAR: vehículo no disponible",IF(INDEX(Conductores!$G:$G,MATCH(C4,Conductores!$A:$A,0))&lt;&gt;"Activo","REVISAR: conductor no activo",IF(COUNTIFS($A:$A,A4,$C:$C,C4)&gt;1,"REVISAR: conductor asignado dos veces",IF(COUNTIFS($A:$A,A4,$D:$D,D4)&gt;1,"REVISAR: vehículo asignado dos veces","OK"))))))))</f>
        <v>OK</v>
      </c>
      <c r="H4" s="20" t="n">
        <v>8</v>
      </c>
      <c r="I4" s="20" t="n">
        <v>3</v>
      </c>
      <c r="J4" s="21" t="n">
        <f aca="false">IF(OR(H4="",H4=0),"",I4/H4)</f>
        <v>0.375</v>
      </c>
      <c r="K4" s="20" t="s">
        <v>160</v>
      </c>
      <c r="L4" s="20" t="s">
        <v>161</v>
      </c>
      <c r="M4" s="22" t="n">
        <v>0.486111111111111</v>
      </c>
      <c r="N4" s="20" t="s">
        <v>162</v>
      </c>
      <c r="O4" s="20" t="str">
        <f aca="false">IF(AND(OR(K4="En riesgo",K4="Atrasada"),L4=""),"Falta código de motivo",IF(AND(L4="OTR",N4=""),"Explica OTR en las notas",IF(AND(K4="Finalizada",I4&lt;H4,L4=""),"Falta código de motivo","")))</f>
        <v/>
      </c>
      <c r="P4" s="20" t="str">
        <f aca="false">IF(OR(D4="",A4=""),"",IF(COUNTIFS(Revision_previa!$B:$B,D4,Revision_previa!$A:$A,"&gt;="&amp;A4,Revision_previa!$A:$A,"&lt;"&amp;(A4+1))=0,"Sin revisión",IF(COUNTIFS(Revision_previa!$B:$B,D4,Revision_previa!$A:$A,"&gt;="&amp;A4,Revision_previa!$A:$A,"&lt;"&amp;(A4+1),Revision_previa!$D:$D,"Falla")+COUNTIFS(Revision_previa!$B:$B,D4,Revision_previa!$A:$A,"&gt;="&amp;A4,Revision_previa!$A:$A,"&lt;"&amp;(A4+1),Revision_previa!$E:$E,"Falla")+COUNTIFS(Revision_previa!$B:$B,D4,Revision_previa!$A:$A,"&gt;="&amp;A4,Revision_previa!$A:$A,"&lt;"&amp;(A4+1),Revision_previa!$F:$F,"Falla")+COUNTIFS(Revision_previa!$B:$B,D4,Revision_previa!$A:$A,"&gt;="&amp;A4,Revision_previa!$A:$A,"&lt;"&amp;(A4+1),Revision_previa!$H:$H,"Encendido")&gt;0,"No apto","Apto")))</f>
        <v>Apto</v>
      </c>
    </row>
    <row r="5" customFormat="false" ht="15" hidden="false" customHeight="false" outlineLevel="0" collapsed="false">
      <c r="A5" s="19" t="n">
        <v>46304</v>
      </c>
      <c r="B5" s="20" t="s">
        <v>163</v>
      </c>
      <c r="C5" s="20" t="s">
        <v>164</v>
      </c>
      <c r="D5" s="20" t="s">
        <v>165</v>
      </c>
      <c r="E5" s="20" t="str">
        <f aca="false">IF(C5="","",IFERROR(INDEX(Conductores!$B:$B,MATCH(C5,Conductores!$A:$A,0)),"ID no encontrado"))</f>
        <v>Mercedes Rodríguez</v>
      </c>
      <c r="F5" s="20" t="str">
        <f aca="false">IF(B5="","",IFERROR(INDEX(Rutas!$B:$B,MATCH(B5,Rutas!$A:$A,0)),"ID no encontrado"))</f>
        <v>San Cristóbal</v>
      </c>
      <c r="G5" s="20" t="str">
        <f aca="false">IF(OR(B5="",C5="",D5=""),"",IF(OR(ISNA(MATCH(B5,Rutas!$A:$A,0)),ISNA(MATCH(C5,Conductores!$A:$A,0)),ISNA(MATCH(D5,Vehículos!$A:$A,0))),"REVISAR: ID no encontrado",IF(INDEX(Rutas!$C:$C,MATCH(B5,Rutas!$A:$A,0))&lt;&gt;INDEX(Vehículos!$B:$B,MATCH(D5,Vehículos!$A:$A,0)),"REVISAR: el vehículo no corresponde a la ruta",IF(INDEX(Rutas!$C:$C,MATCH(B5,Rutas!$A:$A,0))&lt;&gt;INDEX(Conductores!$D:$D,MATCH(C5,Conductores!$A:$A,0)),"REVISAR: el conductor no corresponde a la ruta",IF(OR(INDEX(Vehículos!$E:$E,MATCH(D5,Vehículos!$A:$A,0))="Taller",INDEX(Vehículos!$E:$E,MATCH(D5,Vehículos!$A:$A,0))="Fuera de servicio"),"REVISAR: vehículo no disponible",IF(INDEX(Conductores!$G:$G,MATCH(C5,Conductores!$A:$A,0))&lt;&gt;"Activo","REVISAR: conductor no activo",IF(COUNTIFS($A:$A,A5,$C:$C,C5)&gt;1,"REVISAR: conductor asignado dos veces",IF(COUNTIFS($A:$A,A5,$D:$D,D5)&gt;1,"REVISAR: vehículo asignado dos veces","OK"))))))))</f>
        <v>OK</v>
      </c>
      <c r="H5" s="20" t="n">
        <v>18</v>
      </c>
      <c r="I5" s="20" t="n">
        <v>9</v>
      </c>
      <c r="J5" s="21" t="n">
        <f aca="false">IF(OR(H5="",H5=0),"",I5/H5)</f>
        <v>0.5</v>
      </c>
      <c r="K5" s="20" t="s">
        <v>166</v>
      </c>
      <c r="L5" s="20"/>
      <c r="M5" s="22" t="n">
        <v>0.46875</v>
      </c>
      <c r="N5" s="20" t="s">
        <v>167</v>
      </c>
      <c r="O5" s="20" t="str">
        <f aca="false">IF(AND(OR(K5="En riesgo",K5="Atrasada"),L5=""),"Falta código de motivo",IF(AND(L5="OTR",N5=""),"Explica OTR en las notas",IF(AND(K5="Finalizada",I5&lt;H5,L5=""),"Falta código de motivo","")))</f>
        <v>Falta código de motivo</v>
      </c>
      <c r="P5" s="20" t="str">
        <f aca="false">IF(OR(D5="",A5=""),"",IF(COUNTIFS(Revision_previa!$B:$B,D5,Revision_previa!$A:$A,"&gt;="&amp;A5,Revision_previa!$A:$A,"&lt;"&amp;(A5+1))=0,"Sin revisión",IF(COUNTIFS(Revision_previa!$B:$B,D5,Revision_previa!$A:$A,"&gt;="&amp;A5,Revision_previa!$A:$A,"&lt;"&amp;(A5+1),Revision_previa!$D:$D,"Falla")+COUNTIFS(Revision_previa!$B:$B,D5,Revision_previa!$A:$A,"&gt;="&amp;A5,Revision_previa!$A:$A,"&lt;"&amp;(A5+1),Revision_previa!$E:$E,"Falla")+COUNTIFS(Revision_previa!$B:$B,D5,Revision_previa!$A:$A,"&gt;="&amp;A5,Revision_previa!$A:$A,"&lt;"&amp;(A5+1),Revision_previa!$F:$F,"Falla")+COUNTIFS(Revision_previa!$B:$B,D5,Revision_previa!$A:$A,"&gt;="&amp;A5,Revision_previa!$A:$A,"&lt;"&amp;(A5+1),Revision_previa!$H:$H,"Encendido")&gt;0,"No apto","Apto")))</f>
        <v>No apto</v>
      </c>
    </row>
    <row r="6" customFormat="false" ht="15" hidden="false" customHeight="false" outlineLevel="0" collapsed="false">
      <c r="A6" s="23"/>
      <c r="B6" s="9"/>
      <c r="C6" s="9"/>
      <c r="D6" s="9"/>
      <c r="E6" s="9" t="str">
        <f aca="false">IF(C6="","",IFERROR(INDEX(Conductores!$B:$B,MATCH(C6,Conductores!$A:$A,0)),"ID no encontrado"))</f>
        <v/>
      </c>
      <c r="F6" s="9" t="str">
        <f aca="false">IF(B6="","",IFERROR(INDEX(Rutas!$B:$B,MATCH(B6,Rutas!$A:$A,0)),"ID no encontrado"))</f>
        <v/>
      </c>
      <c r="G6" s="9" t="str">
        <f aca="false">IF(OR(B6="",C6="",D6=""),"",IF(OR(ISNA(MATCH(B6,Rutas!$A:$A,0)),ISNA(MATCH(C6,Conductores!$A:$A,0)),ISNA(MATCH(D6,Vehículos!$A:$A,0))),"REVISAR: ID no encontrado",IF(INDEX(Rutas!$C:$C,MATCH(B6,Rutas!$A:$A,0))&lt;&gt;INDEX(Vehículos!$B:$B,MATCH(D6,Vehículos!$A:$A,0)),"REVISAR: el vehículo no corresponde a la ruta",IF(INDEX(Rutas!$C:$C,MATCH(B6,Rutas!$A:$A,0))&lt;&gt;INDEX(Conductores!$D:$D,MATCH(C6,Conductores!$A:$A,0)),"REVISAR: el conductor no corresponde a la ruta",IF(OR(INDEX(Vehículos!$E:$E,MATCH(D6,Vehículos!$A:$A,0))="Taller",INDEX(Vehículos!$E:$E,MATCH(D6,Vehículos!$A:$A,0))="Fuera de servicio"),"REVISAR: vehículo no disponible",IF(INDEX(Conductores!$G:$G,MATCH(C6,Conductores!$A:$A,0))&lt;&gt;"Activo","REVISAR: conductor no activo",IF(COUNTIFS($A:$A,A6,$C:$C,C6)&gt;1,"REVISAR: conductor asignado dos veces",IF(COUNTIFS($A:$A,A6,$D:$D,D6)&gt;1,"REVISAR: vehículo asignado dos veces","OK"))))))))</f>
        <v/>
      </c>
      <c r="H6" s="9"/>
      <c r="I6" s="9"/>
      <c r="J6" s="14" t="str">
        <f aca="false">IF(OR(H6="",H6=0),"",I6/H6)</f>
        <v/>
      </c>
      <c r="K6" s="9"/>
      <c r="L6" s="9"/>
      <c r="M6" s="24"/>
      <c r="N6" s="9"/>
      <c r="O6" s="9" t="str">
        <f aca="false">IF(AND(OR(K6="En riesgo",K6="Atrasada"),L6=""),"Falta código de motivo",IF(AND(L6="OTR",N6=""),"Explica OTR en las notas",IF(AND(K6="Finalizada",I6&lt;H6,L6=""),"Falta código de motivo","")))</f>
        <v/>
      </c>
      <c r="P6" s="9" t="str">
        <f aca="false">IF(OR(D6="",A6=""),"",IF(COUNTIFS(Revision_previa!$B:$B,D6,Revision_previa!$A:$A,"&gt;="&amp;A6,Revision_previa!$A:$A,"&lt;"&amp;(A6+1))=0,"Sin revisión",IF(COUNTIFS(Revision_previa!$B:$B,D6,Revision_previa!$A:$A,"&gt;="&amp;A6,Revision_previa!$A:$A,"&lt;"&amp;(A6+1),Revision_previa!$D:$D,"Falla")+COUNTIFS(Revision_previa!$B:$B,D6,Revision_previa!$A:$A,"&gt;="&amp;A6,Revision_previa!$A:$A,"&lt;"&amp;(A6+1),Revision_previa!$E:$E,"Falla")+COUNTIFS(Revision_previa!$B:$B,D6,Revision_previa!$A:$A,"&gt;="&amp;A6,Revision_previa!$A:$A,"&lt;"&amp;(A6+1),Revision_previa!$F:$F,"Falla")+COUNTIFS(Revision_previa!$B:$B,D6,Revision_previa!$A:$A,"&gt;="&amp;A6,Revision_previa!$A:$A,"&lt;"&amp;(A6+1),Revision_previa!$H:$H,"Encendido")&gt;0,"No apto","Apto")))</f>
        <v/>
      </c>
    </row>
    <row r="7" customFormat="false" ht="15" hidden="false" customHeight="false" outlineLevel="0" collapsed="false">
      <c r="A7" s="23"/>
      <c r="B7" s="9"/>
      <c r="C7" s="9"/>
      <c r="D7" s="9"/>
      <c r="E7" s="9" t="str">
        <f aca="false">IF(C7="","",IFERROR(INDEX(Conductores!$B:$B,MATCH(C7,Conductores!$A:$A,0)),"ID no encontrado"))</f>
        <v/>
      </c>
      <c r="F7" s="9" t="str">
        <f aca="false">IF(B7="","",IFERROR(INDEX(Rutas!$B:$B,MATCH(B7,Rutas!$A:$A,0)),"ID no encontrado"))</f>
        <v/>
      </c>
      <c r="G7" s="9" t="str">
        <f aca="false">IF(OR(B7="",C7="",D7=""),"",IF(OR(ISNA(MATCH(B7,Rutas!$A:$A,0)),ISNA(MATCH(C7,Conductores!$A:$A,0)),ISNA(MATCH(D7,Vehículos!$A:$A,0))),"REVISAR: ID no encontrado",IF(INDEX(Rutas!$C:$C,MATCH(B7,Rutas!$A:$A,0))&lt;&gt;INDEX(Vehículos!$B:$B,MATCH(D7,Vehículos!$A:$A,0)),"REVISAR: el vehículo no corresponde a la ruta",IF(INDEX(Rutas!$C:$C,MATCH(B7,Rutas!$A:$A,0))&lt;&gt;INDEX(Conductores!$D:$D,MATCH(C7,Conductores!$A:$A,0)),"REVISAR: el conductor no corresponde a la ruta",IF(OR(INDEX(Vehículos!$E:$E,MATCH(D7,Vehículos!$A:$A,0))="Taller",INDEX(Vehículos!$E:$E,MATCH(D7,Vehículos!$A:$A,0))="Fuera de servicio"),"REVISAR: vehículo no disponible",IF(INDEX(Conductores!$G:$G,MATCH(C7,Conductores!$A:$A,0))&lt;&gt;"Activo","REVISAR: conductor no activo",IF(COUNTIFS($A:$A,A7,$C:$C,C7)&gt;1,"REVISAR: conductor asignado dos veces",IF(COUNTIFS($A:$A,A7,$D:$D,D7)&gt;1,"REVISAR: vehículo asignado dos veces","OK"))))))))</f>
        <v/>
      </c>
      <c r="H7" s="9"/>
      <c r="I7" s="9"/>
      <c r="J7" s="14" t="str">
        <f aca="false">IF(OR(H7="",H7=0),"",I7/H7)</f>
        <v/>
      </c>
      <c r="K7" s="9"/>
      <c r="L7" s="9"/>
      <c r="M7" s="24"/>
      <c r="N7" s="9"/>
      <c r="O7" s="9" t="str">
        <f aca="false">IF(AND(OR(K7="En riesgo",K7="Atrasada"),L7=""),"Falta código de motivo",IF(AND(L7="OTR",N7=""),"Explica OTR en las notas",IF(AND(K7="Finalizada",I7&lt;H7,L7=""),"Falta código de motivo","")))</f>
        <v/>
      </c>
      <c r="P7" s="9" t="str">
        <f aca="false">IF(OR(D7="",A7=""),"",IF(COUNTIFS(Revision_previa!$B:$B,D7,Revision_previa!$A:$A,"&gt;="&amp;A7,Revision_previa!$A:$A,"&lt;"&amp;(A7+1))=0,"Sin revisión",IF(COUNTIFS(Revision_previa!$B:$B,D7,Revision_previa!$A:$A,"&gt;="&amp;A7,Revision_previa!$A:$A,"&lt;"&amp;(A7+1),Revision_previa!$D:$D,"Falla")+COUNTIFS(Revision_previa!$B:$B,D7,Revision_previa!$A:$A,"&gt;="&amp;A7,Revision_previa!$A:$A,"&lt;"&amp;(A7+1),Revision_previa!$E:$E,"Falla")+COUNTIFS(Revision_previa!$B:$B,D7,Revision_previa!$A:$A,"&gt;="&amp;A7,Revision_previa!$A:$A,"&lt;"&amp;(A7+1),Revision_previa!$F:$F,"Falla")+COUNTIFS(Revision_previa!$B:$B,D7,Revision_previa!$A:$A,"&gt;="&amp;A7,Revision_previa!$A:$A,"&lt;"&amp;(A7+1),Revision_previa!$H:$H,"Encendido")&gt;0,"No apto","Apto")))</f>
        <v/>
      </c>
    </row>
    <row r="8" customFormat="false" ht="15" hidden="false" customHeight="false" outlineLevel="0" collapsed="false">
      <c r="A8" s="23"/>
      <c r="B8" s="9"/>
      <c r="C8" s="9"/>
      <c r="D8" s="9"/>
      <c r="E8" s="9" t="str">
        <f aca="false">IF(C8="","",IFERROR(INDEX(Conductores!$B:$B,MATCH(C8,Conductores!$A:$A,0)),"ID no encontrado"))</f>
        <v/>
      </c>
      <c r="F8" s="9" t="str">
        <f aca="false">IF(B8="","",IFERROR(INDEX(Rutas!$B:$B,MATCH(B8,Rutas!$A:$A,0)),"ID no encontrado"))</f>
        <v/>
      </c>
      <c r="G8" s="9" t="str">
        <f aca="false">IF(OR(B8="",C8="",D8=""),"",IF(OR(ISNA(MATCH(B8,Rutas!$A:$A,0)),ISNA(MATCH(C8,Conductores!$A:$A,0)),ISNA(MATCH(D8,Vehículos!$A:$A,0))),"REVISAR: ID no encontrado",IF(INDEX(Rutas!$C:$C,MATCH(B8,Rutas!$A:$A,0))&lt;&gt;INDEX(Vehículos!$B:$B,MATCH(D8,Vehículos!$A:$A,0)),"REVISAR: el vehículo no corresponde a la ruta",IF(INDEX(Rutas!$C:$C,MATCH(B8,Rutas!$A:$A,0))&lt;&gt;INDEX(Conductores!$D:$D,MATCH(C8,Conductores!$A:$A,0)),"REVISAR: el conductor no corresponde a la ruta",IF(OR(INDEX(Vehículos!$E:$E,MATCH(D8,Vehículos!$A:$A,0))="Taller",INDEX(Vehículos!$E:$E,MATCH(D8,Vehículos!$A:$A,0))="Fuera de servicio"),"REVISAR: vehículo no disponible",IF(INDEX(Conductores!$G:$G,MATCH(C8,Conductores!$A:$A,0))&lt;&gt;"Activo","REVISAR: conductor no activo",IF(COUNTIFS($A:$A,A8,$C:$C,C8)&gt;1,"REVISAR: conductor asignado dos veces",IF(COUNTIFS($A:$A,A8,$D:$D,D8)&gt;1,"REVISAR: vehículo asignado dos veces","OK"))))))))</f>
        <v/>
      </c>
      <c r="H8" s="9"/>
      <c r="I8" s="9"/>
      <c r="J8" s="14" t="str">
        <f aca="false">IF(OR(H8="",H8=0),"",I8/H8)</f>
        <v/>
      </c>
      <c r="K8" s="9"/>
      <c r="L8" s="9"/>
      <c r="M8" s="24"/>
      <c r="N8" s="9"/>
      <c r="O8" s="9" t="str">
        <f aca="false">IF(AND(OR(K8="En riesgo",K8="Atrasada"),L8=""),"Falta código de motivo",IF(AND(L8="OTR",N8=""),"Explica OTR en las notas",IF(AND(K8="Finalizada",I8&lt;H8,L8=""),"Falta código de motivo","")))</f>
        <v/>
      </c>
      <c r="P8" s="9" t="str">
        <f aca="false">IF(OR(D8="",A8=""),"",IF(COUNTIFS(Revision_previa!$B:$B,D8,Revision_previa!$A:$A,"&gt;="&amp;A8,Revision_previa!$A:$A,"&lt;"&amp;(A8+1))=0,"Sin revisión",IF(COUNTIFS(Revision_previa!$B:$B,D8,Revision_previa!$A:$A,"&gt;="&amp;A8,Revision_previa!$A:$A,"&lt;"&amp;(A8+1),Revision_previa!$D:$D,"Falla")+COUNTIFS(Revision_previa!$B:$B,D8,Revision_previa!$A:$A,"&gt;="&amp;A8,Revision_previa!$A:$A,"&lt;"&amp;(A8+1),Revision_previa!$E:$E,"Falla")+COUNTIFS(Revision_previa!$B:$B,D8,Revision_previa!$A:$A,"&gt;="&amp;A8,Revision_previa!$A:$A,"&lt;"&amp;(A8+1),Revision_previa!$F:$F,"Falla")+COUNTIFS(Revision_previa!$B:$B,D8,Revision_previa!$A:$A,"&gt;="&amp;A8,Revision_previa!$A:$A,"&lt;"&amp;(A8+1),Revision_previa!$H:$H,"Encendido")&gt;0,"No apto","Apto")))</f>
        <v/>
      </c>
    </row>
    <row r="9" customFormat="false" ht="15" hidden="false" customHeight="false" outlineLevel="0" collapsed="false">
      <c r="A9" s="23"/>
      <c r="B9" s="9"/>
      <c r="C9" s="9"/>
      <c r="D9" s="9"/>
      <c r="E9" s="9" t="str">
        <f aca="false">IF(C9="","",IFERROR(INDEX(Conductores!$B:$B,MATCH(C9,Conductores!$A:$A,0)),"ID no encontrado"))</f>
        <v/>
      </c>
      <c r="F9" s="9" t="str">
        <f aca="false">IF(B9="","",IFERROR(INDEX(Rutas!$B:$B,MATCH(B9,Rutas!$A:$A,0)),"ID no encontrado"))</f>
        <v/>
      </c>
      <c r="G9" s="9" t="str">
        <f aca="false">IF(OR(B9="",C9="",D9=""),"",IF(OR(ISNA(MATCH(B9,Rutas!$A:$A,0)),ISNA(MATCH(C9,Conductores!$A:$A,0)),ISNA(MATCH(D9,Vehículos!$A:$A,0))),"REVISAR: ID no encontrado",IF(INDEX(Rutas!$C:$C,MATCH(B9,Rutas!$A:$A,0))&lt;&gt;INDEX(Vehículos!$B:$B,MATCH(D9,Vehículos!$A:$A,0)),"REVISAR: el vehículo no corresponde a la ruta",IF(INDEX(Rutas!$C:$C,MATCH(B9,Rutas!$A:$A,0))&lt;&gt;INDEX(Conductores!$D:$D,MATCH(C9,Conductores!$A:$A,0)),"REVISAR: el conductor no corresponde a la ruta",IF(OR(INDEX(Vehículos!$E:$E,MATCH(D9,Vehículos!$A:$A,0))="Taller",INDEX(Vehículos!$E:$E,MATCH(D9,Vehículos!$A:$A,0))="Fuera de servicio"),"REVISAR: vehículo no disponible",IF(INDEX(Conductores!$G:$G,MATCH(C9,Conductores!$A:$A,0))&lt;&gt;"Activo","REVISAR: conductor no activo",IF(COUNTIFS($A:$A,A9,$C:$C,C9)&gt;1,"REVISAR: conductor asignado dos veces",IF(COUNTIFS($A:$A,A9,$D:$D,D9)&gt;1,"REVISAR: vehículo asignado dos veces","OK"))))))))</f>
        <v/>
      </c>
      <c r="H9" s="9"/>
      <c r="I9" s="9"/>
      <c r="J9" s="14" t="str">
        <f aca="false">IF(OR(H9="",H9=0),"",I9/H9)</f>
        <v/>
      </c>
      <c r="K9" s="9"/>
      <c r="L9" s="9"/>
      <c r="M9" s="24"/>
      <c r="N9" s="9"/>
      <c r="O9" s="9" t="str">
        <f aca="false">IF(AND(OR(K9="En riesgo",K9="Atrasada"),L9=""),"Falta código de motivo",IF(AND(L9="OTR",N9=""),"Explica OTR en las notas",IF(AND(K9="Finalizada",I9&lt;H9,L9=""),"Falta código de motivo","")))</f>
        <v/>
      </c>
      <c r="P9" s="9" t="str">
        <f aca="false">IF(OR(D9="",A9=""),"",IF(COUNTIFS(Revision_previa!$B:$B,D9,Revision_previa!$A:$A,"&gt;="&amp;A9,Revision_previa!$A:$A,"&lt;"&amp;(A9+1))=0,"Sin revisión",IF(COUNTIFS(Revision_previa!$B:$B,D9,Revision_previa!$A:$A,"&gt;="&amp;A9,Revision_previa!$A:$A,"&lt;"&amp;(A9+1),Revision_previa!$D:$D,"Falla")+COUNTIFS(Revision_previa!$B:$B,D9,Revision_previa!$A:$A,"&gt;="&amp;A9,Revision_previa!$A:$A,"&lt;"&amp;(A9+1),Revision_previa!$E:$E,"Falla")+COUNTIFS(Revision_previa!$B:$B,D9,Revision_previa!$A:$A,"&gt;="&amp;A9,Revision_previa!$A:$A,"&lt;"&amp;(A9+1),Revision_previa!$F:$F,"Falla")+COUNTIFS(Revision_previa!$B:$B,D9,Revision_previa!$A:$A,"&gt;="&amp;A9,Revision_previa!$A:$A,"&lt;"&amp;(A9+1),Revision_previa!$H:$H,"Encendido")&gt;0,"No apto","Apto")))</f>
        <v/>
      </c>
    </row>
    <row r="10" customFormat="false" ht="15" hidden="false" customHeight="false" outlineLevel="0" collapsed="false">
      <c r="A10" s="23"/>
      <c r="B10" s="9"/>
      <c r="C10" s="9"/>
      <c r="D10" s="9"/>
      <c r="E10" s="9" t="str">
        <f aca="false">IF(C10="","",IFERROR(INDEX(Conductores!$B:$B,MATCH(C10,Conductores!$A:$A,0)),"ID no encontrado"))</f>
        <v/>
      </c>
      <c r="F10" s="9" t="str">
        <f aca="false">IF(B10="","",IFERROR(INDEX(Rutas!$B:$B,MATCH(B10,Rutas!$A:$A,0)),"ID no encontrado"))</f>
        <v/>
      </c>
      <c r="G10" s="9" t="str">
        <f aca="false">IF(OR(B10="",C10="",D10=""),"",IF(OR(ISNA(MATCH(B10,Rutas!$A:$A,0)),ISNA(MATCH(C10,Conductores!$A:$A,0)),ISNA(MATCH(D10,Vehículos!$A:$A,0))),"REVISAR: ID no encontrado",IF(INDEX(Rutas!$C:$C,MATCH(B10,Rutas!$A:$A,0))&lt;&gt;INDEX(Vehículos!$B:$B,MATCH(D10,Vehículos!$A:$A,0)),"REVISAR: el vehículo no corresponde a la ruta",IF(INDEX(Rutas!$C:$C,MATCH(B10,Rutas!$A:$A,0))&lt;&gt;INDEX(Conductores!$D:$D,MATCH(C10,Conductores!$A:$A,0)),"REVISAR: el conductor no corresponde a la ruta",IF(OR(INDEX(Vehículos!$E:$E,MATCH(D10,Vehículos!$A:$A,0))="Taller",INDEX(Vehículos!$E:$E,MATCH(D10,Vehículos!$A:$A,0))="Fuera de servicio"),"REVISAR: vehículo no disponible",IF(INDEX(Conductores!$G:$G,MATCH(C10,Conductores!$A:$A,0))&lt;&gt;"Activo","REVISAR: conductor no activo",IF(COUNTIFS($A:$A,A10,$C:$C,C10)&gt;1,"REVISAR: conductor asignado dos veces",IF(COUNTIFS($A:$A,A10,$D:$D,D10)&gt;1,"REVISAR: vehículo asignado dos veces","OK"))))))))</f>
        <v/>
      </c>
      <c r="H10" s="9"/>
      <c r="I10" s="9"/>
      <c r="J10" s="14" t="str">
        <f aca="false">IF(OR(H10="",H10=0),"",I10/H10)</f>
        <v/>
      </c>
      <c r="K10" s="9"/>
      <c r="L10" s="9"/>
      <c r="M10" s="24"/>
      <c r="N10" s="9"/>
      <c r="O10" s="9" t="str">
        <f aca="false">IF(AND(OR(K10="En riesgo",K10="Atrasada"),L10=""),"Falta código de motivo",IF(AND(L10="OTR",N10=""),"Explica OTR en las notas",IF(AND(K10="Finalizada",I10&lt;H10,L10=""),"Falta código de motivo","")))</f>
        <v/>
      </c>
      <c r="P10" s="9" t="str">
        <f aca="false">IF(OR(D10="",A10=""),"",IF(COUNTIFS(Revision_previa!$B:$B,D10,Revision_previa!$A:$A,"&gt;="&amp;A10,Revision_previa!$A:$A,"&lt;"&amp;(A10+1))=0,"Sin revisión",IF(COUNTIFS(Revision_previa!$B:$B,D10,Revision_previa!$A:$A,"&gt;="&amp;A10,Revision_previa!$A:$A,"&lt;"&amp;(A10+1),Revision_previa!$D:$D,"Falla")+COUNTIFS(Revision_previa!$B:$B,D10,Revision_previa!$A:$A,"&gt;="&amp;A10,Revision_previa!$A:$A,"&lt;"&amp;(A10+1),Revision_previa!$E:$E,"Falla")+COUNTIFS(Revision_previa!$B:$B,D10,Revision_previa!$A:$A,"&gt;="&amp;A10,Revision_previa!$A:$A,"&lt;"&amp;(A10+1),Revision_previa!$F:$F,"Falla")+COUNTIFS(Revision_previa!$B:$B,D10,Revision_previa!$A:$A,"&gt;="&amp;A10,Revision_previa!$A:$A,"&lt;"&amp;(A10+1),Revision_previa!$H:$H,"Encendido")&gt;0,"No apto","Apto")))</f>
        <v/>
      </c>
    </row>
    <row r="11" customFormat="false" ht="15" hidden="false" customHeight="false" outlineLevel="0" collapsed="false">
      <c r="A11" s="23"/>
      <c r="B11" s="9"/>
      <c r="C11" s="9"/>
      <c r="D11" s="9"/>
      <c r="E11" s="9" t="str">
        <f aca="false">IF(C11="","",IFERROR(INDEX(Conductores!$B:$B,MATCH(C11,Conductores!$A:$A,0)),"ID no encontrado"))</f>
        <v/>
      </c>
      <c r="F11" s="9" t="str">
        <f aca="false">IF(B11="","",IFERROR(INDEX(Rutas!$B:$B,MATCH(B11,Rutas!$A:$A,0)),"ID no encontrado"))</f>
        <v/>
      </c>
      <c r="G11" s="9" t="str">
        <f aca="false">IF(OR(B11="",C11="",D11=""),"",IF(OR(ISNA(MATCH(B11,Rutas!$A:$A,0)),ISNA(MATCH(C11,Conductores!$A:$A,0)),ISNA(MATCH(D11,Vehículos!$A:$A,0))),"REVISAR: ID no encontrado",IF(INDEX(Rutas!$C:$C,MATCH(B11,Rutas!$A:$A,0))&lt;&gt;INDEX(Vehículos!$B:$B,MATCH(D11,Vehículos!$A:$A,0)),"REVISAR: el vehículo no corresponde a la ruta",IF(INDEX(Rutas!$C:$C,MATCH(B11,Rutas!$A:$A,0))&lt;&gt;INDEX(Conductores!$D:$D,MATCH(C11,Conductores!$A:$A,0)),"REVISAR: el conductor no corresponde a la ruta",IF(OR(INDEX(Vehículos!$E:$E,MATCH(D11,Vehículos!$A:$A,0))="Taller",INDEX(Vehículos!$E:$E,MATCH(D11,Vehículos!$A:$A,0))="Fuera de servicio"),"REVISAR: vehículo no disponible",IF(INDEX(Conductores!$G:$G,MATCH(C11,Conductores!$A:$A,0))&lt;&gt;"Activo","REVISAR: conductor no activo",IF(COUNTIFS($A:$A,A11,$C:$C,C11)&gt;1,"REVISAR: conductor asignado dos veces",IF(COUNTIFS($A:$A,A11,$D:$D,D11)&gt;1,"REVISAR: vehículo asignado dos veces","OK"))))))))</f>
        <v/>
      </c>
      <c r="H11" s="9"/>
      <c r="I11" s="9"/>
      <c r="J11" s="14" t="str">
        <f aca="false">IF(OR(H11="",H11=0),"",I11/H11)</f>
        <v/>
      </c>
      <c r="K11" s="9"/>
      <c r="L11" s="9"/>
      <c r="M11" s="24"/>
      <c r="N11" s="9"/>
      <c r="O11" s="9" t="str">
        <f aca="false">IF(AND(OR(K11="En riesgo",K11="Atrasada"),L11=""),"Falta código de motivo",IF(AND(L11="OTR",N11=""),"Explica OTR en las notas",IF(AND(K11="Finalizada",I11&lt;H11,L11=""),"Falta código de motivo","")))</f>
        <v/>
      </c>
      <c r="P11" s="9" t="str">
        <f aca="false">IF(OR(D11="",A11=""),"",IF(COUNTIFS(Revision_previa!$B:$B,D11,Revision_previa!$A:$A,"&gt;="&amp;A11,Revision_previa!$A:$A,"&lt;"&amp;(A11+1))=0,"Sin revisión",IF(COUNTIFS(Revision_previa!$B:$B,D11,Revision_previa!$A:$A,"&gt;="&amp;A11,Revision_previa!$A:$A,"&lt;"&amp;(A11+1),Revision_previa!$D:$D,"Falla")+COUNTIFS(Revision_previa!$B:$B,D11,Revision_previa!$A:$A,"&gt;="&amp;A11,Revision_previa!$A:$A,"&lt;"&amp;(A11+1),Revision_previa!$E:$E,"Falla")+COUNTIFS(Revision_previa!$B:$B,D11,Revision_previa!$A:$A,"&gt;="&amp;A11,Revision_previa!$A:$A,"&lt;"&amp;(A11+1),Revision_previa!$F:$F,"Falla")+COUNTIFS(Revision_previa!$B:$B,D11,Revision_previa!$A:$A,"&gt;="&amp;A11,Revision_previa!$A:$A,"&lt;"&amp;(A11+1),Revision_previa!$H:$H,"Encendido")&gt;0,"No apto","Apto")))</f>
        <v/>
      </c>
    </row>
    <row r="12" customFormat="false" ht="15" hidden="false" customHeight="false" outlineLevel="0" collapsed="false">
      <c r="A12" s="23"/>
      <c r="B12" s="9"/>
      <c r="C12" s="9"/>
      <c r="D12" s="9"/>
      <c r="E12" s="9" t="str">
        <f aca="false">IF(C12="","",IFERROR(INDEX(Conductores!$B:$B,MATCH(C12,Conductores!$A:$A,0)),"ID no encontrado"))</f>
        <v/>
      </c>
      <c r="F12" s="9" t="str">
        <f aca="false">IF(B12="","",IFERROR(INDEX(Rutas!$B:$B,MATCH(B12,Rutas!$A:$A,0)),"ID no encontrado"))</f>
        <v/>
      </c>
      <c r="G12" s="9" t="str">
        <f aca="false">IF(OR(B12="",C12="",D12=""),"",IF(OR(ISNA(MATCH(B12,Rutas!$A:$A,0)),ISNA(MATCH(C12,Conductores!$A:$A,0)),ISNA(MATCH(D12,Vehículos!$A:$A,0))),"REVISAR: ID no encontrado",IF(INDEX(Rutas!$C:$C,MATCH(B12,Rutas!$A:$A,0))&lt;&gt;INDEX(Vehículos!$B:$B,MATCH(D12,Vehículos!$A:$A,0)),"REVISAR: el vehículo no corresponde a la ruta",IF(INDEX(Rutas!$C:$C,MATCH(B12,Rutas!$A:$A,0))&lt;&gt;INDEX(Conductores!$D:$D,MATCH(C12,Conductores!$A:$A,0)),"REVISAR: el conductor no corresponde a la ruta",IF(OR(INDEX(Vehículos!$E:$E,MATCH(D12,Vehículos!$A:$A,0))="Taller",INDEX(Vehículos!$E:$E,MATCH(D12,Vehículos!$A:$A,0))="Fuera de servicio"),"REVISAR: vehículo no disponible",IF(INDEX(Conductores!$G:$G,MATCH(C12,Conductores!$A:$A,0))&lt;&gt;"Activo","REVISAR: conductor no activo",IF(COUNTIFS($A:$A,A12,$C:$C,C12)&gt;1,"REVISAR: conductor asignado dos veces",IF(COUNTIFS($A:$A,A12,$D:$D,D12)&gt;1,"REVISAR: vehículo asignado dos veces","OK"))))))))</f>
        <v/>
      </c>
      <c r="H12" s="9"/>
      <c r="I12" s="9"/>
      <c r="J12" s="14" t="str">
        <f aca="false">IF(OR(H12="",H12=0),"",I12/H12)</f>
        <v/>
      </c>
      <c r="K12" s="9"/>
      <c r="L12" s="9"/>
      <c r="M12" s="24"/>
      <c r="N12" s="9"/>
      <c r="O12" s="9" t="str">
        <f aca="false">IF(AND(OR(K12="En riesgo",K12="Atrasada"),L12=""),"Falta código de motivo",IF(AND(L12="OTR",N12=""),"Explica OTR en las notas",IF(AND(K12="Finalizada",I12&lt;H12,L12=""),"Falta código de motivo","")))</f>
        <v/>
      </c>
      <c r="P12" s="9" t="str">
        <f aca="false">IF(OR(D12="",A12=""),"",IF(COUNTIFS(Revision_previa!$B:$B,D12,Revision_previa!$A:$A,"&gt;="&amp;A12,Revision_previa!$A:$A,"&lt;"&amp;(A12+1))=0,"Sin revisión",IF(COUNTIFS(Revision_previa!$B:$B,D12,Revision_previa!$A:$A,"&gt;="&amp;A12,Revision_previa!$A:$A,"&lt;"&amp;(A12+1),Revision_previa!$D:$D,"Falla")+COUNTIFS(Revision_previa!$B:$B,D12,Revision_previa!$A:$A,"&gt;="&amp;A12,Revision_previa!$A:$A,"&lt;"&amp;(A12+1),Revision_previa!$E:$E,"Falla")+COUNTIFS(Revision_previa!$B:$B,D12,Revision_previa!$A:$A,"&gt;="&amp;A12,Revision_previa!$A:$A,"&lt;"&amp;(A12+1),Revision_previa!$F:$F,"Falla")+COUNTIFS(Revision_previa!$B:$B,D12,Revision_previa!$A:$A,"&gt;="&amp;A12,Revision_previa!$A:$A,"&lt;"&amp;(A12+1),Revision_previa!$H:$H,"Encendido")&gt;0,"No apto","Apto")))</f>
        <v/>
      </c>
    </row>
    <row r="13" customFormat="false" ht="15" hidden="false" customHeight="false" outlineLevel="0" collapsed="false">
      <c r="A13" s="23"/>
      <c r="B13" s="9"/>
      <c r="C13" s="9"/>
      <c r="D13" s="9"/>
      <c r="E13" s="9" t="str">
        <f aca="false">IF(C13="","",IFERROR(INDEX(Conductores!$B:$B,MATCH(C13,Conductores!$A:$A,0)),"ID no encontrado"))</f>
        <v/>
      </c>
      <c r="F13" s="9" t="str">
        <f aca="false">IF(B13="","",IFERROR(INDEX(Rutas!$B:$B,MATCH(B13,Rutas!$A:$A,0)),"ID no encontrado"))</f>
        <v/>
      </c>
      <c r="G13" s="9" t="str">
        <f aca="false">IF(OR(B13="",C13="",D13=""),"",IF(OR(ISNA(MATCH(B13,Rutas!$A:$A,0)),ISNA(MATCH(C13,Conductores!$A:$A,0)),ISNA(MATCH(D13,Vehículos!$A:$A,0))),"REVISAR: ID no encontrado",IF(INDEX(Rutas!$C:$C,MATCH(B13,Rutas!$A:$A,0))&lt;&gt;INDEX(Vehículos!$B:$B,MATCH(D13,Vehículos!$A:$A,0)),"REVISAR: el vehículo no corresponde a la ruta",IF(INDEX(Rutas!$C:$C,MATCH(B13,Rutas!$A:$A,0))&lt;&gt;INDEX(Conductores!$D:$D,MATCH(C13,Conductores!$A:$A,0)),"REVISAR: el conductor no corresponde a la ruta",IF(OR(INDEX(Vehículos!$E:$E,MATCH(D13,Vehículos!$A:$A,0))="Taller",INDEX(Vehículos!$E:$E,MATCH(D13,Vehículos!$A:$A,0))="Fuera de servicio"),"REVISAR: vehículo no disponible",IF(INDEX(Conductores!$G:$G,MATCH(C13,Conductores!$A:$A,0))&lt;&gt;"Activo","REVISAR: conductor no activo",IF(COUNTIFS($A:$A,A13,$C:$C,C13)&gt;1,"REVISAR: conductor asignado dos veces",IF(COUNTIFS($A:$A,A13,$D:$D,D13)&gt;1,"REVISAR: vehículo asignado dos veces","OK"))))))))</f>
        <v/>
      </c>
      <c r="H13" s="9"/>
      <c r="I13" s="9"/>
      <c r="J13" s="14" t="str">
        <f aca="false">IF(OR(H13="",H13=0),"",I13/H13)</f>
        <v/>
      </c>
      <c r="K13" s="9"/>
      <c r="L13" s="9"/>
      <c r="M13" s="24"/>
      <c r="N13" s="9"/>
      <c r="O13" s="9" t="str">
        <f aca="false">IF(AND(OR(K13="En riesgo",K13="Atrasada"),L13=""),"Falta código de motivo",IF(AND(L13="OTR",N13=""),"Explica OTR en las notas",IF(AND(K13="Finalizada",I13&lt;H13,L13=""),"Falta código de motivo","")))</f>
        <v/>
      </c>
      <c r="P13" s="9" t="str">
        <f aca="false">IF(OR(D13="",A13=""),"",IF(COUNTIFS(Revision_previa!$B:$B,D13,Revision_previa!$A:$A,"&gt;="&amp;A13,Revision_previa!$A:$A,"&lt;"&amp;(A13+1))=0,"Sin revisión",IF(COUNTIFS(Revision_previa!$B:$B,D13,Revision_previa!$A:$A,"&gt;="&amp;A13,Revision_previa!$A:$A,"&lt;"&amp;(A13+1),Revision_previa!$D:$D,"Falla")+COUNTIFS(Revision_previa!$B:$B,D13,Revision_previa!$A:$A,"&gt;="&amp;A13,Revision_previa!$A:$A,"&lt;"&amp;(A13+1),Revision_previa!$E:$E,"Falla")+COUNTIFS(Revision_previa!$B:$B,D13,Revision_previa!$A:$A,"&gt;="&amp;A13,Revision_previa!$A:$A,"&lt;"&amp;(A13+1),Revision_previa!$F:$F,"Falla")+COUNTIFS(Revision_previa!$B:$B,D13,Revision_previa!$A:$A,"&gt;="&amp;A13,Revision_previa!$A:$A,"&lt;"&amp;(A13+1),Revision_previa!$H:$H,"Encendido")&gt;0,"No apto","Apto")))</f>
        <v/>
      </c>
    </row>
    <row r="14" customFormat="false" ht="15" hidden="false" customHeight="false" outlineLevel="0" collapsed="false">
      <c r="A14" s="23"/>
      <c r="B14" s="9"/>
      <c r="C14" s="9"/>
      <c r="D14" s="9"/>
      <c r="E14" s="9" t="str">
        <f aca="false">IF(C14="","",IFERROR(INDEX(Conductores!$B:$B,MATCH(C14,Conductores!$A:$A,0)),"ID no encontrado"))</f>
        <v/>
      </c>
      <c r="F14" s="9" t="str">
        <f aca="false">IF(B14="","",IFERROR(INDEX(Rutas!$B:$B,MATCH(B14,Rutas!$A:$A,0)),"ID no encontrado"))</f>
        <v/>
      </c>
      <c r="G14" s="9" t="str">
        <f aca="false">IF(OR(B14="",C14="",D14=""),"",IF(OR(ISNA(MATCH(B14,Rutas!$A:$A,0)),ISNA(MATCH(C14,Conductores!$A:$A,0)),ISNA(MATCH(D14,Vehículos!$A:$A,0))),"REVISAR: ID no encontrado",IF(INDEX(Rutas!$C:$C,MATCH(B14,Rutas!$A:$A,0))&lt;&gt;INDEX(Vehículos!$B:$B,MATCH(D14,Vehículos!$A:$A,0)),"REVISAR: el vehículo no corresponde a la ruta",IF(INDEX(Rutas!$C:$C,MATCH(B14,Rutas!$A:$A,0))&lt;&gt;INDEX(Conductores!$D:$D,MATCH(C14,Conductores!$A:$A,0)),"REVISAR: el conductor no corresponde a la ruta",IF(OR(INDEX(Vehículos!$E:$E,MATCH(D14,Vehículos!$A:$A,0))="Taller",INDEX(Vehículos!$E:$E,MATCH(D14,Vehículos!$A:$A,0))="Fuera de servicio"),"REVISAR: vehículo no disponible",IF(INDEX(Conductores!$G:$G,MATCH(C14,Conductores!$A:$A,0))&lt;&gt;"Activo","REVISAR: conductor no activo",IF(COUNTIFS($A:$A,A14,$C:$C,C14)&gt;1,"REVISAR: conductor asignado dos veces",IF(COUNTIFS($A:$A,A14,$D:$D,D14)&gt;1,"REVISAR: vehículo asignado dos veces","OK"))))))))</f>
        <v/>
      </c>
      <c r="H14" s="9"/>
      <c r="I14" s="9"/>
      <c r="J14" s="14" t="str">
        <f aca="false">IF(OR(H14="",H14=0),"",I14/H14)</f>
        <v/>
      </c>
      <c r="K14" s="9"/>
      <c r="L14" s="9"/>
      <c r="M14" s="24"/>
      <c r="N14" s="9"/>
      <c r="O14" s="9" t="str">
        <f aca="false">IF(AND(OR(K14="En riesgo",K14="Atrasada"),L14=""),"Falta código de motivo",IF(AND(L14="OTR",N14=""),"Explica OTR en las notas",IF(AND(K14="Finalizada",I14&lt;H14,L14=""),"Falta código de motivo","")))</f>
        <v/>
      </c>
      <c r="P14" s="9" t="str">
        <f aca="false">IF(OR(D14="",A14=""),"",IF(COUNTIFS(Revision_previa!$B:$B,D14,Revision_previa!$A:$A,"&gt;="&amp;A14,Revision_previa!$A:$A,"&lt;"&amp;(A14+1))=0,"Sin revisión",IF(COUNTIFS(Revision_previa!$B:$B,D14,Revision_previa!$A:$A,"&gt;="&amp;A14,Revision_previa!$A:$A,"&lt;"&amp;(A14+1),Revision_previa!$D:$D,"Falla")+COUNTIFS(Revision_previa!$B:$B,D14,Revision_previa!$A:$A,"&gt;="&amp;A14,Revision_previa!$A:$A,"&lt;"&amp;(A14+1),Revision_previa!$E:$E,"Falla")+COUNTIFS(Revision_previa!$B:$B,D14,Revision_previa!$A:$A,"&gt;="&amp;A14,Revision_previa!$A:$A,"&lt;"&amp;(A14+1),Revision_previa!$F:$F,"Falla")+COUNTIFS(Revision_previa!$B:$B,D14,Revision_previa!$A:$A,"&gt;="&amp;A14,Revision_previa!$A:$A,"&lt;"&amp;(A14+1),Revision_previa!$H:$H,"Encendido")&gt;0,"No apto","Apto")))</f>
        <v/>
      </c>
    </row>
    <row r="15" customFormat="false" ht="15" hidden="false" customHeight="false" outlineLevel="0" collapsed="false">
      <c r="A15" s="23"/>
      <c r="B15" s="9"/>
      <c r="C15" s="9"/>
      <c r="D15" s="9"/>
      <c r="E15" s="9" t="str">
        <f aca="false">IF(C15="","",IFERROR(INDEX(Conductores!$B:$B,MATCH(C15,Conductores!$A:$A,0)),"ID no encontrado"))</f>
        <v/>
      </c>
      <c r="F15" s="9" t="str">
        <f aca="false">IF(B15="","",IFERROR(INDEX(Rutas!$B:$B,MATCH(B15,Rutas!$A:$A,0)),"ID no encontrado"))</f>
        <v/>
      </c>
      <c r="G15" s="9" t="str">
        <f aca="false">IF(OR(B15="",C15="",D15=""),"",IF(OR(ISNA(MATCH(B15,Rutas!$A:$A,0)),ISNA(MATCH(C15,Conductores!$A:$A,0)),ISNA(MATCH(D15,Vehículos!$A:$A,0))),"REVISAR: ID no encontrado",IF(INDEX(Rutas!$C:$C,MATCH(B15,Rutas!$A:$A,0))&lt;&gt;INDEX(Vehículos!$B:$B,MATCH(D15,Vehículos!$A:$A,0)),"REVISAR: el vehículo no corresponde a la ruta",IF(INDEX(Rutas!$C:$C,MATCH(B15,Rutas!$A:$A,0))&lt;&gt;INDEX(Conductores!$D:$D,MATCH(C15,Conductores!$A:$A,0)),"REVISAR: el conductor no corresponde a la ruta",IF(OR(INDEX(Vehículos!$E:$E,MATCH(D15,Vehículos!$A:$A,0))="Taller",INDEX(Vehículos!$E:$E,MATCH(D15,Vehículos!$A:$A,0))="Fuera de servicio"),"REVISAR: vehículo no disponible",IF(INDEX(Conductores!$G:$G,MATCH(C15,Conductores!$A:$A,0))&lt;&gt;"Activo","REVISAR: conductor no activo",IF(COUNTIFS($A:$A,A15,$C:$C,C15)&gt;1,"REVISAR: conductor asignado dos veces",IF(COUNTIFS($A:$A,A15,$D:$D,D15)&gt;1,"REVISAR: vehículo asignado dos veces","OK"))))))))</f>
        <v/>
      </c>
      <c r="H15" s="9"/>
      <c r="I15" s="9"/>
      <c r="J15" s="14" t="str">
        <f aca="false">IF(OR(H15="",H15=0),"",I15/H15)</f>
        <v/>
      </c>
      <c r="K15" s="9"/>
      <c r="L15" s="9"/>
      <c r="M15" s="24"/>
      <c r="N15" s="9"/>
      <c r="O15" s="9" t="str">
        <f aca="false">IF(AND(OR(K15="En riesgo",K15="Atrasada"),L15=""),"Falta código de motivo",IF(AND(L15="OTR",N15=""),"Explica OTR en las notas",IF(AND(K15="Finalizada",I15&lt;H15,L15=""),"Falta código de motivo","")))</f>
        <v/>
      </c>
      <c r="P15" s="9" t="str">
        <f aca="false">IF(OR(D15="",A15=""),"",IF(COUNTIFS(Revision_previa!$B:$B,D15,Revision_previa!$A:$A,"&gt;="&amp;A15,Revision_previa!$A:$A,"&lt;"&amp;(A15+1))=0,"Sin revisión",IF(COUNTIFS(Revision_previa!$B:$B,D15,Revision_previa!$A:$A,"&gt;="&amp;A15,Revision_previa!$A:$A,"&lt;"&amp;(A15+1),Revision_previa!$D:$D,"Falla")+COUNTIFS(Revision_previa!$B:$B,D15,Revision_previa!$A:$A,"&gt;="&amp;A15,Revision_previa!$A:$A,"&lt;"&amp;(A15+1),Revision_previa!$E:$E,"Falla")+COUNTIFS(Revision_previa!$B:$B,D15,Revision_previa!$A:$A,"&gt;="&amp;A15,Revision_previa!$A:$A,"&lt;"&amp;(A15+1),Revision_previa!$F:$F,"Falla")+COUNTIFS(Revision_previa!$B:$B,D15,Revision_previa!$A:$A,"&gt;="&amp;A15,Revision_previa!$A:$A,"&lt;"&amp;(A15+1),Revision_previa!$H:$H,"Encendido")&gt;0,"No apto","Apto")))</f>
        <v/>
      </c>
    </row>
    <row r="16" customFormat="false" ht="15" hidden="false" customHeight="false" outlineLevel="0" collapsed="false">
      <c r="A16" s="23"/>
      <c r="B16" s="9"/>
      <c r="C16" s="9"/>
      <c r="D16" s="9"/>
      <c r="E16" s="9" t="str">
        <f aca="false">IF(C16="","",IFERROR(INDEX(Conductores!$B:$B,MATCH(C16,Conductores!$A:$A,0)),"ID no encontrado"))</f>
        <v/>
      </c>
      <c r="F16" s="9" t="str">
        <f aca="false">IF(B16="","",IFERROR(INDEX(Rutas!$B:$B,MATCH(B16,Rutas!$A:$A,0)),"ID no encontrado"))</f>
        <v/>
      </c>
      <c r="G16" s="9" t="str">
        <f aca="false">IF(OR(B16="",C16="",D16=""),"",IF(OR(ISNA(MATCH(B16,Rutas!$A:$A,0)),ISNA(MATCH(C16,Conductores!$A:$A,0)),ISNA(MATCH(D16,Vehículos!$A:$A,0))),"REVISAR: ID no encontrado",IF(INDEX(Rutas!$C:$C,MATCH(B16,Rutas!$A:$A,0))&lt;&gt;INDEX(Vehículos!$B:$B,MATCH(D16,Vehículos!$A:$A,0)),"REVISAR: el vehículo no corresponde a la ruta",IF(INDEX(Rutas!$C:$C,MATCH(B16,Rutas!$A:$A,0))&lt;&gt;INDEX(Conductores!$D:$D,MATCH(C16,Conductores!$A:$A,0)),"REVISAR: el conductor no corresponde a la ruta",IF(OR(INDEX(Vehículos!$E:$E,MATCH(D16,Vehículos!$A:$A,0))="Taller",INDEX(Vehículos!$E:$E,MATCH(D16,Vehículos!$A:$A,0))="Fuera de servicio"),"REVISAR: vehículo no disponible",IF(INDEX(Conductores!$G:$G,MATCH(C16,Conductores!$A:$A,0))&lt;&gt;"Activo","REVISAR: conductor no activo",IF(COUNTIFS($A:$A,A16,$C:$C,C16)&gt;1,"REVISAR: conductor asignado dos veces",IF(COUNTIFS($A:$A,A16,$D:$D,D16)&gt;1,"REVISAR: vehículo asignado dos veces","OK"))))))))</f>
        <v/>
      </c>
      <c r="H16" s="9"/>
      <c r="I16" s="9"/>
      <c r="J16" s="14" t="str">
        <f aca="false">IF(OR(H16="",H16=0),"",I16/H16)</f>
        <v/>
      </c>
      <c r="K16" s="9"/>
      <c r="L16" s="9"/>
      <c r="M16" s="24"/>
      <c r="N16" s="9"/>
      <c r="O16" s="9" t="str">
        <f aca="false">IF(AND(OR(K16="En riesgo",K16="Atrasada"),L16=""),"Falta código de motivo",IF(AND(L16="OTR",N16=""),"Explica OTR en las notas",IF(AND(K16="Finalizada",I16&lt;H16,L16=""),"Falta código de motivo","")))</f>
        <v/>
      </c>
      <c r="P16" s="9" t="str">
        <f aca="false">IF(OR(D16="",A16=""),"",IF(COUNTIFS(Revision_previa!$B:$B,D16,Revision_previa!$A:$A,"&gt;="&amp;A16,Revision_previa!$A:$A,"&lt;"&amp;(A16+1))=0,"Sin revisión",IF(COUNTIFS(Revision_previa!$B:$B,D16,Revision_previa!$A:$A,"&gt;="&amp;A16,Revision_previa!$A:$A,"&lt;"&amp;(A16+1),Revision_previa!$D:$D,"Falla")+COUNTIFS(Revision_previa!$B:$B,D16,Revision_previa!$A:$A,"&gt;="&amp;A16,Revision_previa!$A:$A,"&lt;"&amp;(A16+1),Revision_previa!$E:$E,"Falla")+COUNTIFS(Revision_previa!$B:$B,D16,Revision_previa!$A:$A,"&gt;="&amp;A16,Revision_previa!$A:$A,"&lt;"&amp;(A16+1),Revision_previa!$F:$F,"Falla")+COUNTIFS(Revision_previa!$B:$B,D16,Revision_previa!$A:$A,"&gt;="&amp;A16,Revision_previa!$A:$A,"&lt;"&amp;(A16+1),Revision_previa!$H:$H,"Encendido")&gt;0,"No apto","Apto")))</f>
        <v/>
      </c>
    </row>
    <row r="17" customFormat="false" ht="15" hidden="false" customHeight="false" outlineLevel="0" collapsed="false">
      <c r="A17" s="23"/>
      <c r="B17" s="9"/>
      <c r="C17" s="9"/>
      <c r="D17" s="9"/>
      <c r="E17" s="9" t="str">
        <f aca="false">IF(C17="","",IFERROR(INDEX(Conductores!$B:$B,MATCH(C17,Conductores!$A:$A,0)),"ID no encontrado"))</f>
        <v/>
      </c>
      <c r="F17" s="9" t="str">
        <f aca="false">IF(B17="","",IFERROR(INDEX(Rutas!$B:$B,MATCH(B17,Rutas!$A:$A,0)),"ID no encontrado"))</f>
        <v/>
      </c>
      <c r="G17" s="9" t="str">
        <f aca="false">IF(OR(B17="",C17="",D17=""),"",IF(OR(ISNA(MATCH(B17,Rutas!$A:$A,0)),ISNA(MATCH(C17,Conductores!$A:$A,0)),ISNA(MATCH(D17,Vehículos!$A:$A,0))),"REVISAR: ID no encontrado",IF(INDEX(Rutas!$C:$C,MATCH(B17,Rutas!$A:$A,0))&lt;&gt;INDEX(Vehículos!$B:$B,MATCH(D17,Vehículos!$A:$A,0)),"REVISAR: el vehículo no corresponde a la ruta",IF(INDEX(Rutas!$C:$C,MATCH(B17,Rutas!$A:$A,0))&lt;&gt;INDEX(Conductores!$D:$D,MATCH(C17,Conductores!$A:$A,0)),"REVISAR: el conductor no corresponde a la ruta",IF(OR(INDEX(Vehículos!$E:$E,MATCH(D17,Vehículos!$A:$A,0))="Taller",INDEX(Vehículos!$E:$E,MATCH(D17,Vehículos!$A:$A,0))="Fuera de servicio"),"REVISAR: vehículo no disponible",IF(INDEX(Conductores!$G:$G,MATCH(C17,Conductores!$A:$A,0))&lt;&gt;"Activo","REVISAR: conductor no activo",IF(COUNTIFS($A:$A,A17,$C:$C,C17)&gt;1,"REVISAR: conductor asignado dos veces",IF(COUNTIFS($A:$A,A17,$D:$D,D17)&gt;1,"REVISAR: vehículo asignado dos veces","OK"))))))))</f>
        <v/>
      </c>
      <c r="H17" s="9"/>
      <c r="I17" s="9"/>
      <c r="J17" s="14" t="str">
        <f aca="false">IF(OR(H17="",H17=0),"",I17/H17)</f>
        <v/>
      </c>
      <c r="K17" s="9"/>
      <c r="L17" s="9"/>
      <c r="M17" s="24"/>
      <c r="N17" s="9"/>
      <c r="O17" s="9" t="str">
        <f aca="false">IF(AND(OR(K17="En riesgo",K17="Atrasada"),L17=""),"Falta código de motivo",IF(AND(L17="OTR",N17=""),"Explica OTR en las notas",IF(AND(K17="Finalizada",I17&lt;H17,L17=""),"Falta código de motivo","")))</f>
        <v/>
      </c>
      <c r="P17" s="9" t="str">
        <f aca="false">IF(OR(D17="",A17=""),"",IF(COUNTIFS(Revision_previa!$B:$B,D17,Revision_previa!$A:$A,"&gt;="&amp;A17,Revision_previa!$A:$A,"&lt;"&amp;(A17+1))=0,"Sin revisión",IF(COUNTIFS(Revision_previa!$B:$B,D17,Revision_previa!$A:$A,"&gt;="&amp;A17,Revision_previa!$A:$A,"&lt;"&amp;(A17+1),Revision_previa!$D:$D,"Falla")+COUNTIFS(Revision_previa!$B:$B,D17,Revision_previa!$A:$A,"&gt;="&amp;A17,Revision_previa!$A:$A,"&lt;"&amp;(A17+1),Revision_previa!$E:$E,"Falla")+COUNTIFS(Revision_previa!$B:$B,D17,Revision_previa!$A:$A,"&gt;="&amp;A17,Revision_previa!$A:$A,"&lt;"&amp;(A17+1),Revision_previa!$F:$F,"Falla")+COUNTIFS(Revision_previa!$B:$B,D17,Revision_previa!$A:$A,"&gt;="&amp;A17,Revision_previa!$A:$A,"&lt;"&amp;(A17+1),Revision_previa!$H:$H,"Encendido")&gt;0,"No apto","Apto")))</f>
        <v/>
      </c>
    </row>
    <row r="18" customFormat="false" ht="15" hidden="false" customHeight="false" outlineLevel="0" collapsed="false">
      <c r="A18" s="23"/>
      <c r="B18" s="9"/>
      <c r="C18" s="9"/>
      <c r="D18" s="9"/>
      <c r="E18" s="9" t="str">
        <f aca="false">IF(C18="","",IFERROR(INDEX(Conductores!$B:$B,MATCH(C18,Conductores!$A:$A,0)),"ID no encontrado"))</f>
        <v/>
      </c>
      <c r="F18" s="9" t="str">
        <f aca="false">IF(B18="","",IFERROR(INDEX(Rutas!$B:$B,MATCH(B18,Rutas!$A:$A,0)),"ID no encontrado"))</f>
        <v/>
      </c>
      <c r="G18" s="9" t="str">
        <f aca="false">IF(OR(B18="",C18="",D18=""),"",IF(OR(ISNA(MATCH(B18,Rutas!$A:$A,0)),ISNA(MATCH(C18,Conductores!$A:$A,0)),ISNA(MATCH(D18,Vehículos!$A:$A,0))),"REVISAR: ID no encontrado",IF(INDEX(Rutas!$C:$C,MATCH(B18,Rutas!$A:$A,0))&lt;&gt;INDEX(Vehículos!$B:$B,MATCH(D18,Vehículos!$A:$A,0)),"REVISAR: el vehículo no corresponde a la ruta",IF(INDEX(Rutas!$C:$C,MATCH(B18,Rutas!$A:$A,0))&lt;&gt;INDEX(Conductores!$D:$D,MATCH(C18,Conductores!$A:$A,0)),"REVISAR: el conductor no corresponde a la ruta",IF(OR(INDEX(Vehículos!$E:$E,MATCH(D18,Vehículos!$A:$A,0))="Taller",INDEX(Vehículos!$E:$E,MATCH(D18,Vehículos!$A:$A,0))="Fuera de servicio"),"REVISAR: vehículo no disponible",IF(INDEX(Conductores!$G:$G,MATCH(C18,Conductores!$A:$A,0))&lt;&gt;"Activo","REVISAR: conductor no activo",IF(COUNTIFS($A:$A,A18,$C:$C,C18)&gt;1,"REVISAR: conductor asignado dos veces",IF(COUNTIFS($A:$A,A18,$D:$D,D18)&gt;1,"REVISAR: vehículo asignado dos veces","OK"))))))))</f>
        <v/>
      </c>
      <c r="H18" s="9"/>
      <c r="I18" s="9"/>
      <c r="J18" s="14" t="str">
        <f aca="false">IF(OR(H18="",H18=0),"",I18/H18)</f>
        <v/>
      </c>
      <c r="K18" s="9"/>
      <c r="L18" s="9"/>
      <c r="M18" s="24"/>
      <c r="N18" s="9"/>
      <c r="O18" s="9" t="str">
        <f aca="false">IF(AND(OR(K18="En riesgo",K18="Atrasada"),L18=""),"Falta código de motivo",IF(AND(L18="OTR",N18=""),"Explica OTR en las notas",IF(AND(K18="Finalizada",I18&lt;H18,L18=""),"Falta código de motivo","")))</f>
        <v/>
      </c>
      <c r="P18" s="9" t="str">
        <f aca="false">IF(OR(D18="",A18=""),"",IF(COUNTIFS(Revision_previa!$B:$B,D18,Revision_previa!$A:$A,"&gt;="&amp;A18,Revision_previa!$A:$A,"&lt;"&amp;(A18+1))=0,"Sin revisión",IF(COUNTIFS(Revision_previa!$B:$B,D18,Revision_previa!$A:$A,"&gt;="&amp;A18,Revision_previa!$A:$A,"&lt;"&amp;(A18+1),Revision_previa!$D:$D,"Falla")+COUNTIFS(Revision_previa!$B:$B,D18,Revision_previa!$A:$A,"&gt;="&amp;A18,Revision_previa!$A:$A,"&lt;"&amp;(A18+1),Revision_previa!$E:$E,"Falla")+COUNTIFS(Revision_previa!$B:$B,D18,Revision_previa!$A:$A,"&gt;="&amp;A18,Revision_previa!$A:$A,"&lt;"&amp;(A18+1),Revision_previa!$F:$F,"Falla")+COUNTIFS(Revision_previa!$B:$B,D18,Revision_previa!$A:$A,"&gt;="&amp;A18,Revision_previa!$A:$A,"&lt;"&amp;(A18+1),Revision_previa!$H:$H,"Encendido")&gt;0,"No apto","Apto")))</f>
        <v/>
      </c>
    </row>
    <row r="19" customFormat="false" ht="15" hidden="false" customHeight="false" outlineLevel="0" collapsed="false">
      <c r="A19" s="23"/>
      <c r="B19" s="9"/>
      <c r="C19" s="9"/>
      <c r="D19" s="9"/>
      <c r="E19" s="9" t="str">
        <f aca="false">IF(C19="","",IFERROR(INDEX(Conductores!$B:$B,MATCH(C19,Conductores!$A:$A,0)),"ID no encontrado"))</f>
        <v/>
      </c>
      <c r="F19" s="9" t="str">
        <f aca="false">IF(B19="","",IFERROR(INDEX(Rutas!$B:$B,MATCH(B19,Rutas!$A:$A,0)),"ID no encontrado"))</f>
        <v/>
      </c>
      <c r="G19" s="9" t="str">
        <f aca="false">IF(OR(B19="",C19="",D19=""),"",IF(OR(ISNA(MATCH(B19,Rutas!$A:$A,0)),ISNA(MATCH(C19,Conductores!$A:$A,0)),ISNA(MATCH(D19,Vehículos!$A:$A,0))),"REVISAR: ID no encontrado",IF(INDEX(Rutas!$C:$C,MATCH(B19,Rutas!$A:$A,0))&lt;&gt;INDEX(Vehículos!$B:$B,MATCH(D19,Vehículos!$A:$A,0)),"REVISAR: el vehículo no corresponde a la ruta",IF(INDEX(Rutas!$C:$C,MATCH(B19,Rutas!$A:$A,0))&lt;&gt;INDEX(Conductores!$D:$D,MATCH(C19,Conductores!$A:$A,0)),"REVISAR: el conductor no corresponde a la ruta",IF(OR(INDEX(Vehículos!$E:$E,MATCH(D19,Vehículos!$A:$A,0))="Taller",INDEX(Vehículos!$E:$E,MATCH(D19,Vehículos!$A:$A,0))="Fuera de servicio"),"REVISAR: vehículo no disponible",IF(INDEX(Conductores!$G:$G,MATCH(C19,Conductores!$A:$A,0))&lt;&gt;"Activo","REVISAR: conductor no activo",IF(COUNTIFS($A:$A,A19,$C:$C,C19)&gt;1,"REVISAR: conductor asignado dos veces",IF(COUNTIFS($A:$A,A19,$D:$D,D19)&gt;1,"REVISAR: vehículo asignado dos veces","OK"))))))))</f>
        <v/>
      </c>
      <c r="H19" s="9"/>
      <c r="I19" s="9"/>
      <c r="J19" s="14" t="str">
        <f aca="false">IF(OR(H19="",H19=0),"",I19/H19)</f>
        <v/>
      </c>
      <c r="K19" s="9"/>
      <c r="L19" s="9"/>
      <c r="M19" s="24"/>
      <c r="N19" s="9"/>
      <c r="O19" s="9" t="str">
        <f aca="false">IF(AND(OR(K19="En riesgo",K19="Atrasada"),L19=""),"Falta código de motivo",IF(AND(L19="OTR",N19=""),"Explica OTR en las notas",IF(AND(K19="Finalizada",I19&lt;H19,L19=""),"Falta código de motivo","")))</f>
        <v/>
      </c>
      <c r="P19" s="9" t="str">
        <f aca="false">IF(OR(D19="",A19=""),"",IF(COUNTIFS(Revision_previa!$B:$B,D19,Revision_previa!$A:$A,"&gt;="&amp;A19,Revision_previa!$A:$A,"&lt;"&amp;(A19+1))=0,"Sin revisión",IF(COUNTIFS(Revision_previa!$B:$B,D19,Revision_previa!$A:$A,"&gt;="&amp;A19,Revision_previa!$A:$A,"&lt;"&amp;(A19+1),Revision_previa!$D:$D,"Falla")+COUNTIFS(Revision_previa!$B:$B,D19,Revision_previa!$A:$A,"&gt;="&amp;A19,Revision_previa!$A:$A,"&lt;"&amp;(A19+1),Revision_previa!$E:$E,"Falla")+COUNTIFS(Revision_previa!$B:$B,D19,Revision_previa!$A:$A,"&gt;="&amp;A19,Revision_previa!$A:$A,"&lt;"&amp;(A19+1),Revision_previa!$F:$F,"Falla")+COUNTIFS(Revision_previa!$B:$B,D19,Revision_previa!$A:$A,"&gt;="&amp;A19,Revision_previa!$A:$A,"&lt;"&amp;(A19+1),Revision_previa!$H:$H,"Encendido")&gt;0,"No apto","Apto")))</f>
        <v/>
      </c>
    </row>
    <row r="20" customFormat="false" ht="15" hidden="false" customHeight="false" outlineLevel="0" collapsed="false">
      <c r="A20" s="23"/>
      <c r="B20" s="9"/>
      <c r="C20" s="9"/>
      <c r="D20" s="9"/>
      <c r="E20" s="9" t="str">
        <f aca="false">IF(C20="","",IFERROR(INDEX(Conductores!$B:$B,MATCH(C20,Conductores!$A:$A,0)),"ID no encontrado"))</f>
        <v/>
      </c>
      <c r="F20" s="9" t="str">
        <f aca="false">IF(B20="","",IFERROR(INDEX(Rutas!$B:$B,MATCH(B20,Rutas!$A:$A,0)),"ID no encontrado"))</f>
        <v/>
      </c>
      <c r="G20" s="9" t="str">
        <f aca="false">IF(OR(B20="",C20="",D20=""),"",IF(OR(ISNA(MATCH(B20,Rutas!$A:$A,0)),ISNA(MATCH(C20,Conductores!$A:$A,0)),ISNA(MATCH(D20,Vehículos!$A:$A,0))),"REVISAR: ID no encontrado",IF(INDEX(Rutas!$C:$C,MATCH(B20,Rutas!$A:$A,0))&lt;&gt;INDEX(Vehículos!$B:$B,MATCH(D20,Vehículos!$A:$A,0)),"REVISAR: el vehículo no corresponde a la ruta",IF(INDEX(Rutas!$C:$C,MATCH(B20,Rutas!$A:$A,0))&lt;&gt;INDEX(Conductores!$D:$D,MATCH(C20,Conductores!$A:$A,0)),"REVISAR: el conductor no corresponde a la ruta",IF(OR(INDEX(Vehículos!$E:$E,MATCH(D20,Vehículos!$A:$A,0))="Taller",INDEX(Vehículos!$E:$E,MATCH(D20,Vehículos!$A:$A,0))="Fuera de servicio"),"REVISAR: vehículo no disponible",IF(INDEX(Conductores!$G:$G,MATCH(C20,Conductores!$A:$A,0))&lt;&gt;"Activo","REVISAR: conductor no activo",IF(COUNTIFS($A:$A,A20,$C:$C,C20)&gt;1,"REVISAR: conductor asignado dos veces",IF(COUNTIFS($A:$A,A20,$D:$D,D20)&gt;1,"REVISAR: vehículo asignado dos veces","OK"))))))))</f>
        <v/>
      </c>
      <c r="H20" s="9"/>
      <c r="I20" s="9"/>
      <c r="J20" s="14" t="str">
        <f aca="false">IF(OR(H20="",H20=0),"",I20/H20)</f>
        <v/>
      </c>
      <c r="K20" s="9"/>
      <c r="L20" s="9"/>
      <c r="M20" s="24"/>
      <c r="N20" s="9"/>
      <c r="O20" s="9" t="str">
        <f aca="false">IF(AND(OR(K20="En riesgo",K20="Atrasada"),L20=""),"Falta código de motivo",IF(AND(L20="OTR",N20=""),"Explica OTR en las notas",IF(AND(K20="Finalizada",I20&lt;H20,L20=""),"Falta código de motivo","")))</f>
        <v/>
      </c>
      <c r="P20" s="9" t="str">
        <f aca="false">IF(OR(D20="",A20=""),"",IF(COUNTIFS(Revision_previa!$B:$B,D20,Revision_previa!$A:$A,"&gt;="&amp;A20,Revision_previa!$A:$A,"&lt;"&amp;(A20+1))=0,"Sin revisión",IF(COUNTIFS(Revision_previa!$B:$B,D20,Revision_previa!$A:$A,"&gt;="&amp;A20,Revision_previa!$A:$A,"&lt;"&amp;(A20+1),Revision_previa!$D:$D,"Falla")+COUNTIFS(Revision_previa!$B:$B,D20,Revision_previa!$A:$A,"&gt;="&amp;A20,Revision_previa!$A:$A,"&lt;"&amp;(A20+1),Revision_previa!$E:$E,"Falla")+COUNTIFS(Revision_previa!$B:$B,D20,Revision_previa!$A:$A,"&gt;="&amp;A20,Revision_previa!$A:$A,"&lt;"&amp;(A20+1),Revision_previa!$F:$F,"Falla")+COUNTIFS(Revision_previa!$B:$B,D20,Revision_previa!$A:$A,"&gt;="&amp;A20,Revision_previa!$A:$A,"&lt;"&amp;(A20+1),Revision_previa!$H:$H,"Encendido")&gt;0,"No apto","Apto")))</f>
        <v/>
      </c>
    </row>
    <row r="21" customFormat="false" ht="15" hidden="false" customHeight="false" outlineLevel="0" collapsed="false">
      <c r="A21" s="23"/>
      <c r="B21" s="9"/>
      <c r="C21" s="9"/>
      <c r="D21" s="9"/>
      <c r="E21" s="9" t="str">
        <f aca="false">IF(C21="","",IFERROR(INDEX(Conductores!$B:$B,MATCH(C21,Conductores!$A:$A,0)),"ID no encontrado"))</f>
        <v/>
      </c>
      <c r="F21" s="9" t="str">
        <f aca="false">IF(B21="","",IFERROR(INDEX(Rutas!$B:$B,MATCH(B21,Rutas!$A:$A,0)),"ID no encontrado"))</f>
        <v/>
      </c>
      <c r="G21" s="9" t="str">
        <f aca="false">IF(OR(B21="",C21="",D21=""),"",IF(OR(ISNA(MATCH(B21,Rutas!$A:$A,0)),ISNA(MATCH(C21,Conductores!$A:$A,0)),ISNA(MATCH(D21,Vehículos!$A:$A,0))),"REVISAR: ID no encontrado",IF(INDEX(Rutas!$C:$C,MATCH(B21,Rutas!$A:$A,0))&lt;&gt;INDEX(Vehículos!$B:$B,MATCH(D21,Vehículos!$A:$A,0)),"REVISAR: el vehículo no corresponde a la ruta",IF(INDEX(Rutas!$C:$C,MATCH(B21,Rutas!$A:$A,0))&lt;&gt;INDEX(Conductores!$D:$D,MATCH(C21,Conductores!$A:$A,0)),"REVISAR: el conductor no corresponde a la ruta",IF(OR(INDEX(Vehículos!$E:$E,MATCH(D21,Vehículos!$A:$A,0))="Taller",INDEX(Vehículos!$E:$E,MATCH(D21,Vehículos!$A:$A,0))="Fuera de servicio"),"REVISAR: vehículo no disponible",IF(INDEX(Conductores!$G:$G,MATCH(C21,Conductores!$A:$A,0))&lt;&gt;"Activo","REVISAR: conductor no activo",IF(COUNTIFS($A:$A,A21,$C:$C,C21)&gt;1,"REVISAR: conductor asignado dos veces",IF(COUNTIFS($A:$A,A21,$D:$D,D21)&gt;1,"REVISAR: vehículo asignado dos veces","OK"))))))))</f>
        <v/>
      </c>
      <c r="H21" s="9"/>
      <c r="I21" s="9"/>
      <c r="J21" s="14" t="str">
        <f aca="false">IF(OR(H21="",H21=0),"",I21/H21)</f>
        <v/>
      </c>
      <c r="K21" s="9"/>
      <c r="L21" s="9"/>
      <c r="M21" s="24"/>
      <c r="N21" s="9"/>
      <c r="O21" s="9" t="str">
        <f aca="false">IF(AND(OR(K21="En riesgo",K21="Atrasada"),L21=""),"Falta código de motivo",IF(AND(L21="OTR",N21=""),"Explica OTR en las notas",IF(AND(K21="Finalizada",I21&lt;H21,L21=""),"Falta código de motivo","")))</f>
        <v/>
      </c>
      <c r="P21" s="9" t="str">
        <f aca="false">IF(OR(D21="",A21=""),"",IF(COUNTIFS(Revision_previa!$B:$B,D21,Revision_previa!$A:$A,"&gt;="&amp;A21,Revision_previa!$A:$A,"&lt;"&amp;(A21+1))=0,"Sin revisión",IF(COUNTIFS(Revision_previa!$B:$B,D21,Revision_previa!$A:$A,"&gt;="&amp;A21,Revision_previa!$A:$A,"&lt;"&amp;(A21+1),Revision_previa!$D:$D,"Falla")+COUNTIFS(Revision_previa!$B:$B,D21,Revision_previa!$A:$A,"&gt;="&amp;A21,Revision_previa!$A:$A,"&lt;"&amp;(A21+1),Revision_previa!$E:$E,"Falla")+COUNTIFS(Revision_previa!$B:$B,D21,Revision_previa!$A:$A,"&gt;="&amp;A21,Revision_previa!$A:$A,"&lt;"&amp;(A21+1),Revision_previa!$F:$F,"Falla")+COUNTIFS(Revision_previa!$B:$B,D21,Revision_previa!$A:$A,"&gt;="&amp;A21,Revision_previa!$A:$A,"&lt;"&amp;(A21+1),Revision_previa!$H:$H,"Encendido")&gt;0,"No apto","Apto")))</f>
        <v/>
      </c>
    </row>
    <row r="22" customFormat="false" ht="15" hidden="false" customHeight="false" outlineLevel="0" collapsed="false">
      <c r="A22" s="23"/>
      <c r="B22" s="9"/>
      <c r="C22" s="9"/>
      <c r="D22" s="9"/>
      <c r="E22" s="9" t="str">
        <f aca="false">IF(C22="","",IFERROR(INDEX(Conductores!$B:$B,MATCH(C22,Conductores!$A:$A,0)),"ID no encontrado"))</f>
        <v/>
      </c>
      <c r="F22" s="9" t="str">
        <f aca="false">IF(B22="","",IFERROR(INDEX(Rutas!$B:$B,MATCH(B22,Rutas!$A:$A,0)),"ID no encontrado"))</f>
        <v/>
      </c>
      <c r="G22" s="9" t="str">
        <f aca="false">IF(OR(B22="",C22="",D22=""),"",IF(OR(ISNA(MATCH(B22,Rutas!$A:$A,0)),ISNA(MATCH(C22,Conductores!$A:$A,0)),ISNA(MATCH(D22,Vehículos!$A:$A,0))),"REVISAR: ID no encontrado",IF(INDEX(Rutas!$C:$C,MATCH(B22,Rutas!$A:$A,0))&lt;&gt;INDEX(Vehículos!$B:$B,MATCH(D22,Vehículos!$A:$A,0)),"REVISAR: el vehículo no corresponde a la ruta",IF(INDEX(Rutas!$C:$C,MATCH(B22,Rutas!$A:$A,0))&lt;&gt;INDEX(Conductores!$D:$D,MATCH(C22,Conductores!$A:$A,0)),"REVISAR: el conductor no corresponde a la ruta",IF(OR(INDEX(Vehículos!$E:$E,MATCH(D22,Vehículos!$A:$A,0))="Taller",INDEX(Vehículos!$E:$E,MATCH(D22,Vehículos!$A:$A,0))="Fuera de servicio"),"REVISAR: vehículo no disponible",IF(INDEX(Conductores!$G:$G,MATCH(C22,Conductores!$A:$A,0))&lt;&gt;"Activo","REVISAR: conductor no activo",IF(COUNTIFS($A:$A,A22,$C:$C,C22)&gt;1,"REVISAR: conductor asignado dos veces",IF(COUNTIFS($A:$A,A22,$D:$D,D22)&gt;1,"REVISAR: vehículo asignado dos veces","OK"))))))))</f>
        <v/>
      </c>
      <c r="H22" s="9"/>
      <c r="I22" s="9"/>
      <c r="J22" s="14" t="str">
        <f aca="false">IF(OR(H22="",H22=0),"",I22/H22)</f>
        <v/>
      </c>
      <c r="K22" s="9"/>
      <c r="L22" s="9"/>
      <c r="M22" s="24"/>
      <c r="N22" s="9"/>
      <c r="O22" s="9" t="str">
        <f aca="false">IF(AND(OR(K22="En riesgo",K22="Atrasada"),L22=""),"Falta código de motivo",IF(AND(L22="OTR",N22=""),"Explica OTR en las notas",IF(AND(K22="Finalizada",I22&lt;H22,L22=""),"Falta código de motivo","")))</f>
        <v/>
      </c>
      <c r="P22" s="9" t="str">
        <f aca="false">IF(OR(D22="",A22=""),"",IF(COUNTIFS(Revision_previa!$B:$B,D22,Revision_previa!$A:$A,"&gt;="&amp;A22,Revision_previa!$A:$A,"&lt;"&amp;(A22+1))=0,"Sin revisión",IF(COUNTIFS(Revision_previa!$B:$B,D22,Revision_previa!$A:$A,"&gt;="&amp;A22,Revision_previa!$A:$A,"&lt;"&amp;(A22+1),Revision_previa!$D:$D,"Falla")+COUNTIFS(Revision_previa!$B:$B,D22,Revision_previa!$A:$A,"&gt;="&amp;A22,Revision_previa!$A:$A,"&lt;"&amp;(A22+1),Revision_previa!$E:$E,"Falla")+COUNTIFS(Revision_previa!$B:$B,D22,Revision_previa!$A:$A,"&gt;="&amp;A22,Revision_previa!$A:$A,"&lt;"&amp;(A22+1),Revision_previa!$F:$F,"Falla")+COUNTIFS(Revision_previa!$B:$B,D22,Revision_previa!$A:$A,"&gt;="&amp;A22,Revision_previa!$A:$A,"&lt;"&amp;(A22+1),Revision_previa!$H:$H,"Encendido")&gt;0,"No apto","Apto")))</f>
        <v/>
      </c>
    </row>
    <row r="23" customFormat="false" ht="15" hidden="false" customHeight="false" outlineLevel="0" collapsed="false">
      <c r="A23" s="23"/>
      <c r="B23" s="9"/>
      <c r="C23" s="9"/>
      <c r="D23" s="9"/>
      <c r="E23" s="9" t="str">
        <f aca="false">IF(C23="","",IFERROR(INDEX(Conductores!$B:$B,MATCH(C23,Conductores!$A:$A,0)),"ID no encontrado"))</f>
        <v/>
      </c>
      <c r="F23" s="9" t="str">
        <f aca="false">IF(B23="","",IFERROR(INDEX(Rutas!$B:$B,MATCH(B23,Rutas!$A:$A,0)),"ID no encontrado"))</f>
        <v/>
      </c>
      <c r="G23" s="9" t="str">
        <f aca="false">IF(OR(B23="",C23="",D23=""),"",IF(OR(ISNA(MATCH(B23,Rutas!$A:$A,0)),ISNA(MATCH(C23,Conductores!$A:$A,0)),ISNA(MATCH(D23,Vehículos!$A:$A,0))),"REVISAR: ID no encontrado",IF(INDEX(Rutas!$C:$C,MATCH(B23,Rutas!$A:$A,0))&lt;&gt;INDEX(Vehículos!$B:$B,MATCH(D23,Vehículos!$A:$A,0)),"REVISAR: el vehículo no corresponde a la ruta",IF(INDEX(Rutas!$C:$C,MATCH(B23,Rutas!$A:$A,0))&lt;&gt;INDEX(Conductores!$D:$D,MATCH(C23,Conductores!$A:$A,0)),"REVISAR: el conductor no corresponde a la ruta",IF(OR(INDEX(Vehículos!$E:$E,MATCH(D23,Vehículos!$A:$A,0))="Taller",INDEX(Vehículos!$E:$E,MATCH(D23,Vehículos!$A:$A,0))="Fuera de servicio"),"REVISAR: vehículo no disponible",IF(INDEX(Conductores!$G:$G,MATCH(C23,Conductores!$A:$A,0))&lt;&gt;"Activo","REVISAR: conductor no activo",IF(COUNTIFS($A:$A,A23,$C:$C,C23)&gt;1,"REVISAR: conductor asignado dos veces",IF(COUNTIFS($A:$A,A23,$D:$D,D23)&gt;1,"REVISAR: vehículo asignado dos veces","OK"))))))))</f>
        <v/>
      </c>
      <c r="H23" s="9"/>
      <c r="I23" s="9"/>
      <c r="J23" s="14" t="str">
        <f aca="false">IF(OR(H23="",H23=0),"",I23/H23)</f>
        <v/>
      </c>
      <c r="K23" s="9"/>
      <c r="L23" s="9"/>
      <c r="M23" s="24"/>
      <c r="N23" s="9"/>
      <c r="O23" s="9" t="str">
        <f aca="false">IF(AND(OR(K23="En riesgo",K23="Atrasada"),L23=""),"Falta código de motivo",IF(AND(L23="OTR",N23=""),"Explica OTR en las notas",IF(AND(K23="Finalizada",I23&lt;H23,L23=""),"Falta código de motivo","")))</f>
        <v/>
      </c>
      <c r="P23" s="9" t="str">
        <f aca="false">IF(OR(D23="",A23=""),"",IF(COUNTIFS(Revision_previa!$B:$B,D23,Revision_previa!$A:$A,"&gt;="&amp;A23,Revision_previa!$A:$A,"&lt;"&amp;(A23+1))=0,"Sin revisión",IF(COUNTIFS(Revision_previa!$B:$B,D23,Revision_previa!$A:$A,"&gt;="&amp;A23,Revision_previa!$A:$A,"&lt;"&amp;(A23+1),Revision_previa!$D:$D,"Falla")+COUNTIFS(Revision_previa!$B:$B,D23,Revision_previa!$A:$A,"&gt;="&amp;A23,Revision_previa!$A:$A,"&lt;"&amp;(A23+1),Revision_previa!$E:$E,"Falla")+COUNTIFS(Revision_previa!$B:$B,D23,Revision_previa!$A:$A,"&gt;="&amp;A23,Revision_previa!$A:$A,"&lt;"&amp;(A23+1),Revision_previa!$F:$F,"Falla")+COUNTIFS(Revision_previa!$B:$B,D23,Revision_previa!$A:$A,"&gt;="&amp;A23,Revision_previa!$A:$A,"&lt;"&amp;(A23+1),Revision_previa!$H:$H,"Encendido")&gt;0,"No apto","Apto")))</f>
        <v/>
      </c>
    </row>
    <row r="24" customFormat="false" ht="15" hidden="false" customHeight="false" outlineLevel="0" collapsed="false">
      <c r="A24" s="23"/>
      <c r="B24" s="9"/>
      <c r="C24" s="9"/>
      <c r="D24" s="9"/>
      <c r="E24" s="9" t="str">
        <f aca="false">IF(C24="","",IFERROR(INDEX(Conductores!$B:$B,MATCH(C24,Conductores!$A:$A,0)),"ID no encontrado"))</f>
        <v/>
      </c>
      <c r="F24" s="9" t="str">
        <f aca="false">IF(B24="","",IFERROR(INDEX(Rutas!$B:$B,MATCH(B24,Rutas!$A:$A,0)),"ID no encontrado"))</f>
        <v/>
      </c>
      <c r="G24" s="9" t="str">
        <f aca="false">IF(OR(B24="",C24="",D24=""),"",IF(OR(ISNA(MATCH(B24,Rutas!$A:$A,0)),ISNA(MATCH(C24,Conductores!$A:$A,0)),ISNA(MATCH(D24,Vehículos!$A:$A,0))),"REVISAR: ID no encontrado",IF(INDEX(Rutas!$C:$C,MATCH(B24,Rutas!$A:$A,0))&lt;&gt;INDEX(Vehículos!$B:$B,MATCH(D24,Vehículos!$A:$A,0)),"REVISAR: el vehículo no corresponde a la ruta",IF(INDEX(Rutas!$C:$C,MATCH(B24,Rutas!$A:$A,0))&lt;&gt;INDEX(Conductores!$D:$D,MATCH(C24,Conductores!$A:$A,0)),"REVISAR: el conductor no corresponde a la ruta",IF(OR(INDEX(Vehículos!$E:$E,MATCH(D24,Vehículos!$A:$A,0))="Taller",INDEX(Vehículos!$E:$E,MATCH(D24,Vehículos!$A:$A,0))="Fuera de servicio"),"REVISAR: vehículo no disponible",IF(INDEX(Conductores!$G:$G,MATCH(C24,Conductores!$A:$A,0))&lt;&gt;"Activo","REVISAR: conductor no activo",IF(COUNTIFS($A:$A,A24,$C:$C,C24)&gt;1,"REVISAR: conductor asignado dos veces",IF(COUNTIFS($A:$A,A24,$D:$D,D24)&gt;1,"REVISAR: vehículo asignado dos veces","OK"))))))))</f>
        <v/>
      </c>
      <c r="H24" s="9"/>
      <c r="I24" s="9"/>
      <c r="J24" s="14" t="str">
        <f aca="false">IF(OR(H24="",H24=0),"",I24/H24)</f>
        <v/>
      </c>
      <c r="K24" s="9"/>
      <c r="L24" s="9"/>
      <c r="M24" s="24"/>
      <c r="N24" s="9"/>
      <c r="O24" s="9" t="str">
        <f aca="false">IF(AND(OR(K24="En riesgo",K24="Atrasada"),L24=""),"Falta código de motivo",IF(AND(L24="OTR",N24=""),"Explica OTR en las notas",IF(AND(K24="Finalizada",I24&lt;H24,L24=""),"Falta código de motivo","")))</f>
        <v/>
      </c>
      <c r="P24" s="9" t="str">
        <f aca="false">IF(OR(D24="",A24=""),"",IF(COUNTIFS(Revision_previa!$B:$B,D24,Revision_previa!$A:$A,"&gt;="&amp;A24,Revision_previa!$A:$A,"&lt;"&amp;(A24+1))=0,"Sin revisión",IF(COUNTIFS(Revision_previa!$B:$B,D24,Revision_previa!$A:$A,"&gt;="&amp;A24,Revision_previa!$A:$A,"&lt;"&amp;(A24+1),Revision_previa!$D:$D,"Falla")+COUNTIFS(Revision_previa!$B:$B,D24,Revision_previa!$A:$A,"&gt;="&amp;A24,Revision_previa!$A:$A,"&lt;"&amp;(A24+1),Revision_previa!$E:$E,"Falla")+COUNTIFS(Revision_previa!$B:$B,D24,Revision_previa!$A:$A,"&gt;="&amp;A24,Revision_previa!$A:$A,"&lt;"&amp;(A24+1),Revision_previa!$F:$F,"Falla")+COUNTIFS(Revision_previa!$B:$B,D24,Revision_previa!$A:$A,"&gt;="&amp;A24,Revision_previa!$A:$A,"&lt;"&amp;(A24+1),Revision_previa!$H:$H,"Encendido")&gt;0,"No apto","Apto")))</f>
        <v/>
      </c>
    </row>
    <row r="25" customFormat="false" ht="15" hidden="false" customHeight="false" outlineLevel="0" collapsed="false">
      <c r="A25" s="23"/>
      <c r="B25" s="9"/>
      <c r="C25" s="9"/>
      <c r="D25" s="9"/>
      <c r="E25" s="9" t="str">
        <f aca="false">IF(C25="","",IFERROR(INDEX(Conductores!$B:$B,MATCH(C25,Conductores!$A:$A,0)),"ID no encontrado"))</f>
        <v/>
      </c>
      <c r="F25" s="9" t="str">
        <f aca="false">IF(B25="","",IFERROR(INDEX(Rutas!$B:$B,MATCH(B25,Rutas!$A:$A,0)),"ID no encontrado"))</f>
        <v/>
      </c>
      <c r="G25" s="9" t="str">
        <f aca="false">IF(OR(B25="",C25="",D25=""),"",IF(OR(ISNA(MATCH(B25,Rutas!$A:$A,0)),ISNA(MATCH(C25,Conductores!$A:$A,0)),ISNA(MATCH(D25,Vehículos!$A:$A,0))),"REVISAR: ID no encontrado",IF(INDEX(Rutas!$C:$C,MATCH(B25,Rutas!$A:$A,0))&lt;&gt;INDEX(Vehículos!$B:$B,MATCH(D25,Vehículos!$A:$A,0)),"REVISAR: el vehículo no corresponde a la ruta",IF(INDEX(Rutas!$C:$C,MATCH(B25,Rutas!$A:$A,0))&lt;&gt;INDEX(Conductores!$D:$D,MATCH(C25,Conductores!$A:$A,0)),"REVISAR: el conductor no corresponde a la ruta",IF(OR(INDEX(Vehículos!$E:$E,MATCH(D25,Vehículos!$A:$A,0))="Taller",INDEX(Vehículos!$E:$E,MATCH(D25,Vehículos!$A:$A,0))="Fuera de servicio"),"REVISAR: vehículo no disponible",IF(INDEX(Conductores!$G:$G,MATCH(C25,Conductores!$A:$A,0))&lt;&gt;"Activo","REVISAR: conductor no activo",IF(COUNTIFS($A:$A,A25,$C:$C,C25)&gt;1,"REVISAR: conductor asignado dos veces",IF(COUNTIFS($A:$A,A25,$D:$D,D25)&gt;1,"REVISAR: vehículo asignado dos veces","OK"))))))))</f>
        <v/>
      </c>
      <c r="H25" s="9"/>
      <c r="I25" s="9"/>
      <c r="J25" s="14" t="str">
        <f aca="false">IF(OR(H25="",H25=0),"",I25/H25)</f>
        <v/>
      </c>
      <c r="K25" s="9"/>
      <c r="L25" s="9"/>
      <c r="M25" s="24"/>
      <c r="N25" s="9"/>
      <c r="O25" s="9" t="str">
        <f aca="false">IF(AND(OR(K25="En riesgo",K25="Atrasada"),L25=""),"Falta código de motivo",IF(AND(L25="OTR",N25=""),"Explica OTR en las notas",IF(AND(K25="Finalizada",I25&lt;H25,L25=""),"Falta código de motivo","")))</f>
        <v/>
      </c>
      <c r="P25" s="9" t="str">
        <f aca="false">IF(OR(D25="",A25=""),"",IF(COUNTIFS(Revision_previa!$B:$B,D25,Revision_previa!$A:$A,"&gt;="&amp;A25,Revision_previa!$A:$A,"&lt;"&amp;(A25+1))=0,"Sin revisión",IF(COUNTIFS(Revision_previa!$B:$B,D25,Revision_previa!$A:$A,"&gt;="&amp;A25,Revision_previa!$A:$A,"&lt;"&amp;(A25+1),Revision_previa!$D:$D,"Falla")+COUNTIFS(Revision_previa!$B:$B,D25,Revision_previa!$A:$A,"&gt;="&amp;A25,Revision_previa!$A:$A,"&lt;"&amp;(A25+1),Revision_previa!$E:$E,"Falla")+COUNTIFS(Revision_previa!$B:$B,D25,Revision_previa!$A:$A,"&gt;="&amp;A25,Revision_previa!$A:$A,"&lt;"&amp;(A25+1),Revision_previa!$F:$F,"Falla")+COUNTIFS(Revision_previa!$B:$B,D25,Revision_previa!$A:$A,"&gt;="&amp;A25,Revision_previa!$A:$A,"&lt;"&amp;(A25+1),Revision_previa!$H:$H,"Encendido")&gt;0,"No apto","Apto")))</f>
        <v/>
      </c>
    </row>
    <row r="26" customFormat="false" ht="15" hidden="false" customHeight="false" outlineLevel="0" collapsed="false">
      <c r="A26" s="23"/>
      <c r="B26" s="9"/>
      <c r="C26" s="9"/>
      <c r="D26" s="9"/>
      <c r="E26" s="9" t="str">
        <f aca="false">IF(C26="","",IFERROR(INDEX(Conductores!$B:$B,MATCH(C26,Conductores!$A:$A,0)),"ID no encontrado"))</f>
        <v/>
      </c>
      <c r="F26" s="9" t="str">
        <f aca="false">IF(B26="","",IFERROR(INDEX(Rutas!$B:$B,MATCH(B26,Rutas!$A:$A,0)),"ID no encontrado"))</f>
        <v/>
      </c>
      <c r="G26" s="9" t="str">
        <f aca="false">IF(OR(B26="",C26="",D26=""),"",IF(OR(ISNA(MATCH(B26,Rutas!$A:$A,0)),ISNA(MATCH(C26,Conductores!$A:$A,0)),ISNA(MATCH(D26,Vehículos!$A:$A,0))),"REVISAR: ID no encontrado",IF(INDEX(Rutas!$C:$C,MATCH(B26,Rutas!$A:$A,0))&lt;&gt;INDEX(Vehículos!$B:$B,MATCH(D26,Vehículos!$A:$A,0)),"REVISAR: el vehículo no corresponde a la ruta",IF(INDEX(Rutas!$C:$C,MATCH(B26,Rutas!$A:$A,0))&lt;&gt;INDEX(Conductores!$D:$D,MATCH(C26,Conductores!$A:$A,0)),"REVISAR: el conductor no corresponde a la ruta",IF(OR(INDEX(Vehículos!$E:$E,MATCH(D26,Vehículos!$A:$A,0))="Taller",INDEX(Vehículos!$E:$E,MATCH(D26,Vehículos!$A:$A,0))="Fuera de servicio"),"REVISAR: vehículo no disponible",IF(INDEX(Conductores!$G:$G,MATCH(C26,Conductores!$A:$A,0))&lt;&gt;"Activo","REVISAR: conductor no activo",IF(COUNTIFS($A:$A,A26,$C:$C,C26)&gt;1,"REVISAR: conductor asignado dos veces",IF(COUNTIFS($A:$A,A26,$D:$D,D26)&gt;1,"REVISAR: vehículo asignado dos veces","OK"))))))))</f>
        <v/>
      </c>
      <c r="H26" s="9"/>
      <c r="I26" s="9"/>
      <c r="J26" s="14" t="str">
        <f aca="false">IF(OR(H26="",H26=0),"",I26/H26)</f>
        <v/>
      </c>
      <c r="K26" s="9"/>
      <c r="L26" s="9"/>
      <c r="M26" s="24"/>
      <c r="N26" s="9"/>
      <c r="O26" s="9" t="str">
        <f aca="false">IF(AND(OR(K26="En riesgo",K26="Atrasada"),L26=""),"Falta código de motivo",IF(AND(L26="OTR",N26=""),"Explica OTR en las notas",IF(AND(K26="Finalizada",I26&lt;H26,L26=""),"Falta código de motivo","")))</f>
        <v/>
      </c>
      <c r="P26" s="9" t="str">
        <f aca="false">IF(OR(D26="",A26=""),"",IF(COUNTIFS(Revision_previa!$B:$B,D26,Revision_previa!$A:$A,"&gt;="&amp;A26,Revision_previa!$A:$A,"&lt;"&amp;(A26+1))=0,"Sin revisión",IF(COUNTIFS(Revision_previa!$B:$B,D26,Revision_previa!$A:$A,"&gt;="&amp;A26,Revision_previa!$A:$A,"&lt;"&amp;(A26+1),Revision_previa!$D:$D,"Falla")+COUNTIFS(Revision_previa!$B:$B,D26,Revision_previa!$A:$A,"&gt;="&amp;A26,Revision_previa!$A:$A,"&lt;"&amp;(A26+1),Revision_previa!$E:$E,"Falla")+COUNTIFS(Revision_previa!$B:$B,D26,Revision_previa!$A:$A,"&gt;="&amp;A26,Revision_previa!$A:$A,"&lt;"&amp;(A26+1),Revision_previa!$F:$F,"Falla")+COUNTIFS(Revision_previa!$B:$B,D26,Revision_previa!$A:$A,"&gt;="&amp;A26,Revision_previa!$A:$A,"&lt;"&amp;(A26+1),Revision_previa!$H:$H,"Encendido")&gt;0,"No apto","Apto")))</f>
        <v/>
      </c>
    </row>
    <row r="27" customFormat="false" ht="15" hidden="false" customHeight="false" outlineLevel="0" collapsed="false">
      <c r="A27" s="23"/>
      <c r="B27" s="9"/>
      <c r="C27" s="9"/>
      <c r="D27" s="9"/>
      <c r="E27" s="9" t="str">
        <f aca="false">IF(C27="","",IFERROR(INDEX(Conductores!$B:$B,MATCH(C27,Conductores!$A:$A,0)),"ID no encontrado"))</f>
        <v/>
      </c>
      <c r="F27" s="9" t="str">
        <f aca="false">IF(B27="","",IFERROR(INDEX(Rutas!$B:$B,MATCH(B27,Rutas!$A:$A,0)),"ID no encontrado"))</f>
        <v/>
      </c>
      <c r="G27" s="9" t="str">
        <f aca="false">IF(OR(B27="",C27="",D27=""),"",IF(OR(ISNA(MATCH(B27,Rutas!$A:$A,0)),ISNA(MATCH(C27,Conductores!$A:$A,0)),ISNA(MATCH(D27,Vehículos!$A:$A,0))),"REVISAR: ID no encontrado",IF(INDEX(Rutas!$C:$C,MATCH(B27,Rutas!$A:$A,0))&lt;&gt;INDEX(Vehículos!$B:$B,MATCH(D27,Vehículos!$A:$A,0)),"REVISAR: el vehículo no corresponde a la ruta",IF(INDEX(Rutas!$C:$C,MATCH(B27,Rutas!$A:$A,0))&lt;&gt;INDEX(Conductores!$D:$D,MATCH(C27,Conductores!$A:$A,0)),"REVISAR: el conductor no corresponde a la ruta",IF(OR(INDEX(Vehículos!$E:$E,MATCH(D27,Vehículos!$A:$A,0))="Taller",INDEX(Vehículos!$E:$E,MATCH(D27,Vehículos!$A:$A,0))="Fuera de servicio"),"REVISAR: vehículo no disponible",IF(INDEX(Conductores!$G:$G,MATCH(C27,Conductores!$A:$A,0))&lt;&gt;"Activo","REVISAR: conductor no activo",IF(COUNTIFS($A:$A,A27,$C:$C,C27)&gt;1,"REVISAR: conductor asignado dos veces",IF(COUNTIFS($A:$A,A27,$D:$D,D27)&gt;1,"REVISAR: vehículo asignado dos veces","OK"))))))))</f>
        <v/>
      </c>
      <c r="H27" s="9"/>
      <c r="I27" s="9"/>
      <c r="J27" s="14" t="str">
        <f aca="false">IF(OR(H27="",H27=0),"",I27/H27)</f>
        <v/>
      </c>
      <c r="K27" s="9"/>
      <c r="L27" s="9"/>
      <c r="M27" s="24"/>
      <c r="N27" s="9"/>
      <c r="O27" s="9" t="str">
        <f aca="false">IF(AND(OR(K27="En riesgo",K27="Atrasada"),L27=""),"Falta código de motivo",IF(AND(L27="OTR",N27=""),"Explica OTR en las notas",IF(AND(K27="Finalizada",I27&lt;H27,L27=""),"Falta código de motivo","")))</f>
        <v/>
      </c>
      <c r="P27" s="9" t="str">
        <f aca="false">IF(OR(D27="",A27=""),"",IF(COUNTIFS(Revision_previa!$B:$B,D27,Revision_previa!$A:$A,"&gt;="&amp;A27,Revision_previa!$A:$A,"&lt;"&amp;(A27+1))=0,"Sin revisión",IF(COUNTIFS(Revision_previa!$B:$B,D27,Revision_previa!$A:$A,"&gt;="&amp;A27,Revision_previa!$A:$A,"&lt;"&amp;(A27+1),Revision_previa!$D:$D,"Falla")+COUNTIFS(Revision_previa!$B:$B,D27,Revision_previa!$A:$A,"&gt;="&amp;A27,Revision_previa!$A:$A,"&lt;"&amp;(A27+1),Revision_previa!$E:$E,"Falla")+COUNTIFS(Revision_previa!$B:$B,D27,Revision_previa!$A:$A,"&gt;="&amp;A27,Revision_previa!$A:$A,"&lt;"&amp;(A27+1),Revision_previa!$F:$F,"Falla")+COUNTIFS(Revision_previa!$B:$B,D27,Revision_previa!$A:$A,"&gt;="&amp;A27,Revision_previa!$A:$A,"&lt;"&amp;(A27+1),Revision_previa!$H:$H,"Encendido")&gt;0,"No apto","Apto")))</f>
        <v/>
      </c>
    </row>
    <row r="28" customFormat="false" ht="15" hidden="false" customHeight="false" outlineLevel="0" collapsed="false">
      <c r="A28" s="23"/>
      <c r="B28" s="9"/>
      <c r="C28" s="9"/>
      <c r="D28" s="9"/>
      <c r="E28" s="9" t="str">
        <f aca="false">IF(C28="","",IFERROR(INDEX(Conductores!$B:$B,MATCH(C28,Conductores!$A:$A,0)),"ID no encontrado"))</f>
        <v/>
      </c>
      <c r="F28" s="9" t="str">
        <f aca="false">IF(B28="","",IFERROR(INDEX(Rutas!$B:$B,MATCH(B28,Rutas!$A:$A,0)),"ID no encontrado"))</f>
        <v/>
      </c>
      <c r="G28" s="9" t="str">
        <f aca="false">IF(OR(B28="",C28="",D28=""),"",IF(OR(ISNA(MATCH(B28,Rutas!$A:$A,0)),ISNA(MATCH(C28,Conductores!$A:$A,0)),ISNA(MATCH(D28,Vehículos!$A:$A,0))),"REVISAR: ID no encontrado",IF(INDEX(Rutas!$C:$C,MATCH(B28,Rutas!$A:$A,0))&lt;&gt;INDEX(Vehículos!$B:$B,MATCH(D28,Vehículos!$A:$A,0)),"REVISAR: el vehículo no corresponde a la ruta",IF(INDEX(Rutas!$C:$C,MATCH(B28,Rutas!$A:$A,0))&lt;&gt;INDEX(Conductores!$D:$D,MATCH(C28,Conductores!$A:$A,0)),"REVISAR: el conductor no corresponde a la ruta",IF(OR(INDEX(Vehículos!$E:$E,MATCH(D28,Vehículos!$A:$A,0))="Taller",INDEX(Vehículos!$E:$E,MATCH(D28,Vehículos!$A:$A,0))="Fuera de servicio"),"REVISAR: vehículo no disponible",IF(INDEX(Conductores!$G:$G,MATCH(C28,Conductores!$A:$A,0))&lt;&gt;"Activo","REVISAR: conductor no activo",IF(COUNTIFS($A:$A,A28,$C:$C,C28)&gt;1,"REVISAR: conductor asignado dos veces",IF(COUNTIFS($A:$A,A28,$D:$D,D28)&gt;1,"REVISAR: vehículo asignado dos veces","OK"))))))))</f>
        <v/>
      </c>
      <c r="H28" s="9"/>
      <c r="I28" s="9"/>
      <c r="J28" s="14" t="str">
        <f aca="false">IF(OR(H28="",H28=0),"",I28/H28)</f>
        <v/>
      </c>
      <c r="K28" s="9"/>
      <c r="L28" s="9"/>
      <c r="M28" s="24"/>
      <c r="N28" s="9"/>
      <c r="O28" s="9" t="str">
        <f aca="false">IF(AND(OR(K28="En riesgo",K28="Atrasada"),L28=""),"Falta código de motivo",IF(AND(L28="OTR",N28=""),"Explica OTR en las notas",IF(AND(K28="Finalizada",I28&lt;H28,L28=""),"Falta código de motivo","")))</f>
        <v/>
      </c>
      <c r="P28" s="9" t="str">
        <f aca="false">IF(OR(D28="",A28=""),"",IF(COUNTIFS(Revision_previa!$B:$B,D28,Revision_previa!$A:$A,"&gt;="&amp;A28,Revision_previa!$A:$A,"&lt;"&amp;(A28+1))=0,"Sin revisión",IF(COUNTIFS(Revision_previa!$B:$B,D28,Revision_previa!$A:$A,"&gt;="&amp;A28,Revision_previa!$A:$A,"&lt;"&amp;(A28+1),Revision_previa!$D:$D,"Falla")+COUNTIFS(Revision_previa!$B:$B,D28,Revision_previa!$A:$A,"&gt;="&amp;A28,Revision_previa!$A:$A,"&lt;"&amp;(A28+1),Revision_previa!$E:$E,"Falla")+COUNTIFS(Revision_previa!$B:$B,D28,Revision_previa!$A:$A,"&gt;="&amp;A28,Revision_previa!$A:$A,"&lt;"&amp;(A28+1),Revision_previa!$F:$F,"Falla")+COUNTIFS(Revision_previa!$B:$B,D28,Revision_previa!$A:$A,"&gt;="&amp;A28,Revision_previa!$A:$A,"&lt;"&amp;(A28+1),Revision_previa!$H:$H,"Encendido")&gt;0,"No apto","Apto")))</f>
        <v/>
      </c>
    </row>
    <row r="29" customFormat="false" ht="15" hidden="false" customHeight="false" outlineLevel="0" collapsed="false">
      <c r="A29" s="23"/>
      <c r="B29" s="9"/>
      <c r="C29" s="9"/>
      <c r="D29" s="9"/>
      <c r="E29" s="9" t="str">
        <f aca="false">IF(C29="","",IFERROR(INDEX(Conductores!$B:$B,MATCH(C29,Conductores!$A:$A,0)),"ID no encontrado"))</f>
        <v/>
      </c>
      <c r="F29" s="9" t="str">
        <f aca="false">IF(B29="","",IFERROR(INDEX(Rutas!$B:$B,MATCH(B29,Rutas!$A:$A,0)),"ID no encontrado"))</f>
        <v/>
      </c>
      <c r="G29" s="9" t="str">
        <f aca="false">IF(OR(B29="",C29="",D29=""),"",IF(OR(ISNA(MATCH(B29,Rutas!$A:$A,0)),ISNA(MATCH(C29,Conductores!$A:$A,0)),ISNA(MATCH(D29,Vehículos!$A:$A,0))),"REVISAR: ID no encontrado",IF(INDEX(Rutas!$C:$C,MATCH(B29,Rutas!$A:$A,0))&lt;&gt;INDEX(Vehículos!$B:$B,MATCH(D29,Vehículos!$A:$A,0)),"REVISAR: el vehículo no corresponde a la ruta",IF(INDEX(Rutas!$C:$C,MATCH(B29,Rutas!$A:$A,0))&lt;&gt;INDEX(Conductores!$D:$D,MATCH(C29,Conductores!$A:$A,0)),"REVISAR: el conductor no corresponde a la ruta",IF(OR(INDEX(Vehículos!$E:$E,MATCH(D29,Vehículos!$A:$A,0))="Taller",INDEX(Vehículos!$E:$E,MATCH(D29,Vehículos!$A:$A,0))="Fuera de servicio"),"REVISAR: vehículo no disponible",IF(INDEX(Conductores!$G:$G,MATCH(C29,Conductores!$A:$A,0))&lt;&gt;"Activo","REVISAR: conductor no activo",IF(COUNTIFS($A:$A,A29,$C:$C,C29)&gt;1,"REVISAR: conductor asignado dos veces",IF(COUNTIFS($A:$A,A29,$D:$D,D29)&gt;1,"REVISAR: vehículo asignado dos veces","OK"))))))))</f>
        <v/>
      </c>
      <c r="H29" s="9"/>
      <c r="I29" s="9"/>
      <c r="J29" s="14" t="str">
        <f aca="false">IF(OR(H29="",H29=0),"",I29/H29)</f>
        <v/>
      </c>
      <c r="K29" s="9"/>
      <c r="L29" s="9"/>
      <c r="M29" s="24"/>
      <c r="N29" s="9"/>
      <c r="O29" s="9" t="str">
        <f aca="false">IF(AND(OR(K29="En riesgo",K29="Atrasada"),L29=""),"Falta código de motivo",IF(AND(L29="OTR",N29=""),"Explica OTR en las notas",IF(AND(K29="Finalizada",I29&lt;H29,L29=""),"Falta código de motivo","")))</f>
        <v/>
      </c>
      <c r="P29" s="9" t="str">
        <f aca="false">IF(OR(D29="",A29=""),"",IF(COUNTIFS(Revision_previa!$B:$B,D29,Revision_previa!$A:$A,"&gt;="&amp;A29,Revision_previa!$A:$A,"&lt;"&amp;(A29+1))=0,"Sin revisión",IF(COUNTIFS(Revision_previa!$B:$B,D29,Revision_previa!$A:$A,"&gt;="&amp;A29,Revision_previa!$A:$A,"&lt;"&amp;(A29+1),Revision_previa!$D:$D,"Falla")+COUNTIFS(Revision_previa!$B:$B,D29,Revision_previa!$A:$A,"&gt;="&amp;A29,Revision_previa!$A:$A,"&lt;"&amp;(A29+1),Revision_previa!$E:$E,"Falla")+COUNTIFS(Revision_previa!$B:$B,D29,Revision_previa!$A:$A,"&gt;="&amp;A29,Revision_previa!$A:$A,"&lt;"&amp;(A29+1),Revision_previa!$F:$F,"Falla")+COUNTIFS(Revision_previa!$B:$B,D29,Revision_previa!$A:$A,"&gt;="&amp;A29,Revision_previa!$A:$A,"&lt;"&amp;(A29+1),Revision_previa!$H:$H,"Encendido")&gt;0,"No apto","Apto")))</f>
        <v/>
      </c>
    </row>
    <row r="30" customFormat="false" ht="15" hidden="false" customHeight="false" outlineLevel="0" collapsed="false">
      <c r="A30" s="23"/>
      <c r="B30" s="9"/>
      <c r="C30" s="9"/>
      <c r="D30" s="9"/>
      <c r="E30" s="9" t="str">
        <f aca="false">IF(C30="","",IFERROR(INDEX(Conductores!$B:$B,MATCH(C30,Conductores!$A:$A,0)),"ID no encontrado"))</f>
        <v/>
      </c>
      <c r="F30" s="9" t="str">
        <f aca="false">IF(B30="","",IFERROR(INDEX(Rutas!$B:$B,MATCH(B30,Rutas!$A:$A,0)),"ID no encontrado"))</f>
        <v/>
      </c>
      <c r="G30" s="9" t="str">
        <f aca="false">IF(OR(B30="",C30="",D30=""),"",IF(OR(ISNA(MATCH(B30,Rutas!$A:$A,0)),ISNA(MATCH(C30,Conductores!$A:$A,0)),ISNA(MATCH(D30,Vehículos!$A:$A,0))),"REVISAR: ID no encontrado",IF(INDEX(Rutas!$C:$C,MATCH(B30,Rutas!$A:$A,0))&lt;&gt;INDEX(Vehículos!$B:$B,MATCH(D30,Vehículos!$A:$A,0)),"REVISAR: el vehículo no corresponde a la ruta",IF(INDEX(Rutas!$C:$C,MATCH(B30,Rutas!$A:$A,0))&lt;&gt;INDEX(Conductores!$D:$D,MATCH(C30,Conductores!$A:$A,0)),"REVISAR: el conductor no corresponde a la ruta",IF(OR(INDEX(Vehículos!$E:$E,MATCH(D30,Vehículos!$A:$A,0))="Taller",INDEX(Vehículos!$E:$E,MATCH(D30,Vehículos!$A:$A,0))="Fuera de servicio"),"REVISAR: vehículo no disponible",IF(INDEX(Conductores!$G:$G,MATCH(C30,Conductores!$A:$A,0))&lt;&gt;"Activo","REVISAR: conductor no activo",IF(COUNTIFS($A:$A,A30,$C:$C,C30)&gt;1,"REVISAR: conductor asignado dos veces",IF(COUNTIFS($A:$A,A30,$D:$D,D30)&gt;1,"REVISAR: vehículo asignado dos veces","OK"))))))))</f>
        <v/>
      </c>
      <c r="H30" s="9"/>
      <c r="I30" s="9"/>
      <c r="J30" s="14" t="str">
        <f aca="false">IF(OR(H30="",H30=0),"",I30/H30)</f>
        <v/>
      </c>
      <c r="K30" s="9"/>
      <c r="L30" s="9"/>
      <c r="M30" s="24"/>
      <c r="N30" s="9"/>
      <c r="O30" s="9" t="str">
        <f aca="false">IF(AND(OR(K30="En riesgo",K30="Atrasada"),L30=""),"Falta código de motivo",IF(AND(L30="OTR",N30=""),"Explica OTR en las notas",IF(AND(K30="Finalizada",I30&lt;H30,L30=""),"Falta código de motivo","")))</f>
        <v/>
      </c>
      <c r="P30" s="9" t="str">
        <f aca="false">IF(OR(D30="",A30=""),"",IF(COUNTIFS(Revision_previa!$B:$B,D30,Revision_previa!$A:$A,"&gt;="&amp;A30,Revision_previa!$A:$A,"&lt;"&amp;(A30+1))=0,"Sin revisión",IF(COUNTIFS(Revision_previa!$B:$B,D30,Revision_previa!$A:$A,"&gt;="&amp;A30,Revision_previa!$A:$A,"&lt;"&amp;(A30+1),Revision_previa!$D:$D,"Falla")+COUNTIFS(Revision_previa!$B:$B,D30,Revision_previa!$A:$A,"&gt;="&amp;A30,Revision_previa!$A:$A,"&lt;"&amp;(A30+1),Revision_previa!$E:$E,"Falla")+COUNTIFS(Revision_previa!$B:$B,D30,Revision_previa!$A:$A,"&gt;="&amp;A30,Revision_previa!$A:$A,"&lt;"&amp;(A30+1),Revision_previa!$F:$F,"Falla")+COUNTIFS(Revision_previa!$B:$B,D30,Revision_previa!$A:$A,"&gt;="&amp;A30,Revision_previa!$A:$A,"&lt;"&amp;(A30+1),Revision_previa!$H:$H,"Encendido")&gt;0,"No apto","Apto")))</f>
        <v/>
      </c>
    </row>
    <row r="31" customFormat="false" ht="15" hidden="false" customHeight="false" outlineLevel="0" collapsed="false">
      <c r="A31" s="23"/>
      <c r="B31" s="9"/>
      <c r="C31" s="9"/>
      <c r="D31" s="9"/>
      <c r="E31" s="9" t="str">
        <f aca="false">IF(C31="","",IFERROR(INDEX(Conductores!$B:$B,MATCH(C31,Conductores!$A:$A,0)),"ID no encontrado"))</f>
        <v/>
      </c>
      <c r="F31" s="9" t="str">
        <f aca="false">IF(B31="","",IFERROR(INDEX(Rutas!$B:$B,MATCH(B31,Rutas!$A:$A,0)),"ID no encontrado"))</f>
        <v/>
      </c>
      <c r="G31" s="9" t="str">
        <f aca="false">IF(OR(B31="",C31="",D31=""),"",IF(OR(ISNA(MATCH(B31,Rutas!$A:$A,0)),ISNA(MATCH(C31,Conductores!$A:$A,0)),ISNA(MATCH(D31,Vehículos!$A:$A,0))),"REVISAR: ID no encontrado",IF(INDEX(Rutas!$C:$C,MATCH(B31,Rutas!$A:$A,0))&lt;&gt;INDEX(Vehículos!$B:$B,MATCH(D31,Vehículos!$A:$A,0)),"REVISAR: el vehículo no corresponde a la ruta",IF(INDEX(Rutas!$C:$C,MATCH(B31,Rutas!$A:$A,0))&lt;&gt;INDEX(Conductores!$D:$D,MATCH(C31,Conductores!$A:$A,0)),"REVISAR: el conductor no corresponde a la ruta",IF(OR(INDEX(Vehículos!$E:$E,MATCH(D31,Vehículos!$A:$A,0))="Taller",INDEX(Vehículos!$E:$E,MATCH(D31,Vehículos!$A:$A,0))="Fuera de servicio"),"REVISAR: vehículo no disponible",IF(INDEX(Conductores!$G:$G,MATCH(C31,Conductores!$A:$A,0))&lt;&gt;"Activo","REVISAR: conductor no activo",IF(COUNTIFS($A:$A,A31,$C:$C,C31)&gt;1,"REVISAR: conductor asignado dos veces",IF(COUNTIFS($A:$A,A31,$D:$D,D31)&gt;1,"REVISAR: vehículo asignado dos veces","OK"))))))))</f>
        <v/>
      </c>
      <c r="H31" s="9"/>
      <c r="I31" s="9"/>
      <c r="J31" s="14" t="str">
        <f aca="false">IF(OR(H31="",H31=0),"",I31/H31)</f>
        <v/>
      </c>
      <c r="K31" s="9"/>
      <c r="L31" s="9"/>
      <c r="M31" s="24"/>
      <c r="N31" s="9"/>
      <c r="O31" s="9" t="str">
        <f aca="false">IF(AND(OR(K31="En riesgo",K31="Atrasada"),L31=""),"Falta código de motivo",IF(AND(L31="OTR",N31=""),"Explica OTR en las notas",IF(AND(K31="Finalizada",I31&lt;H31,L31=""),"Falta código de motivo","")))</f>
        <v/>
      </c>
      <c r="P31" s="9" t="str">
        <f aca="false">IF(OR(D31="",A31=""),"",IF(COUNTIFS(Revision_previa!$B:$B,D31,Revision_previa!$A:$A,"&gt;="&amp;A31,Revision_previa!$A:$A,"&lt;"&amp;(A31+1))=0,"Sin revisión",IF(COUNTIFS(Revision_previa!$B:$B,D31,Revision_previa!$A:$A,"&gt;="&amp;A31,Revision_previa!$A:$A,"&lt;"&amp;(A31+1),Revision_previa!$D:$D,"Falla")+COUNTIFS(Revision_previa!$B:$B,D31,Revision_previa!$A:$A,"&gt;="&amp;A31,Revision_previa!$A:$A,"&lt;"&amp;(A31+1),Revision_previa!$E:$E,"Falla")+COUNTIFS(Revision_previa!$B:$B,D31,Revision_previa!$A:$A,"&gt;="&amp;A31,Revision_previa!$A:$A,"&lt;"&amp;(A31+1),Revision_previa!$F:$F,"Falla")+COUNTIFS(Revision_previa!$B:$B,D31,Revision_previa!$A:$A,"&gt;="&amp;A31,Revision_previa!$A:$A,"&lt;"&amp;(A31+1),Revision_previa!$H:$H,"Encendido")&gt;0,"No apto","Apto")))</f>
        <v/>
      </c>
    </row>
    <row r="32" customFormat="false" ht="15" hidden="false" customHeight="false" outlineLevel="0" collapsed="false">
      <c r="A32" s="23"/>
      <c r="B32" s="9"/>
      <c r="C32" s="9"/>
      <c r="D32" s="9"/>
      <c r="E32" s="9" t="str">
        <f aca="false">IF(C32="","",IFERROR(INDEX(Conductores!$B:$B,MATCH(C32,Conductores!$A:$A,0)),"ID no encontrado"))</f>
        <v/>
      </c>
      <c r="F32" s="9" t="str">
        <f aca="false">IF(B32="","",IFERROR(INDEX(Rutas!$B:$B,MATCH(B32,Rutas!$A:$A,0)),"ID no encontrado"))</f>
        <v/>
      </c>
      <c r="G32" s="9" t="str">
        <f aca="false">IF(OR(B32="",C32="",D32=""),"",IF(OR(ISNA(MATCH(B32,Rutas!$A:$A,0)),ISNA(MATCH(C32,Conductores!$A:$A,0)),ISNA(MATCH(D32,Vehículos!$A:$A,0))),"REVISAR: ID no encontrado",IF(INDEX(Rutas!$C:$C,MATCH(B32,Rutas!$A:$A,0))&lt;&gt;INDEX(Vehículos!$B:$B,MATCH(D32,Vehículos!$A:$A,0)),"REVISAR: el vehículo no corresponde a la ruta",IF(INDEX(Rutas!$C:$C,MATCH(B32,Rutas!$A:$A,0))&lt;&gt;INDEX(Conductores!$D:$D,MATCH(C32,Conductores!$A:$A,0)),"REVISAR: el conductor no corresponde a la ruta",IF(OR(INDEX(Vehículos!$E:$E,MATCH(D32,Vehículos!$A:$A,0))="Taller",INDEX(Vehículos!$E:$E,MATCH(D32,Vehículos!$A:$A,0))="Fuera de servicio"),"REVISAR: vehículo no disponible",IF(INDEX(Conductores!$G:$G,MATCH(C32,Conductores!$A:$A,0))&lt;&gt;"Activo","REVISAR: conductor no activo",IF(COUNTIFS($A:$A,A32,$C:$C,C32)&gt;1,"REVISAR: conductor asignado dos veces",IF(COUNTIFS($A:$A,A32,$D:$D,D32)&gt;1,"REVISAR: vehículo asignado dos veces","OK"))))))))</f>
        <v/>
      </c>
      <c r="H32" s="9"/>
      <c r="I32" s="9"/>
      <c r="J32" s="14" t="str">
        <f aca="false">IF(OR(H32="",H32=0),"",I32/H32)</f>
        <v/>
      </c>
      <c r="K32" s="9"/>
      <c r="L32" s="9"/>
      <c r="M32" s="24"/>
      <c r="N32" s="9"/>
      <c r="O32" s="9" t="str">
        <f aca="false">IF(AND(OR(K32="En riesgo",K32="Atrasada"),L32=""),"Falta código de motivo",IF(AND(L32="OTR",N32=""),"Explica OTR en las notas",IF(AND(K32="Finalizada",I32&lt;H32,L32=""),"Falta código de motivo","")))</f>
        <v/>
      </c>
      <c r="P32" s="9" t="str">
        <f aca="false">IF(OR(D32="",A32=""),"",IF(COUNTIFS(Revision_previa!$B:$B,D32,Revision_previa!$A:$A,"&gt;="&amp;A32,Revision_previa!$A:$A,"&lt;"&amp;(A32+1))=0,"Sin revisión",IF(COUNTIFS(Revision_previa!$B:$B,D32,Revision_previa!$A:$A,"&gt;="&amp;A32,Revision_previa!$A:$A,"&lt;"&amp;(A32+1),Revision_previa!$D:$D,"Falla")+COUNTIFS(Revision_previa!$B:$B,D32,Revision_previa!$A:$A,"&gt;="&amp;A32,Revision_previa!$A:$A,"&lt;"&amp;(A32+1),Revision_previa!$E:$E,"Falla")+COUNTIFS(Revision_previa!$B:$B,D32,Revision_previa!$A:$A,"&gt;="&amp;A32,Revision_previa!$A:$A,"&lt;"&amp;(A32+1),Revision_previa!$F:$F,"Falla")+COUNTIFS(Revision_previa!$B:$B,D32,Revision_previa!$A:$A,"&gt;="&amp;A32,Revision_previa!$A:$A,"&lt;"&amp;(A32+1),Revision_previa!$H:$H,"Encendido")&gt;0,"No apto","Apto")))</f>
        <v/>
      </c>
    </row>
    <row r="33" customFormat="false" ht="15" hidden="false" customHeight="false" outlineLevel="0" collapsed="false">
      <c r="A33" s="23"/>
      <c r="B33" s="9"/>
      <c r="C33" s="9"/>
      <c r="D33" s="9"/>
      <c r="E33" s="9" t="str">
        <f aca="false">IF(C33="","",IFERROR(INDEX(Conductores!$B:$B,MATCH(C33,Conductores!$A:$A,0)),"ID no encontrado"))</f>
        <v/>
      </c>
      <c r="F33" s="9" t="str">
        <f aca="false">IF(B33="","",IFERROR(INDEX(Rutas!$B:$B,MATCH(B33,Rutas!$A:$A,0)),"ID no encontrado"))</f>
        <v/>
      </c>
      <c r="G33" s="9" t="str">
        <f aca="false">IF(OR(B33="",C33="",D33=""),"",IF(OR(ISNA(MATCH(B33,Rutas!$A:$A,0)),ISNA(MATCH(C33,Conductores!$A:$A,0)),ISNA(MATCH(D33,Vehículos!$A:$A,0))),"REVISAR: ID no encontrado",IF(INDEX(Rutas!$C:$C,MATCH(B33,Rutas!$A:$A,0))&lt;&gt;INDEX(Vehículos!$B:$B,MATCH(D33,Vehículos!$A:$A,0)),"REVISAR: el vehículo no corresponde a la ruta",IF(INDEX(Rutas!$C:$C,MATCH(B33,Rutas!$A:$A,0))&lt;&gt;INDEX(Conductores!$D:$D,MATCH(C33,Conductores!$A:$A,0)),"REVISAR: el conductor no corresponde a la ruta",IF(OR(INDEX(Vehículos!$E:$E,MATCH(D33,Vehículos!$A:$A,0))="Taller",INDEX(Vehículos!$E:$E,MATCH(D33,Vehículos!$A:$A,0))="Fuera de servicio"),"REVISAR: vehículo no disponible",IF(INDEX(Conductores!$G:$G,MATCH(C33,Conductores!$A:$A,0))&lt;&gt;"Activo","REVISAR: conductor no activo",IF(COUNTIFS($A:$A,A33,$C:$C,C33)&gt;1,"REVISAR: conductor asignado dos veces",IF(COUNTIFS($A:$A,A33,$D:$D,D33)&gt;1,"REVISAR: vehículo asignado dos veces","OK"))))))))</f>
        <v/>
      </c>
      <c r="H33" s="9"/>
      <c r="I33" s="9"/>
      <c r="J33" s="14" t="str">
        <f aca="false">IF(OR(H33="",H33=0),"",I33/H33)</f>
        <v/>
      </c>
      <c r="K33" s="9"/>
      <c r="L33" s="9"/>
      <c r="M33" s="24"/>
      <c r="N33" s="9"/>
      <c r="O33" s="9" t="str">
        <f aca="false">IF(AND(OR(K33="En riesgo",K33="Atrasada"),L33=""),"Falta código de motivo",IF(AND(L33="OTR",N33=""),"Explica OTR en las notas",IF(AND(K33="Finalizada",I33&lt;H33,L33=""),"Falta código de motivo","")))</f>
        <v/>
      </c>
      <c r="P33" s="9" t="str">
        <f aca="false">IF(OR(D33="",A33=""),"",IF(COUNTIFS(Revision_previa!$B:$B,D33,Revision_previa!$A:$A,"&gt;="&amp;A33,Revision_previa!$A:$A,"&lt;"&amp;(A33+1))=0,"Sin revisión",IF(COUNTIFS(Revision_previa!$B:$B,D33,Revision_previa!$A:$A,"&gt;="&amp;A33,Revision_previa!$A:$A,"&lt;"&amp;(A33+1),Revision_previa!$D:$D,"Falla")+COUNTIFS(Revision_previa!$B:$B,D33,Revision_previa!$A:$A,"&gt;="&amp;A33,Revision_previa!$A:$A,"&lt;"&amp;(A33+1),Revision_previa!$E:$E,"Falla")+COUNTIFS(Revision_previa!$B:$B,D33,Revision_previa!$A:$A,"&gt;="&amp;A33,Revision_previa!$A:$A,"&lt;"&amp;(A33+1),Revision_previa!$F:$F,"Falla")+COUNTIFS(Revision_previa!$B:$B,D33,Revision_previa!$A:$A,"&gt;="&amp;A33,Revision_previa!$A:$A,"&lt;"&amp;(A33+1),Revision_previa!$H:$H,"Encendido")&gt;0,"No apto","Apto")))</f>
        <v/>
      </c>
    </row>
    <row r="34" customFormat="false" ht="15" hidden="false" customHeight="false" outlineLevel="0" collapsed="false">
      <c r="A34" s="23"/>
      <c r="B34" s="9"/>
      <c r="C34" s="9"/>
      <c r="D34" s="9"/>
      <c r="E34" s="9" t="str">
        <f aca="false">IF(C34="","",IFERROR(INDEX(Conductores!$B:$B,MATCH(C34,Conductores!$A:$A,0)),"ID no encontrado"))</f>
        <v/>
      </c>
      <c r="F34" s="9" t="str">
        <f aca="false">IF(B34="","",IFERROR(INDEX(Rutas!$B:$B,MATCH(B34,Rutas!$A:$A,0)),"ID no encontrado"))</f>
        <v/>
      </c>
      <c r="G34" s="9" t="str">
        <f aca="false">IF(OR(B34="",C34="",D34=""),"",IF(OR(ISNA(MATCH(B34,Rutas!$A:$A,0)),ISNA(MATCH(C34,Conductores!$A:$A,0)),ISNA(MATCH(D34,Vehículos!$A:$A,0))),"REVISAR: ID no encontrado",IF(INDEX(Rutas!$C:$C,MATCH(B34,Rutas!$A:$A,0))&lt;&gt;INDEX(Vehículos!$B:$B,MATCH(D34,Vehículos!$A:$A,0)),"REVISAR: el vehículo no corresponde a la ruta",IF(INDEX(Rutas!$C:$C,MATCH(B34,Rutas!$A:$A,0))&lt;&gt;INDEX(Conductores!$D:$D,MATCH(C34,Conductores!$A:$A,0)),"REVISAR: el conductor no corresponde a la ruta",IF(OR(INDEX(Vehículos!$E:$E,MATCH(D34,Vehículos!$A:$A,0))="Taller",INDEX(Vehículos!$E:$E,MATCH(D34,Vehículos!$A:$A,0))="Fuera de servicio"),"REVISAR: vehículo no disponible",IF(INDEX(Conductores!$G:$G,MATCH(C34,Conductores!$A:$A,0))&lt;&gt;"Activo","REVISAR: conductor no activo",IF(COUNTIFS($A:$A,A34,$C:$C,C34)&gt;1,"REVISAR: conductor asignado dos veces",IF(COUNTIFS($A:$A,A34,$D:$D,D34)&gt;1,"REVISAR: vehículo asignado dos veces","OK"))))))))</f>
        <v/>
      </c>
      <c r="H34" s="9"/>
      <c r="I34" s="9"/>
      <c r="J34" s="14" t="str">
        <f aca="false">IF(OR(H34="",H34=0),"",I34/H34)</f>
        <v/>
      </c>
      <c r="K34" s="9"/>
      <c r="L34" s="9"/>
      <c r="M34" s="24"/>
      <c r="N34" s="9"/>
      <c r="O34" s="9" t="str">
        <f aca="false">IF(AND(OR(K34="En riesgo",K34="Atrasada"),L34=""),"Falta código de motivo",IF(AND(L34="OTR",N34=""),"Explica OTR en las notas",IF(AND(K34="Finalizada",I34&lt;H34,L34=""),"Falta código de motivo","")))</f>
        <v/>
      </c>
      <c r="P34" s="9" t="str">
        <f aca="false">IF(OR(D34="",A34=""),"",IF(COUNTIFS(Revision_previa!$B:$B,D34,Revision_previa!$A:$A,"&gt;="&amp;A34,Revision_previa!$A:$A,"&lt;"&amp;(A34+1))=0,"Sin revisión",IF(COUNTIFS(Revision_previa!$B:$B,D34,Revision_previa!$A:$A,"&gt;="&amp;A34,Revision_previa!$A:$A,"&lt;"&amp;(A34+1),Revision_previa!$D:$D,"Falla")+COUNTIFS(Revision_previa!$B:$B,D34,Revision_previa!$A:$A,"&gt;="&amp;A34,Revision_previa!$A:$A,"&lt;"&amp;(A34+1),Revision_previa!$E:$E,"Falla")+COUNTIFS(Revision_previa!$B:$B,D34,Revision_previa!$A:$A,"&gt;="&amp;A34,Revision_previa!$A:$A,"&lt;"&amp;(A34+1),Revision_previa!$F:$F,"Falla")+COUNTIFS(Revision_previa!$B:$B,D34,Revision_previa!$A:$A,"&gt;="&amp;A34,Revision_previa!$A:$A,"&lt;"&amp;(A34+1),Revision_previa!$H:$H,"Encendido")&gt;0,"No apto","Apto")))</f>
        <v/>
      </c>
    </row>
    <row r="35" customFormat="false" ht="15" hidden="false" customHeight="false" outlineLevel="0" collapsed="false">
      <c r="A35" s="23"/>
      <c r="B35" s="9"/>
      <c r="C35" s="9"/>
      <c r="D35" s="9"/>
      <c r="E35" s="9" t="str">
        <f aca="false">IF(C35="","",IFERROR(INDEX(Conductores!$B:$B,MATCH(C35,Conductores!$A:$A,0)),"ID no encontrado"))</f>
        <v/>
      </c>
      <c r="F35" s="9" t="str">
        <f aca="false">IF(B35="","",IFERROR(INDEX(Rutas!$B:$B,MATCH(B35,Rutas!$A:$A,0)),"ID no encontrado"))</f>
        <v/>
      </c>
      <c r="G35" s="9" t="str">
        <f aca="false">IF(OR(B35="",C35="",D35=""),"",IF(OR(ISNA(MATCH(B35,Rutas!$A:$A,0)),ISNA(MATCH(C35,Conductores!$A:$A,0)),ISNA(MATCH(D35,Vehículos!$A:$A,0))),"REVISAR: ID no encontrado",IF(INDEX(Rutas!$C:$C,MATCH(B35,Rutas!$A:$A,0))&lt;&gt;INDEX(Vehículos!$B:$B,MATCH(D35,Vehículos!$A:$A,0)),"REVISAR: el vehículo no corresponde a la ruta",IF(INDEX(Rutas!$C:$C,MATCH(B35,Rutas!$A:$A,0))&lt;&gt;INDEX(Conductores!$D:$D,MATCH(C35,Conductores!$A:$A,0)),"REVISAR: el conductor no corresponde a la ruta",IF(OR(INDEX(Vehículos!$E:$E,MATCH(D35,Vehículos!$A:$A,0))="Taller",INDEX(Vehículos!$E:$E,MATCH(D35,Vehículos!$A:$A,0))="Fuera de servicio"),"REVISAR: vehículo no disponible",IF(INDEX(Conductores!$G:$G,MATCH(C35,Conductores!$A:$A,0))&lt;&gt;"Activo","REVISAR: conductor no activo",IF(COUNTIFS($A:$A,A35,$C:$C,C35)&gt;1,"REVISAR: conductor asignado dos veces",IF(COUNTIFS($A:$A,A35,$D:$D,D35)&gt;1,"REVISAR: vehículo asignado dos veces","OK"))))))))</f>
        <v/>
      </c>
      <c r="H35" s="9"/>
      <c r="I35" s="9"/>
      <c r="J35" s="14" t="str">
        <f aca="false">IF(OR(H35="",H35=0),"",I35/H35)</f>
        <v/>
      </c>
      <c r="K35" s="9"/>
      <c r="L35" s="9"/>
      <c r="M35" s="24"/>
      <c r="N35" s="9"/>
      <c r="O35" s="9" t="str">
        <f aca="false">IF(AND(OR(K35="En riesgo",K35="Atrasada"),L35=""),"Falta código de motivo",IF(AND(L35="OTR",N35=""),"Explica OTR en las notas",IF(AND(K35="Finalizada",I35&lt;H35,L35=""),"Falta código de motivo","")))</f>
        <v/>
      </c>
      <c r="P35" s="9" t="str">
        <f aca="false">IF(OR(D35="",A35=""),"",IF(COUNTIFS(Revision_previa!$B:$B,D35,Revision_previa!$A:$A,"&gt;="&amp;A35,Revision_previa!$A:$A,"&lt;"&amp;(A35+1))=0,"Sin revisión",IF(COUNTIFS(Revision_previa!$B:$B,D35,Revision_previa!$A:$A,"&gt;="&amp;A35,Revision_previa!$A:$A,"&lt;"&amp;(A35+1),Revision_previa!$D:$D,"Falla")+COUNTIFS(Revision_previa!$B:$B,D35,Revision_previa!$A:$A,"&gt;="&amp;A35,Revision_previa!$A:$A,"&lt;"&amp;(A35+1),Revision_previa!$E:$E,"Falla")+COUNTIFS(Revision_previa!$B:$B,D35,Revision_previa!$A:$A,"&gt;="&amp;A35,Revision_previa!$A:$A,"&lt;"&amp;(A35+1),Revision_previa!$F:$F,"Falla")+COUNTIFS(Revision_previa!$B:$B,D35,Revision_previa!$A:$A,"&gt;="&amp;A35,Revision_previa!$A:$A,"&lt;"&amp;(A35+1),Revision_previa!$H:$H,"Encendido")&gt;0,"No apto","Apto")))</f>
        <v/>
      </c>
    </row>
    <row r="36" customFormat="false" ht="15" hidden="false" customHeight="false" outlineLevel="0" collapsed="false">
      <c r="A36" s="23"/>
      <c r="B36" s="9"/>
      <c r="C36" s="9"/>
      <c r="D36" s="9"/>
      <c r="E36" s="9" t="str">
        <f aca="false">IF(C36="","",IFERROR(INDEX(Conductores!$B:$B,MATCH(C36,Conductores!$A:$A,0)),"ID no encontrado"))</f>
        <v/>
      </c>
      <c r="F36" s="9" t="str">
        <f aca="false">IF(B36="","",IFERROR(INDEX(Rutas!$B:$B,MATCH(B36,Rutas!$A:$A,0)),"ID no encontrado"))</f>
        <v/>
      </c>
      <c r="G36" s="9" t="str">
        <f aca="false">IF(OR(B36="",C36="",D36=""),"",IF(OR(ISNA(MATCH(B36,Rutas!$A:$A,0)),ISNA(MATCH(C36,Conductores!$A:$A,0)),ISNA(MATCH(D36,Vehículos!$A:$A,0))),"REVISAR: ID no encontrado",IF(INDEX(Rutas!$C:$C,MATCH(B36,Rutas!$A:$A,0))&lt;&gt;INDEX(Vehículos!$B:$B,MATCH(D36,Vehículos!$A:$A,0)),"REVISAR: el vehículo no corresponde a la ruta",IF(INDEX(Rutas!$C:$C,MATCH(B36,Rutas!$A:$A,0))&lt;&gt;INDEX(Conductores!$D:$D,MATCH(C36,Conductores!$A:$A,0)),"REVISAR: el conductor no corresponde a la ruta",IF(OR(INDEX(Vehículos!$E:$E,MATCH(D36,Vehículos!$A:$A,0))="Taller",INDEX(Vehículos!$E:$E,MATCH(D36,Vehículos!$A:$A,0))="Fuera de servicio"),"REVISAR: vehículo no disponible",IF(INDEX(Conductores!$G:$G,MATCH(C36,Conductores!$A:$A,0))&lt;&gt;"Activo","REVISAR: conductor no activo",IF(COUNTIFS($A:$A,A36,$C:$C,C36)&gt;1,"REVISAR: conductor asignado dos veces",IF(COUNTIFS($A:$A,A36,$D:$D,D36)&gt;1,"REVISAR: vehículo asignado dos veces","OK"))))))))</f>
        <v/>
      </c>
      <c r="H36" s="9"/>
      <c r="I36" s="9"/>
      <c r="J36" s="14" t="str">
        <f aca="false">IF(OR(H36="",H36=0),"",I36/H36)</f>
        <v/>
      </c>
      <c r="K36" s="9"/>
      <c r="L36" s="9"/>
      <c r="M36" s="24"/>
      <c r="N36" s="9"/>
      <c r="O36" s="9" t="str">
        <f aca="false">IF(AND(OR(K36="En riesgo",K36="Atrasada"),L36=""),"Falta código de motivo",IF(AND(L36="OTR",N36=""),"Explica OTR en las notas",IF(AND(K36="Finalizada",I36&lt;H36,L36=""),"Falta código de motivo","")))</f>
        <v/>
      </c>
      <c r="P36" s="9" t="str">
        <f aca="false">IF(OR(D36="",A36=""),"",IF(COUNTIFS(Revision_previa!$B:$B,D36,Revision_previa!$A:$A,"&gt;="&amp;A36,Revision_previa!$A:$A,"&lt;"&amp;(A36+1))=0,"Sin revisión",IF(COUNTIFS(Revision_previa!$B:$B,D36,Revision_previa!$A:$A,"&gt;="&amp;A36,Revision_previa!$A:$A,"&lt;"&amp;(A36+1),Revision_previa!$D:$D,"Falla")+COUNTIFS(Revision_previa!$B:$B,D36,Revision_previa!$A:$A,"&gt;="&amp;A36,Revision_previa!$A:$A,"&lt;"&amp;(A36+1),Revision_previa!$E:$E,"Falla")+COUNTIFS(Revision_previa!$B:$B,D36,Revision_previa!$A:$A,"&gt;="&amp;A36,Revision_previa!$A:$A,"&lt;"&amp;(A36+1),Revision_previa!$F:$F,"Falla")+COUNTIFS(Revision_previa!$B:$B,D36,Revision_previa!$A:$A,"&gt;="&amp;A36,Revision_previa!$A:$A,"&lt;"&amp;(A36+1),Revision_previa!$H:$H,"Encendido")&gt;0,"No apto","Apto")))</f>
        <v/>
      </c>
    </row>
    <row r="37" customFormat="false" ht="15" hidden="false" customHeight="false" outlineLevel="0" collapsed="false">
      <c r="A37" s="23"/>
      <c r="B37" s="9"/>
      <c r="C37" s="9"/>
      <c r="D37" s="9"/>
      <c r="E37" s="9" t="str">
        <f aca="false">IF(C37="","",IFERROR(INDEX(Conductores!$B:$B,MATCH(C37,Conductores!$A:$A,0)),"ID no encontrado"))</f>
        <v/>
      </c>
      <c r="F37" s="9" t="str">
        <f aca="false">IF(B37="","",IFERROR(INDEX(Rutas!$B:$B,MATCH(B37,Rutas!$A:$A,0)),"ID no encontrado"))</f>
        <v/>
      </c>
      <c r="G37" s="9" t="str">
        <f aca="false">IF(OR(B37="",C37="",D37=""),"",IF(OR(ISNA(MATCH(B37,Rutas!$A:$A,0)),ISNA(MATCH(C37,Conductores!$A:$A,0)),ISNA(MATCH(D37,Vehículos!$A:$A,0))),"REVISAR: ID no encontrado",IF(INDEX(Rutas!$C:$C,MATCH(B37,Rutas!$A:$A,0))&lt;&gt;INDEX(Vehículos!$B:$B,MATCH(D37,Vehículos!$A:$A,0)),"REVISAR: el vehículo no corresponde a la ruta",IF(INDEX(Rutas!$C:$C,MATCH(B37,Rutas!$A:$A,0))&lt;&gt;INDEX(Conductores!$D:$D,MATCH(C37,Conductores!$A:$A,0)),"REVISAR: el conductor no corresponde a la ruta",IF(OR(INDEX(Vehículos!$E:$E,MATCH(D37,Vehículos!$A:$A,0))="Taller",INDEX(Vehículos!$E:$E,MATCH(D37,Vehículos!$A:$A,0))="Fuera de servicio"),"REVISAR: vehículo no disponible",IF(INDEX(Conductores!$G:$G,MATCH(C37,Conductores!$A:$A,0))&lt;&gt;"Activo","REVISAR: conductor no activo",IF(COUNTIFS($A:$A,A37,$C:$C,C37)&gt;1,"REVISAR: conductor asignado dos veces",IF(COUNTIFS($A:$A,A37,$D:$D,D37)&gt;1,"REVISAR: vehículo asignado dos veces","OK"))))))))</f>
        <v/>
      </c>
      <c r="H37" s="9"/>
      <c r="I37" s="9"/>
      <c r="J37" s="14" t="str">
        <f aca="false">IF(OR(H37="",H37=0),"",I37/H37)</f>
        <v/>
      </c>
      <c r="K37" s="9"/>
      <c r="L37" s="9"/>
      <c r="M37" s="24"/>
      <c r="N37" s="9"/>
      <c r="O37" s="9" t="str">
        <f aca="false">IF(AND(OR(K37="En riesgo",K37="Atrasada"),L37=""),"Falta código de motivo",IF(AND(L37="OTR",N37=""),"Explica OTR en las notas",IF(AND(K37="Finalizada",I37&lt;H37,L37=""),"Falta código de motivo","")))</f>
        <v/>
      </c>
      <c r="P37" s="9" t="str">
        <f aca="false">IF(OR(D37="",A37=""),"",IF(COUNTIFS(Revision_previa!$B:$B,D37,Revision_previa!$A:$A,"&gt;="&amp;A37,Revision_previa!$A:$A,"&lt;"&amp;(A37+1))=0,"Sin revisión",IF(COUNTIFS(Revision_previa!$B:$B,D37,Revision_previa!$A:$A,"&gt;="&amp;A37,Revision_previa!$A:$A,"&lt;"&amp;(A37+1),Revision_previa!$D:$D,"Falla")+COUNTIFS(Revision_previa!$B:$B,D37,Revision_previa!$A:$A,"&gt;="&amp;A37,Revision_previa!$A:$A,"&lt;"&amp;(A37+1),Revision_previa!$E:$E,"Falla")+COUNTIFS(Revision_previa!$B:$B,D37,Revision_previa!$A:$A,"&gt;="&amp;A37,Revision_previa!$A:$A,"&lt;"&amp;(A37+1),Revision_previa!$F:$F,"Falla")+COUNTIFS(Revision_previa!$B:$B,D37,Revision_previa!$A:$A,"&gt;="&amp;A37,Revision_previa!$A:$A,"&lt;"&amp;(A37+1),Revision_previa!$H:$H,"Encendido")&gt;0,"No apto","Apto")))</f>
        <v/>
      </c>
    </row>
    <row r="38" customFormat="false" ht="15" hidden="false" customHeight="false" outlineLevel="0" collapsed="false">
      <c r="A38" s="23"/>
      <c r="B38" s="9"/>
      <c r="C38" s="9"/>
      <c r="D38" s="9"/>
      <c r="E38" s="9" t="str">
        <f aca="false">IF(C38="","",IFERROR(INDEX(Conductores!$B:$B,MATCH(C38,Conductores!$A:$A,0)),"ID no encontrado"))</f>
        <v/>
      </c>
      <c r="F38" s="9" t="str">
        <f aca="false">IF(B38="","",IFERROR(INDEX(Rutas!$B:$B,MATCH(B38,Rutas!$A:$A,0)),"ID no encontrado"))</f>
        <v/>
      </c>
      <c r="G38" s="9" t="str">
        <f aca="false">IF(OR(B38="",C38="",D38=""),"",IF(OR(ISNA(MATCH(B38,Rutas!$A:$A,0)),ISNA(MATCH(C38,Conductores!$A:$A,0)),ISNA(MATCH(D38,Vehículos!$A:$A,0))),"REVISAR: ID no encontrado",IF(INDEX(Rutas!$C:$C,MATCH(B38,Rutas!$A:$A,0))&lt;&gt;INDEX(Vehículos!$B:$B,MATCH(D38,Vehículos!$A:$A,0)),"REVISAR: el vehículo no corresponde a la ruta",IF(INDEX(Rutas!$C:$C,MATCH(B38,Rutas!$A:$A,0))&lt;&gt;INDEX(Conductores!$D:$D,MATCH(C38,Conductores!$A:$A,0)),"REVISAR: el conductor no corresponde a la ruta",IF(OR(INDEX(Vehículos!$E:$E,MATCH(D38,Vehículos!$A:$A,0))="Taller",INDEX(Vehículos!$E:$E,MATCH(D38,Vehículos!$A:$A,0))="Fuera de servicio"),"REVISAR: vehículo no disponible",IF(INDEX(Conductores!$G:$G,MATCH(C38,Conductores!$A:$A,0))&lt;&gt;"Activo","REVISAR: conductor no activo",IF(COUNTIFS($A:$A,A38,$C:$C,C38)&gt;1,"REVISAR: conductor asignado dos veces",IF(COUNTIFS($A:$A,A38,$D:$D,D38)&gt;1,"REVISAR: vehículo asignado dos veces","OK"))))))))</f>
        <v/>
      </c>
      <c r="H38" s="9"/>
      <c r="I38" s="9"/>
      <c r="J38" s="14" t="str">
        <f aca="false">IF(OR(H38="",H38=0),"",I38/H38)</f>
        <v/>
      </c>
      <c r="K38" s="9"/>
      <c r="L38" s="9"/>
      <c r="M38" s="24"/>
      <c r="N38" s="9"/>
      <c r="O38" s="9" t="str">
        <f aca="false">IF(AND(OR(K38="En riesgo",K38="Atrasada"),L38=""),"Falta código de motivo",IF(AND(L38="OTR",N38=""),"Explica OTR en las notas",IF(AND(K38="Finalizada",I38&lt;H38,L38=""),"Falta código de motivo","")))</f>
        <v/>
      </c>
      <c r="P38" s="9" t="str">
        <f aca="false">IF(OR(D38="",A38=""),"",IF(COUNTIFS(Revision_previa!$B:$B,D38,Revision_previa!$A:$A,"&gt;="&amp;A38,Revision_previa!$A:$A,"&lt;"&amp;(A38+1))=0,"Sin revisión",IF(COUNTIFS(Revision_previa!$B:$B,D38,Revision_previa!$A:$A,"&gt;="&amp;A38,Revision_previa!$A:$A,"&lt;"&amp;(A38+1),Revision_previa!$D:$D,"Falla")+COUNTIFS(Revision_previa!$B:$B,D38,Revision_previa!$A:$A,"&gt;="&amp;A38,Revision_previa!$A:$A,"&lt;"&amp;(A38+1),Revision_previa!$E:$E,"Falla")+COUNTIFS(Revision_previa!$B:$B,D38,Revision_previa!$A:$A,"&gt;="&amp;A38,Revision_previa!$A:$A,"&lt;"&amp;(A38+1),Revision_previa!$F:$F,"Falla")+COUNTIFS(Revision_previa!$B:$B,D38,Revision_previa!$A:$A,"&gt;="&amp;A38,Revision_previa!$A:$A,"&lt;"&amp;(A38+1),Revision_previa!$H:$H,"Encendido")&gt;0,"No apto","Apto")))</f>
        <v/>
      </c>
    </row>
    <row r="39" customFormat="false" ht="15" hidden="false" customHeight="false" outlineLevel="0" collapsed="false">
      <c r="A39" s="23"/>
      <c r="B39" s="9"/>
      <c r="C39" s="9"/>
      <c r="D39" s="9"/>
      <c r="E39" s="9" t="str">
        <f aca="false">IF(C39="","",IFERROR(INDEX(Conductores!$B:$B,MATCH(C39,Conductores!$A:$A,0)),"ID no encontrado"))</f>
        <v/>
      </c>
      <c r="F39" s="9" t="str">
        <f aca="false">IF(B39="","",IFERROR(INDEX(Rutas!$B:$B,MATCH(B39,Rutas!$A:$A,0)),"ID no encontrado"))</f>
        <v/>
      </c>
      <c r="G39" s="9" t="str">
        <f aca="false">IF(OR(B39="",C39="",D39=""),"",IF(OR(ISNA(MATCH(B39,Rutas!$A:$A,0)),ISNA(MATCH(C39,Conductores!$A:$A,0)),ISNA(MATCH(D39,Vehículos!$A:$A,0))),"REVISAR: ID no encontrado",IF(INDEX(Rutas!$C:$C,MATCH(B39,Rutas!$A:$A,0))&lt;&gt;INDEX(Vehículos!$B:$B,MATCH(D39,Vehículos!$A:$A,0)),"REVISAR: el vehículo no corresponde a la ruta",IF(INDEX(Rutas!$C:$C,MATCH(B39,Rutas!$A:$A,0))&lt;&gt;INDEX(Conductores!$D:$D,MATCH(C39,Conductores!$A:$A,0)),"REVISAR: el conductor no corresponde a la ruta",IF(OR(INDEX(Vehículos!$E:$E,MATCH(D39,Vehículos!$A:$A,0))="Taller",INDEX(Vehículos!$E:$E,MATCH(D39,Vehículos!$A:$A,0))="Fuera de servicio"),"REVISAR: vehículo no disponible",IF(INDEX(Conductores!$G:$G,MATCH(C39,Conductores!$A:$A,0))&lt;&gt;"Activo","REVISAR: conductor no activo",IF(COUNTIFS($A:$A,A39,$C:$C,C39)&gt;1,"REVISAR: conductor asignado dos veces",IF(COUNTIFS($A:$A,A39,$D:$D,D39)&gt;1,"REVISAR: vehículo asignado dos veces","OK"))))))))</f>
        <v/>
      </c>
      <c r="H39" s="9"/>
      <c r="I39" s="9"/>
      <c r="J39" s="14" t="str">
        <f aca="false">IF(OR(H39="",H39=0),"",I39/H39)</f>
        <v/>
      </c>
      <c r="K39" s="9"/>
      <c r="L39" s="9"/>
      <c r="M39" s="24"/>
      <c r="N39" s="9"/>
      <c r="O39" s="9" t="str">
        <f aca="false">IF(AND(OR(K39="En riesgo",K39="Atrasada"),L39=""),"Falta código de motivo",IF(AND(L39="OTR",N39=""),"Explica OTR en las notas",IF(AND(K39="Finalizada",I39&lt;H39,L39=""),"Falta código de motivo","")))</f>
        <v/>
      </c>
      <c r="P39" s="9" t="str">
        <f aca="false">IF(OR(D39="",A39=""),"",IF(COUNTIFS(Revision_previa!$B:$B,D39,Revision_previa!$A:$A,"&gt;="&amp;A39,Revision_previa!$A:$A,"&lt;"&amp;(A39+1))=0,"Sin revisión",IF(COUNTIFS(Revision_previa!$B:$B,D39,Revision_previa!$A:$A,"&gt;="&amp;A39,Revision_previa!$A:$A,"&lt;"&amp;(A39+1),Revision_previa!$D:$D,"Falla")+COUNTIFS(Revision_previa!$B:$B,D39,Revision_previa!$A:$A,"&gt;="&amp;A39,Revision_previa!$A:$A,"&lt;"&amp;(A39+1),Revision_previa!$E:$E,"Falla")+COUNTIFS(Revision_previa!$B:$B,D39,Revision_previa!$A:$A,"&gt;="&amp;A39,Revision_previa!$A:$A,"&lt;"&amp;(A39+1),Revision_previa!$F:$F,"Falla")+COUNTIFS(Revision_previa!$B:$B,D39,Revision_previa!$A:$A,"&gt;="&amp;A39,Revision_previa!$A:$A,"&lt;"&amp;(A39+1),Revision_previa!$H:$H,"Encendido")&gt;0,"No apto","Apto")))</f>
        <v/>
      </c>
    </row>
    <row r="40" customFormat="false" ht="15" hidden="false" customHeight="false" outlineLevel="0" collapsed="false">
      <c r="A40" s="23"/>
      <c r="B40" s="9"/>
      <c r="C40" s="9"/>
      <c r="D40" s="9"/>
      <c r="E40" s="9" t="str">
        <f aca="false">IF(C40="","",IFERROR(INDEX(Conductores!$B:$B,MATCH(C40,Conductores!$A:$A,0)),"ID no encontrado"))</f>
        <v/>
      </c>
      <c r="F40" s="9" t="str">
        <f aca="false">IF(B40="","",IFERROR(INDEX(Rutas!$B:$B,MATCH(B40,Rutas!$A:$A,0)),"ID no encontrado"))</f>
        <v/>
      </c>
      <c r="G40" s="9" t="str">
        <f aca="false">IF(OR(B40="",C40="",D40=""),"",IF(OR(ISNA(MATCH(B40,Rutas!$A:$A,0)),ISNA(MATCH(C40,Conductores!$A:$A,0)),ISNA(MATCH(D40,Vehículos!$A:$A,0))),"REVISAR: ID no encontrado",IF(INDEX(Rutas!$C:$C,MATCH(B40,Rutas!$A:$A,0))&lt;&gt;INDEX(Vehículos!$B:$B,MATCH(D40,Vehículos!$A:$A,0)),"REVISAR: el vehículo no corresponde a la ruta",IF(INDEX(Rutas!$C:$C,MATCH(B40,Rutas!$A:$A,0))&lt;&gt;INDEX(Conductores!$D:$D,MATCH(C40,Conductores!$A:$A,0)),"REVISAR: el conductor no corresponde a la ruta",IF(OR(INDEX(Vehículos!$E:$E,MATCH(D40,Vehículos!$A:$A,0))="Taller",INDEX(Vehículos!$E:$E,MATCH(D40,Vehículos!$A:$A,0))="Fuera de servicio"),"REVISAR: vehículo no disponible",IF(INDEX(Conductores!$G:$G,MATCH(C40,Conductores!$A:$A,0))&lt;&gt;"Activo","REVISAR: conductor no activo",IF(COUNTIFS($A:$A,A40,$C:$C,C40)&gt;1,"REVISAR: conductor asignado dos veces",IF(COUNTIFS($A:$A,A40,$D:$D,D40)&gt;1,"REVISAR: vehículo asignado dos veces","OK"))))))))</f>
        <v/>
      </c>
      <c r="H40" s="9"/>
      <c r="I40" s="9"/>
      <c r="J40" s="14" t="str">
        <f aca="false">IF(OR(H40="",H40=0),"",I40/H40)</f>
        <v/>
      </c>
      <c r="K40" s="9"/>
      <c r="L40" s="9"/>
      <c r="M40" s="24"/>
      <c r="N40" s="9"/>
      <c r="O40" s="9" t="str">
        <f aca="false">IF(AND(OR(K40="En riesgo",K40="Atrasada"),L40=""),"Falta código de motivo",IF(AND(L40="OTR",N40=""),"Explica OTR en las notas",IF(AND(K40="Finalizada",I40&lt;H40,L40=""),"Falta código de motivo","")))</f>
        <v/>
      </c>
      <c r="P40" s="9" t="str">
        <f aca="false">IF(OR(D40="",A40=""),"",IF(COUNTIFS(Revision_previa!$B:$B,D40,Revision_previa!$A:$A,"&gt;="&amp;A40,Revision_previa!$A:$A,"&lt;"&amp;(A40+1))=0,"Sin revisión",IF(COUNTIFS(Revision_previa!$B:$B,D40,Revision_previa!$A:$A,"&gt;="&amp;A40,Revision_previa!$A:$A,"&lt;"&amp;(A40+1),Revision_previa!$D:$D,"Falla")+COUNTIFS(Revision_previa!$B:$B,D40,Revision_previa!$A:$A,"&gt;="&amp;A40,Revision_previa!$A:$A,"&lt;"&amp;(A40+1),Revision_previa!$E:$E,"Falla")+COUNTIFS(Revision_previa!$B:$B,D40,Revision_previa!$A:$A,"&gt;="&amp;A40,Revision_previa!$A:$A,"&lt;"&amp;(A40+1),Revision_previa!$F:$F,"Falla")+COUNTIFS(Revision_previa!$B:$B,D40,Revision_previa!$A:$A,"&gt;="&amp;A40,Revision_previa!$A:$A,"&lt;"&amp;(A40+1),Revision_previa!$H:$H,"Encendido")&gt;0,"No apto","Apto")))</f>
        <v/>
      </c>
    </row>
    <row r="41" customFormat="false" ht="15" hidden="false" customHeight="false" outlineLevel="0" collapsed="false">
      <c r="A41" s="23"/>
      <c r="B41" s="9"/>
      <c r="C41" s="9"/>
      <c r="D41" s="9"/>
      <c r="E41" s="9" t="str">
        <f aca="false">IF(C41="","",IFERROR(INDEX(Conductores!$B:$B,MATCH(C41,Conductores!$A:$A,0)),"ID no encontrado"))</f>
        <v/>
      </c>
      <c r="F41" s="9" t="str">
        <f aca="false">IF(B41="","",IFERROR(INDEX(Rutas!$B:$B,MATCH(B41,Rutas!$A:$A,0)),"ID no encontrado"))</f>
        <v/>
      </c>
      <c r="G41" s="9" t="str">
        <f aca="false">IF(OR(B41="",C41="",D41=""),"",IF(OR(ISNA(MATCH(B41,Rutas!$A:$A,0)),ISNA(MATCH(C41,Conductores!$A:$A,0)),ISNA(MATCH(D41,Vehículos!$A:$A,0))),"REVISAR: ID no encontrado",IF(INDEX(Rutas!$C:$C,MATCH(B41,Rutas!$A:$A,0))&lt;&gt;INDEX(Vehículos!$B:$B,MATCH(D41,Vehículos!$A:$A,0)),"REVISAR: el vehículo no corresponde a la ruta",IF(INDEX(Rutas!$C:$C,MATCH(B41,Rutas!$A:$A,0))&lt;&gt;INDEX(Conductores!$D:$D,MATCH(C41,Conductores!$A:$A,0)),"REVISAR: el conductor no corresponde a la ruta",IF(OR(INDEX(Vehículos!$E:$E,MATCH(D41,Vehículos!$A:$A,0))="Taller",INDEX(Vehículos!$E:$E,MATCH(D41,Vehículos!$A:$A,0))="Fuera de servicio"),"REVISAR: vehículo no disponible",IF(INDEX(Conductores!$G:$G,MATCH(C41,Conductores!$A:$A,0))&lt;&gt;"Activo","REVISAR: conductor no activo",IF(COUNTIFS($A:$A,A41,$C:$C,C41)&gt;1,"REVISAR: conductor asignado dos veces",IF(COUNTIFS($A:$A,A41,$D:$D,D41)&gt;1,"REVISAR: vehículo asignado dos veces","OK"))))))))</f>
        <v/>
      </c>
      <c r="H41" s="9"/>
      <c r="I41" s="9"/>
      <c r="J41" s="14" t="str">
        <f aca="false">IF(OR(H41="",H41=0),"",I41/H41)</f>
        <v/>
      </c>
      <c r="K41" s="9"/>
      <c r="L41" s="9"/>
      <c r="M41" s="24"/>
      <c r="N41" s="9"/>
      <c r="O41" s="9" t="str">
        <f aca="false">IF(AND(OR(K41="En riesgo",K41="Atrasada"),L41=""),"Falta código de motivo",IF(AND(L41="OTR",N41=""),"Explica OTR en las notas",IF(AND(K41="Finalizada",I41&lt;H41,L41=""),"Falta código de motivo","")))</f>
        <v/>
      </c>
      <c r="P41" s="9" t="str">
        <f aca="false">IF(OR(D41="",A41=""),"",IF(COUNTIFS(Revision_previa!$B:$B,D41,Revision_previa!$A:$A,"&gt;="&amp;A41,Revision_previa!$A:$A,"&lt;"&amp;(A41+1))=0,"Sin revisión",IF(COUNTIFS(Revision_previa!$B:$B,D41,Revision_previa!$A:$A,"&gt;="&amp;A41,Revision_previa!$A:$A,"&lt;"&amp;(A41+1),Revision_previa!$D:$D,"Falla")+COUNTIFS(Revision_previa!$B:$B,D41,Revision_previa!$A:$A,"&gt;="&amp;A41,Revision_previa!$A:$A,"&lt;"&amp;(A41+1),Revision_previa!$E:$E,"Falla")+COUNTIFS(Revision_previa!$B:$B,D41,Revision_previa!$A:$A,"&gt;="&amp;A41,Revision_previa!$A:$A,"&lt;"&amp;(A41+1),Revision_previa!$F:$F,"Falla")+COUNTIFS(Revision_previa!$B:$B,D41,Revision_previa!$A:$A,"&gt;="&amp;A41,Revision_previa!$A:$A,"&lt;"&amp;(A41+1),Revision_previa!$H:$H,"Encendido")&gt;0,"No apto","Apto")))</f>
        <v/>
      </c>
    </row>
    <row r="42" customFormat="false" ht="15" hidden="false" customHeight="false" outlineLevel="0" collapsed="false">
      <c r="A42" s="23"/>
      <c r="B42" s="9"/>
      <c r="C42" s="9"/>
      <c r="D42" s="9"/>
      <c r="E42" s="9" t="str">
        <f aca="false">IF(C42="","",IFERROR(INDEX(Conductores!$B:$B,MATCH(C42,Conductores!$A:$A,0)),"ID no encontrado"))</f>
        <v/>
      </c>
      <c r="F42" s="9" t="str">
        <f aca="false">IF(B42="","",IFERROR(INDEX(Rutas!$B:$B,MATCH(B42,Rutas!$A:$A,0)),"ID no encontrado"))</f>
        <v/>
      </c>
      <c r="G42" s="9" t="str">
        <f aca="false">IF(OR(B42="",C42="",D42=""),"",IF(OR(ISNA(MATCH(B42,Rutas!$A:$A,0)),ISNA(MATCH(C42,Conductores!$A:$A,0)),ISNA(MATCH(D42,Vehículos!$A:$A,0))),"REVISAR: ID no encontrado",IF(INDEX(Rutas!$C:$C,MATCH(B42,Rutas!$A:$A,0))&lt;&gt;INDEX(Vehículos!$B:$B,MATCH(D42,Vehículos!$A:$A,0)),"REVISAR: el vehículo no corresponde a la ruta",IF(INDEX(Rutas!$C:$C,MATCH(B42,Rutas!$A:$A,0))&lt;&gt;INDEX(Conductores!$D:$D,MATCH(C42,Conductores!$A:$A,0)),"REVISAR: el conductor no corresponde a la ruta",IF(OR(INDEX(Vehículos!$E:$E,MATCH(D42,Vehículos!$A:$A,0))="Taller",INDEX(Vehículos!$E:$E,MATCH(D42,Vehículos!$A:$A,0))="Fuera de servicio"),"REVISAR: vehículo no disponible",IF(INDEX(Conductores!$G:$G,MATCH(C42,Conductores!$A:$A,0))&lt;&gt;"Activo","REVISAR: conductor no activo",IF(COUNTIFS($A:$A,A42,$C:$C,C42)&gt;1,"REVISAR: conductor asignado dos veces",IF(COUNTIFS($A:$A,A42,$D:$D,D42)&gt;1,"REVISAR: vehículo asignado dos veces","OK"))))))))</f>
        <v/>
      </c>
      <c r="H42" s="9"/>
      <c r="I42" s="9"/>
      <c r="J42" s="14" t="str">
        <f aca="false">IF(OR(H42="",H42=0),"",I42/H42)</f>
        <v/>
      </c>
      <c r="K42" s="9"/>
      <c r="L42" s="9"/>
      <c r="M42" s="24"/>
      <c r="N42" s="9"/>
      <c r="O42" s="9" t="str">
        <f aca="false">IF(AND(OR(K42="En riesgo",K42="Atrasada"),L42=""),"Falta código de motivo",IF(AND(L42="OTR",N42=""),"Explica OTR en las notas",IF(AND(K42="Finalizada",I42&lt;H42,L42=""),"Falta código de motivo","")))</f>
        <v/>
      </c>
      <c r="P42" s="9" t="str">
        <f aca="false">IF(OR(D42="",A42=""),"",IF(COUNTIFS(Revision_previa!$B:$B,D42,Revision_previa!$A:$A,"&gt;="&amp;A42,Revision_previa!$A:$A,"&lt;"&amp;(A42+1))=0,"Sin revisión",IF(COUNTIFS(Revision_previa!$B:$B,D42,Revision_previa!$A:$A,"&gt;="&amp;A42,Revision_previa!$A:$A,"&lt;"&amp;(A42+1),Revision_previa!$D:$D,"Falla")+COUNTIFS(Revision_previa!$B:$B,D42,Revision_previa!$A:$A,"&gt;="&amp;A42,Revision_previa!$A:$A,"&lt;"&amp;(A42+1),Revision_previa!$E:$E,"Falla")+COUNTIFS(Revision_previa!$B:$B,D42,Revision_previa!$A:$A,"&gt;="&amp;A42,Revision_previa!$A:$A,"&lt;"&amp;(A42+1),Revision_previa!$F:$F,"Falla")+COUNTIFS(Revision_previa!$B:$B,D42,Revision_previa!$A:$A,"&gt;="&amp;A42,Revision_previa!$A:$A,"&lt;"&amp;(A42+1),Revision_previa!$H:$H,"Encendido")&gt;0,"No apto","Apto")))</f>
        <v/>
      </c>
    </row>
    <row r="43" customFormat="false" ht="15" hidden="false" customHeight="false" outlineLevel="0" collapsed="false">
      <c r="A43" s="23"/>
      <c r="B43" s="9"/>
      <c r="C43" s="9"/>
      <c r="D43" s="9"/>
      <c r="E43" s="9" t="str">
        <f aca="false">IF(C43="","",IFERROR(INDEX(Conductores!$B:$B,MATCH(C43,Conductores!$A:$A,0)),"ID no encontrado"))</f>
        <v/>
      </c>
      <c r="F43" s="9" t="str">
        <f aca="false">IF(B43="","",IFERROR(INDEX(Rutas!$B:$B,MATCH(B43,Rutas!$A:$A,0)),"ID no encontrado"))</f>
        <v/>
      </c>
      <c r="G43" s="9" t="str">
        <f aca="false">IF(OR(B43="",C43="",D43=""),"",IF(OR(ISNA(MATCH(B43,Rutas!$A:$A,0)),ISNA(MATCH(C43,Conductores!$A:$A,0)),ISNA(MATCH(D43,Vehículos!$A:$A,0))),"REVISAR: ID no encontrado",IF(INDEX(Rutas!$C:$C,MATCH(B43,Rutas!$A:$A,0))&lt;&gt;INDEX(Vehículos!$B:$B,MATCH(D43,Vehículos!$A:$A,0)),"REVISAR: el vehículo no corresponde a la ruta",IF(INDEX(Rutas!$C:$C,MATCH(B43,Rutas!$A:$A,0))&lt;&gt;INDEX(Conductores!$D:$D,MATCH(C43,Conductores!$A:$A,0)),"REVISAR: el conductor no corresponde a la ruta",IF(OR(INDEX(Vehículos!$E:$E,MATCH(D43,Vehículos!$A:$A,0))="Taller",INDEX(Vehículos!$E:$E,MATCH(D43,Vehículos!$A:$A,0))="Fuera de servicio"),"REVISAR: vehículo no disponible",IF(INDEX(Conductores!$G:$G,MATCH(C43,Conductores!$A:$A,0))&lt;&gt;"Activo","REVISAR: conductor no activo",IF(COUNTIFS($A:$A,A43,$C:$C,C43)&gt;1,"REVISAR: conductor asignado dos veces",IF(COUNTIFS($A:$A,A43,$D:$D,D43)&gt;1,"REVISAR: vehículo asignado dos veces","OK"))))))))</f>
        <v/>
      </c>
      <c r="H43" s="9"/>
      <c r="I43" s="9"/>
      <c r="J43" s="14" t="str">
        <f aca="false">IF(OR(H43="",H43=0),"",I43/H43)</f>
        <v/>
      </c>
      <c r="K43" s="9"/>
      <c r="L43" s="9"/>
      <c r="M43" s="24"/>
      <c r="N43" s="9"/>
      <c r="O43" s="9" t="str">
        <f aca="false">IF(AND(OR(K43="En riesgo",K43="Atrasada"),L43=""),"Falta código de motivo",IF(AND(L43="OTR",N43=""),"Explica OTR en las notas",IF(AND(K43="Finalizada",I43&lt;H43,L43=""),"Falta código de motivo","")))</f>
        <v/>
      </c>
      <c r="P43" s="9" t="str">
        <f aca="false">IF(OR(D43="",A43=""),"",IF(COUNTIFS(Revision_previa!$B:$B,D43,Revision_previa!$A:$A,"&gt;="&amp;A43,Revision_previa!$A:$A,"&lt;"&amp;(A43+1))=0,"Sin revisión",IF(COUNTIFS(Revision_previa!$B:$B,D43,Revision_previa!$A:$A,"&gt;="&amp;A43,Revision_previa!$A:$A,"&lt;"&amp;(A43+1),Revision_previa!$D:$D,"Falla")+COUNTIFS(Revision_previa!$B:$B,D43,Revision_previa!$A:$A,"&gt;="&amp;A43,Revision_previa!$A:$A,"&lt;"&amp;(A43+1),Revision_previa!$E:$E,"Falla")+COUNTIFS(Revision_previa!$B:$B,D43,Revision_previa!$A:$A,"&gt;="&amp;A43,Revision_previa!$A:$A,"&lt;"&amp;(A43+1),Revision_previa!$F:$F,"Falla")+COUNTIFS(Revision_previa!$B:$B,D43,Revision_previa!$A:$A,"&gt;="&amp;A43,Revision_previa!$A:$A,"&lt;"&amp;(A43+1),Revision_previa!$H:$H,"Encendido")&gt;0,"No apto","Apto")))</f>
        <v/>
      </c>
    </row>
    <row r="44" customFormat="false" ht="15" hidden="false" customHeight="false" outlineLevel="0" collapsed="false">
      <c r="A44" s="23"/>
      <c r="B44" s="9"/>
      <c r="C44" s="9"/>
      <c r="D44" s="9"/>
      <c r="E44" s="9" t="str">
        <f aca="false">IF(C44="","",IFERROR(INDEX(Conductores!$B:$B,MATCH(C44,Conductores!$A:$A,0)),"ID no encontrado"))</f>
        <v/>
      </c>
      <c r="F44" s="9" t="str">
        <f aca="false">IF(B44="","",IFERROR(INDEX(Rutas!$B:$B,MATCH(B44,Rutas!$A:$A,0)),"ID no encontrado"))</f>
        <v/>
      </c>
      <c r="G44" s="9" t="str">
        <f aca="false">IF(OR(B44="",C44="",D44=""),"",IF(OR(ISNA(MATCH(B44,Rutas!$A:$A,0)),ISNA(MATCH(C44,Conductores!$A:$A,0)),ISNA(MATCH(D44,Vehículos!$A:$A,0))),"REVISAR: ID no encontrado",IF(INDEX(Rutas!$C:$C,MATCH(B44,Rutas!$A:$A,0))&lt;&gt;INDEX(Vehículos!$B:$B,MATCH(D44,Vehículos!$A:$A,0)),"REVISAR: el vehículo no corresponde a la ruta",IF(INDEX(Rutas!$C:$C,MATCH(B44,Rutas!$A:$A,0))&lt;&gt;INDEX(Conductores!$D:$D,MATCH(C44,Conductores!$A:$A,0)),"REVISAR: el conductor no corresponde a la ruta",IF(OR(INDEX(Vehículos!$E:$E,MATCH(D44,Vehículos!$A:$A,0))="Taller",INDEX(Vehículos!$E:$E,MATCH(D44,Vehículos!$A:$A,0))="Fuera de servicio"),"REVISAR: vehículo no disponible",IF(INDEX(Conductores!$G:$G,MATCH(C44,Conductores!$A:$A,0))&lt;&gt;"Activo","REVISAR: conductor no activo",IF(COUNTIFS($A:$A,A44,$C:$C,C44)&gt;1,"REVISAR: conductor asignado dos veces",IF(COUNTIFS($A:$A,A44,$D:$D,D44)&gt;1,"REVISAR: vehículo asignado dos veces","OK"))))))))</f>
        <v/>
      </c>
      <c r="H44" s="9"/>
      <c r="I44" s="9"/>
      <c r="J44" s="14" t="str">
        <f aca="false">IF(OR(H44="",H44=0),"",I44/H44)</f>
        <v/>
      </c>
      <c r="K44" s="9"/>
      <c r="L44" s="9"/>
      <c r="M44" s="24"/>
      <c r="N44" s="9"/>
      <c r="O44" s="9" t="str">
        <f aca="false">IF(AND(OR(K44="En riesgo",K44="Atrasada"),L44=""),"Falta código de motivo",IF(AND(L44="OTR",N44=""),"Explica OTR en las notas",IF(AND(K44="Finalizada",I44&lt;H44,L44=""),"Falta código de motivo","")))</f>
        <v/>
      </c>
      <c r="P44" s="9" t="str">
        <f aca="false">IF(OR(D44="",A44=""),"",IF(COUNTIFS(Revision_previa!$B:$B,D44,Revision_previa!$A:$A,"&gt;="&amp;A44,Revision_previa!$A:$A,"&lt;"&amp;(A44+1))=0,"Sin revisión",IF(COUNTIFS(Revision_previa!$B:$B,D44,Revision_previa!$A:$A,"&gt;="&amp;A44,Revision_previa!$A:$A,"&lt;"&amp;(A44+1),Revision_previa!$D:$D,"Falla")+COUNTIFS(Revision_previa!$B:$B,D44,Revision_previa!$A:$A,"&gt;="&amp;A44,Revision_previa!$A:$A,"&lt;"&amp;(A44+1),Revision_previa!$E:$E,"Falla")+COUNTIFS(Revision_previa!$B:$B,D44,Revision_previa!$A:$A,"&gt;="&amp;A44,Revision_previa!$A:$A,"&lt;"&amp;(A44+1),Revision_previa!$F:$F,"Falla")+COUNTIFS(Revision_previa!$B:$B,D44,Revision_previa!$A:$A,"&gt;="&amp;A44,Revision_previa!$A:$A,"&lt;"&amp;(A44+1),Revision_previa!$H:$H,"Encendido")&gt;0,"No apto","Apto")))</f>
        <v/>
      </c>
    </row>
    <row r="45" customFormat="false" ht="15" hidden="false" customHeight="false" outlineLevel="0" collapsed="false">
      <c r="A45" s="23"/>
      <c r="B45" s="9"/>
      <c r="C45" s="9"/>
      <c r="D45" s="9"/>
      <c r="E45" s="9" t="str">
        <f aca="false">IF(C45="","",IFERROR(INDEX(Conductores!$B:$B,MATCH(C45,Conductores!$A:$A,0)),"ID no encontrado"))</f>
        <v/>
      </c>
      <c r="F45" s="9" t="str">
        <f aca="false">IF(B45="","",IFERROR(INDEX(Rutas!$B:$B,MATCH(B45,Rutas!$A:$A,0)),"ID no encontrado"))</f>
        <v/>
      </c>
      <c r="G45" s="9" t="str">
        <f aca="false">IF(OR(B45="",C45="",D45=""),"",IF(OR(ISNA(MATCH(B45,Rutas!$A:$A,0)),ISNA(MATCH(C45,Conductores!$A:$A,0)),ISNA(MATCH(D45,Vehículos!$A:$A,0))),"REVISAR: ID no encontrado",IF(INDEX(Rutas!$C:$C,MATCH(B45,Rutas!$A:$A,0))&lt;&gt;INDEX(Vehículos!$B:$B,MATCH(D45,Vehículos!$A:$A,0)),"REVISAR: el vehículo no corresponde a la ruta",IF(INDEX(Rutas!$C:$C,MATCH(B45,Rutas!$A:$A,0))&lt;&gt;INDEX(Conductores!$D:$D,MATCH(C45,Conductores!$A:$A,0)),"REVISAR: el conductor no corresponde a la ruta",IF(OR(INDEX(Vehículos!$E:$E,MATCH(D45,Vehículos!$A:$A,0))="Taller",INDEX(Vehículos!$E:$E,MATCH(D45,Vehículos!$A:$A,0))="Fuera de servicio"),"REVISAR: vehículo no disponible",IF(INDEX(Conductores!$G:$G,MATCH(C45,Conductores!$A:$A,0))&lt;&gt;"Activo","REVISAR: conductor no activo",IF(COUNTIFS($A:$A,A45,$C:$C,C45)&gt;1,"REVISAR: conductor asignado dos veces",IF(COUNTIFS($A:$A,A45,$D:$D,D45)&gt;1,"REVISAR: vehículo asignado dos veces","OK"))))))))</f>
        <v/>
      </c>
      <c r="H45" s="9"/>
      <c r="I45" s="9"/>
      <c r="J45" s="14" t="str">
        <f aca="false">IF(OR(H45="",H45=0),"",I45/H45)</f>
        <v/>
      </c>
      <c r="K45" s="9"/>
      <c r="L45" s="9"/>
      <c r="M45" s="24"/>
      <c r="N45" s="9"/>
      <c r="O45" s="9" t="str">
        <f aca="false">IF(AND(OR(K45="En riesgo",K45="Atrasada"),L45=""),"Falta código de motivo",IF(AND(L45="OTR",N45=""),"Explica OTR en las notas",IF(AND(K45="Finalizada",I45&lt;H45,L45=""),"Falta código de motivo","")))</f>
        <v/>
      </c>
      <c r="P45" s="9" t="str">
        <f aca="false">IF(OR(D45="",A45=""),"",IF(COUNTIFS(Revision_previa!$B:$B,D45,Revision_previa!$A:$A,"&gt;="&amp;A45,Revision_previa!$A:$A,"&lt;"&amp;(A45+1))=0,"Sin revisión",IF(COUNTIFS(Revision_previa!$B:$B,D45,Revision_previa!$A:$A,"&gt;="&amp;A45,Revision_previa!$A:$A,"&lt;"&amp;(A45+1),Revision_previa!$D:$D,"Falla")+COUNTIFS(Revision_previa!$B:$B,D45,Revision_previa!$A:$A,"&gt;="&amp;A45,Revision_previa!$A:$A,"&lt;"&amp;(A45+1),Revision_previa!$E:$E,"Falla")+COUNTIFS(Revision_previa!$B:$B,D45,Revision_previa!$A:$A,"&gt;="&amp;A45,Revision_previa!$A:$A,"&lt;"&amp;(A45+1),Revision_previa!$F:$F,"Falla")+COUNTIFS(Revision_previa!$B:$B,D45,Revision_previa!$A:$A,"&gt;="&amp;A45,Revision_previa!$A:$A,"&lt;"&amp;(A45+1),Revision_previa!$H:$H,"Encendido")&gt;0,"No apto","Apto")))</f>
        <v/>
      </c>
    </row>
    <row r="46" customFormat="false" ht="15" hidden="false" customHeight="false" outlineLevel="0" collapsed="false">
      <c r="A46" s="23"/>
      <c r="B46" s="9"/>
      <c r="C46" s="9"/>
      <c r="D46" s="9"/>
      <c r="E46" s="9" t="str">
        <f aca="false">IF(C46="","",IFERROR(INDEX(Conductores!$B:$B,MATCH(C46,Conductores!$A:$A,0)),"ID no encontrado"))</f>
        <v/>
      </c>
      <c r="F46" s="9" t="str">
        <f aca="false">IF(B46="","",IFERROR(INDEX(Rutas!$B:$B,MATCH(B46,Rutas!$A:$A,0)),"ID no encontrado"))</f>
        <v/>
      </c>
      <c r="G46" s="9" t="str">
        <f aca="false">IF(OR(B46="",C46="",D46=""),"",IF(OR(ISNA(MATCH(B46,Rutas!$A:$A,0)),ISNA(MATCH(C46,Conductores!$A:$A,0)),ISNA(MATCH(D46,Vehículos!$A:$A,0))),"REVISAR: ID no encontrado",IF(INDEX(Rutas!$C:$C,MATCH(B46,Rutas!$A:$A,0))&lt;&gt;INDEX(Vehículos!$B:$B,MATCH(D46,Vehículos!$A:$A,0)),"REVISAR: el vehículo no corresponde a la ruta",IF(INDEX(Rutas!$C:$C,MATCH(B46,Rutas!$A:$A,0))&lt;&gt;INDEX(Conductores!$D:$D,MATCH(C46,Conductores!$A:$A,0)),"REVISAR: el conductor no corresponde a la ruta",IF(OR(INDEX(Vehículos!$E:$E,MATCH(D46,Vehículos!$A:$A,0))="Taller",INDEX(Vehículos!$E:$E,MATCH(D46,Vehículos!$A:$A,0))="Fuera de servicio"),"REVISAR: vehículo no disponible",IF(INDEX(Conductores!$G:$G,MATCH(C46,Conductores!$A:$A,0))&lt;&gt;"Activo","REVISAR: conductor no activo",IF(COUNTIFS($A:$A,A46,$C:$C,C46)&gt;1,"REVISAR: conductor asignado dos veces",IF(COUNTIFS($A:$A,A46,$D:$D,D46)&gt;1,"REVISAR: vehículo asignado dos veces","OK"))))))))</f>
        <v/>
      </c>
      <c r="H46" s="9"/>
      <c r="I46" s="9"/>
      <c r="J46" s="14" t="str">
        <f aca="false">IF(OR(H46="",H46=0),"",I46/H46)</f>
        <v/>
      </c>
      <c r="K46" s="9"/>
      <c r="L46" s="9"/>
      <c r="M46" s="24"/>
      <c r="N46" s="9"/>
      <c r="O46" s="9" t="str">
        <f aca="false">IF(AND(OR(K46="En riesgo",K46="Atrasada"),L46=""),"Falta código de motivo",IF(AND(L46="OTR",N46=""),"Explica OTR en las notas",IF(AND(K46="Finalizada",I46&lt;H46,L46=""),"Falta código de motivo","")))</f>
        <v/>
      </c>
      <c r="P46" s="9" t="str">
        <f aca="false">IF(OR(D46="",A46=""),"",IF(COUNTIFS(Revision_previa!$B:$B,D46,Revision_previa!$A:$A,"&gt;="&amp;A46,Revision_previa!$A:$A,"&lt;"&amp;(A46+1))=0,"Sin revisión",IF(COUNTIFS(Revision_previa!$B:$B,D46,Revision_previa!$A:$A,"&gt;="&amp;A46,Revision_previa!$A:$A,"&lt;"&amp;(A46+1),Revision_previa!$D:$D,"Falla")+COUNTIFS(Revision_previa!$B:$B,D46,Revision_previa!$A:$A,"&gt;="&amp;A46,Revision_previa!$A:$A,"&lt;"&amp;(A46+1),Revision_previa!$E:$E,"Falla")+COUNTIFS(Revision_previa!$B:$B,D46,Revision_previa!$A:$A,"&gt;="&amp;A46,Revision_previa!$A:$A,"&lt;"&amp;(A46+1),Revision_previa!$F:$F,"Falla")+COUNTIFS(Revision_previa!$B:$B,D46,Revision_previa!$A:$A,"&gt;="&amp;A46,Revision_previa!$A:$A,"&lt;"&amp;(A46+1),Revision_previa!$H:$H,"Encendido")&gt;0,"No apto","Apto")))</f>
        <v/>
      </c>
    </row>
    <row r="47" customFormat="false" ht="15" hidden="false" customHeight="false" outlineLevel="0" collapsed="false">
      <c r="A47" s="23"/>
      <c r="B47" s="9"/>
      <c r="C47" s="9"/>
      <c r="D47" s="9"/>
      <c r="E47" s="9" t="str">
        <f aca="false">IF(C47="","",IFERROR(INDEX(Conductores!$B:$B,MATCH(C47,Conductores!$A:$A,0)),"ID no encontrado"))</f>
        <v/>
      </c>
      <c r="F47" s="9" t="str">
        <f aca="false">IF(B47="","",IFERROR(INDEX(Rutas!$B:$B,MATCH(B47,Rutas!$A:$A,0)),"ID no encontrado"))</f>
        <v/>
      </c>
      <c r="G47" s="9" t="str">
        <f aca="false">IF(OR(B47="",C47="",D47=""),"",IF(OR(ISNA(MATCH(B47,Rutas!$A:$A,0)),ISNA(MATCH(C47,Conductores!$A:$A,0)),ISNA(MATCH(D47,Vehículos!$A:$A,0))),"REVISAR: ID no encontrado",IF(INDEX(Rutas!$C:$C,MATCH(B47,Rutas!$A:$A,0))&lt;&gt;INDEX(Vehículos!$B:$B,MATCH(D47,Vehículos!$A:$A,0)),"REVISAR: el vehículo no corresponde a la ruta",IF(INDEX(Rutas!$C:$C,MATCH(B47,Rutas!$A:$A,0))&lt;&gt;INDEX(Conductores!$D:$D,MATCH(C47,Conductores!$A:$A,0)),"REVISAR: el conductor no corresponde a la ruta",IF(OR(INDEX(Vehículos!$E:$E,MATCH(D47,Vehículos!$A:$A,0))="Taller",INDEX(Vehículos!$E:$E,MATCH(D47,Vehículos!$A:$A,0))="Fuera de servicio"),"REVISAR: vehículo no disponible",IF(INDEX(Conductores!$G:$G,MATCH(C47,Conductores!$A:$A,0))&lt;&gt;"Activo","REVISAR: conductor no activo",IF(COUNTIFS($A:$A,A47,$C:$C,C47)&gt;1,"REVISAR: conductor asignado dos veces",IF(COUNTIFS($A:$A,A47,$D:$D,D47)&gt;1,"REVISAR: vehículo asignado dos veces","OK"))))))))</f>
        <v/>
      </c>
      <c r="H47" s="9"/>
      <c r="I47" s="9"/>
      <c r="J47" s="14" t="str">
        <f aca="false">IF(OR(H47="",H47=0),"",I47/H47)</f>
        <v/>
      </c>
      <c r="K47" s="9"/>
      <c r="L47" s="9"/>
      <c r="M47" s="24"/>
      <c r="N47" s="9"/>
      <c r="O47" s="9" t="str">
        <f aca="false">IF(AND(OR(K47="En riesgo",K47="Atrasada"),L47=""),"Falta código de motivo",IF(AND(L47="OTR",N47=""),"Explica OTR en las notas",IF(AND(K47="Finalizada",I47&lt;H47,L47=""),"Falta código de motivo","")))</f>
        <v/>
      </c>
      <c r="P47" s="9" t="str">
        <f aca="false">IF(OR(D47="",A47=""),"",IF(COUNTIFS(Revision_previa!$B:$B,D47,Revision_previa!$A:$A,"&gt;="&amp;A47,Revision_previa!$A:$A,"&lt;"&amp;(A47+1))=0,"Sin revisión",IF(COUNTIFS(Revision_previa!$B:$B,D47,Revision_previa!$A:$A,"&gt;="&amp;A47,Revision_previa!$A:$A,"&lt;"&amp;(A47+1),Revision_previa!$D:$D,"Falla")+COUNTIFS(Revision_previa!$B:$B,D47,Revision_previa!$A:$A,"&gt;="&amp;A47,Revision_previa!$A:$A,"&lt;"&amp;(A47+1),Revision_previa!$E:$E,"Falla")+COUNTIFS(Revision_previa!$B:$B,D47,Revision_previa!$A:$A,"&gt;="&amp;A47,Revision_previa!$A:$A,"&lt;"&amp;(A47+1),Revision_previa!$F:$F,"Falla")+COUNTIFS(Revision_previa!$B:$B,D47,Revision_previa!$A:$A,"&gt;="&amp;A47,Revision_previa!$A:$A,"&lt;"&amp;(A47+1),Revision_previa!$H:$H,"Encendido")&gt;0,"No apto","Apto")))</f>
        <v/>
      </c>
    </row>
    <row r="48" customFormat="false" ht="15" hidden="false" customHeight="false" outlineLevel="0" collapsed="false">
      <c r="A48" s="23"/>
      <c r="B48" s="9"/>
      <c r="C48" s="9"/>
      <c r="D48" s="9"/>
      <c r="E48" s="9" t="str">
        <f aca="false">IF(C48="","",IFERROR(INDEX(Conductores!$B:$B,MATCH(C48,Conductores!$A:$A,0)),"ID no encontrado"))</f>
        <v/>
      </c>
      <c r="F48" s="9" t="str">
        <f aca="false">IF(B48="","",IFERROR(INDEX(Rutas!$B:$B,MATCH(B48,Rutas!$A:$A,0)),"ID no encontrado"))</f>
        <v/>
      </c>
      <c r="G48" s="9" t="str">
        <f aca="false">IF(OR(B48="",C48="",D48=""),"",IF(OR(ISNA(MATCH(B48,Rutas!$A:$A,0)),ISNA(MATCH(C48,Conductores!$A:$A,0)),ISNA(MATCH(D48,Vehículos!$A:$A,0))),"REVISAR: ID no encontrado",IF(INDEX(Rutas!$C:$C,MATCH(B48,Rutas!$A:$A,0))&lt;&gt;INDEX(Vehículos!$B:$B,MATCH(D48,Vehículos!$A:$A,0)),"REVISAR: el vehículo no corresponde a la ruta",IF(INDEX(Rutas!$C:$C,MATCH(B48,Rutas!$A:$A,0))&lt;&gt;INDEX(Conductores!$D:$D,MATCH(C48,Conductores!$A:$A,0)),"REVISAR: el conductor no corresponde a la ruta",IF(OR(INDEX(Vehículos!$E:$E,MATCH(D48,Vehículos!$A:$A,0))="Taller",INDEX(Vehículos!$E:$E,MATCH(D48,Vehículos!$A:$A,0))="Fuera de servicio"),"REVISAR: vehículo no disponible",IF(INDEX(Conductores!$G:$G,MATCH(C48,Conductores!$A:$A,0))&lt;&gt;"Activo","REVISAR: conductor no activo",IF(COUNTIFS($A:$A,A48,$C:$C,C48)&gt;1,"REVISAR: conductor asignado dos veces",IF(COUNTIFS($A:$A,A48,$D:$D,D48)&gt;1,"REVISAR: vehículo asignado dos veces","OK"))))))))</f>
        <v/>
      </c>
      <c r="H48" s="9"/>
      <c r="I48" s="9"/>
      <c r="J48" s="14" t="str">
        <f aca="false">IF(OR(H48="",H48=0),"",I48/H48)</f>
        <v/>
      </c>
      <c r="K48" s="9"/>
      <c r="L48" s="9"/>
      <c r="M48" s="24"/>
      <c r="N48" s="9"/>
      <c r="O48" s="9" t="str">
        <f aca="false">IF(AND(OR(K48="En riesgo",K48="Atrasada"),L48=""),"Falta código de motivo",IF(AND(L48="OTR",N48=""),"Explica OTR en las notas",IF(AND(K48="Finalizada",I48&lt;H48,L48=""),"Falta código de motivo","")))</f>
        <v/>
      </c>
      <c r="P48" s="9" t="str">
        <f aca="false">IF(OR(D48="",A48=""),"",IF(COUNTIFS(Revision_previa!$B:$B,D48,Revision_previa!$A:$A,"&gt;="&amp;A48,Revision_previa!$A:$A,"&lt;"&amp;(A48+1))=0,"Sin revisión",IF(COUNTIFS(Revision_previa!$B:$B,D48,Revision_previa!$A:$A,"&gt;="&amp;A48,Revision_previa!$A:$A,"&lt;"&amp;(A48+1),Revision_previa!$D:$D,"Falla")+COUNTIFS(Revision_previa!$B:$B,D48,Revision_previa!$A:$A,"&gt;="&amp;A48,Revision_previa!$A:$A,"&lt;"&amp;(A48+1),Revision_previa!$E:$E,"Falla")+COUNTIFS(Revision_previa!$B:$B,D48,Revision_previa!$A:$A,"&gt;="&amp;A48,Revision_previa!$A:$A,"&lt;"&amp;(A48+1),Revision_previa!$F:$F,"Falla")+COUNTIFS(Revision_previa!$B:$B,D48,Revision_previa!$A:$A,"&gt;="&amp;A48,Revision_previa!$A:$A,"&lt;"&amp;(A48+1),Revision_previa!$H:$H,"Encendido")&gt;0,"No apto","Apto")))</f>
        <v/>
      </c>
    </row>
    <row r="49" customFormat="false" ht="15" hidden="false" customHeight="false" outlineLevel="0" collapsed="false">
      <c r="A49" s="23"/>
      <c r="B49" s="9"/>
      <c r="C49" s="9"/>
      <c r="D49" s="9"/>
      <c r="E49" s="9" t="str">
        <f aca="false">IF(C49="","",IFERROR(INDEX(Conductores!$B:$B,MATCH(C49,Conductores!$A:$A,0)),"ID no encontrado"))</f>
        <v/>
      </c>
      <c r="F49" s="9" t="str">
        <f aca="false">IF(B49="","",IFERROR(INDEX(Rutas!$B:$B,MATCH(B49,Rutas!$A:$A,0)),"ID no encontrado"))</f>
        <v/>
      </c>
      <c r="G49" s="9" t="str">
        <f aca="false">IF(OR(B49="",C49="",D49=""),"",IF(OR(ISNA(MATCH(B49,Rutas!$A:$A,0)),ISNA(MATCH(C49,Conductores!$A:$A,0)),ISNA(MATCH(D49,Vehículos!$A:$A,0))),"REVISAR: ID no encontrado",IF(INDEX(Rutas!$C:$C,MATCH(B49,Rutas!$A:$A,0))&lt;&gt;INDEX(Vehículos!$B:$B,MATCH(D49,Vehículos!$A:$A,0)),"REVISAR: el vehículo no corresponde a la ruta",IF(INDEX(Rutas!$C:$C,MATCH(B49,Rutas!$A:$A,0))&lt;&gt;INDEX(Conductores!$D:$D,MATCH(C49,Conductores!$A:$A,0)),"REVISAR: el conductor no corresponde a la ruta",IF(OR(INDEX(Vehículos!$E:$E,MATCH(D49,Vehículos!$A:$A,0))="Taller",INDEX(Vehículos!$E:$E,MATCH(D49,Vehículos!$A:$A,0))="Fuera de servicio"),"REVISAR: vehículo no disponible",IF(INDEX(Conductores!$G:$G,MATCH(C49,Conductores!$A:$A,0))&lt;&gt;"Activo","REVISAR: conductor no activo",IF(COUNTIFS($A:$A,A49,$C:$C,C49)&gt;1,"REVISAR: conductor asignado dos veces",IF(COUNTIFS($A:$A,A49,$D:$D,D49)&gt;1,"REVISAR: vehículo asignado dos veces","OK"))))))))</f>
        <v/>
      </c>
      <c r="H49" s="9"/>
      <c r="I49" s="9"/>
      <c r="J49" s="14" t="str">
        <f aca="false">IF(OR(H49="",H49=0),"",I49/H49)</f>
        <v/>
      </c>
      <c r="K49" s="9"/>
      <c r="L49" s="9"/>
      <c r="M49" s="24"/>
      <c r="N49" s="9"/>
      <c r="O49" s="9" t="str">
        <f aca="false">IF(AND(OR(K49="En riesgo",K49="Atrasada"),L49=""),"Falta código de motivo",IF(AND(L49="OTR",N49=""),"Explica OTR en las notas",IF(AND(K49="Finalizada",I49&lt;H49,L49=""),"Falta código de motivo","")))</f>
        <v/>
      </c>
      <c r="P49" s="9" t="str">
        <f aca="false">IF(OR(D49="",A49=""),"",IF(COUNTIFS(Revision_previa!$B:$B,D49,Revision_previa!$A:$A,"&gt;="&amp;A49,Revision_previa!$A:$A,"&lt;"&amp;(A49+1))=0,"Sin revisión",IF(COUNTIFS(Revision_previa!$B:$B,D49,Revision_previa!$A:$A,"&gt;="&amp;A49,Revision_previa!$A:$A,"&lt;"&amp;(A49+1),Revision_previa!$D:$D,"Falla")+COUNTIFS(Revision_previa!$B:$B,D49,Revision_previa!$A:$A,"&gt;="&amp;A49,Revision_previa!$A:$A,"&lt;"&amp;(A49+1),Revision_previa!$E:$E,"Falla")+COUNTIFS(Revision_previa!$B:$B,D49,Revision_previa!$A:$A,"&gt;="&amp;A49,Revision_previa!$A:$A,"&lt;"&amp;(A49+1),Revision_previa!$F:$F,"Falla")+COUNTIFS(Revision_previa!$B:$B,D49,Revision_previa!$A:$A,"&gt;="&amp;A49,Revision_previa!$A:$A,"&lt;"&amp;(A49+1),Revision_previa!$H:$H,"Encendido")&gt;0,"No apto","Apto")))</f>
        <v/>
      </c>
    </row>
    <row r="50" customFormat="false" ht="15" hidden="false" customHeight="false" outlineLevel="0" collapsed="false">
      <c r="A50" s="23"/>
      <c r="B50" s="9"/>
      <c r="C50" s="9"/>
      <c r="D50" s="9"/>
      <c r="E50" s="9" t="str">
        <f aca="false">IF(C50="","",IFERROR(INDEX(Conductores!$B:$B,MATCH(C50,Conductores!$A:$A,0)),"ID no encontrado"))</f>
        <v/>
      </c>
      <c r="F50" s="9" t="str">
        <f aca="false">IF(B50="","",IFERROR(INDEX(Rutas!$B:$B,MATCH(B50,Rutas!$A:$A,0)),"ID no encontrado"))</f>
        <v/>
      </c>
      <c r="G50" s="9" t="str">
        <f aca="false">IF(OR(B50="",C50="",D50=""),"",IF(OR(ISNA(MATCH(B50,Rutas!$A:$A,0)),ISNA(MATCH(C50,Conductores!$A:$A,0)),ISNA(MATCH(D50,Vehículos!$A:$A,0))),"REVISAR: ID no encontrado",IF(INDEX(Rutas!$C:$C,MATCH(B50,Rutas!$A:$A,0))&lt;&gt;INDEX(Vehículos!$B:$B,MATCH(D50,Vehículos!$A:$A,0)),"REVISAR: el vehículo no corresponde a la ruta",IF(INDEX(Rutas!$C:$C,MATCH(B50,Rutas!$A:$A,0))&lt;&gt;INDEX(Conductores!$D:$D,MATCH(C50,Conductores!$A:$A,0)),"REVISAR: el conductor no corresponde a la ruta",IF(OR(INDEX(Vehículos!$E:$E,MATCH(D50,Vehículos!$A:$A,0))="Taller",INDEX(Vehículos!$E:$E,MATCH(D50,Vehículos!$A:$A,0))="Fuera de servicio"),"REVISAR: vehículo no disponible",IF(INDEX(Conductores!$G:$G,MATCH(C50,Conductores!$A:$A,0))&lt;&gt;"Activo","REVISAR: conductor no activo",IF(COUNTIFS($A:$A,A50,$C:$C,C50)&gt;1,"REVISAR: conductor asignado dos veces",IF(COUNTIFS($A:$A,A50,$D:$D,D50)&gt;1,"REVISAR: vehículo asignado dos veces","OK"))))))))</f>
        <v/>
      </c>
      <c r="H50" s="9"/>
      <c r="I50" s="9"/>
      <c r="J50" s="14" t="str">
        <f aca="false">IF(OR(H50="",H50=0),"",I50/H50)</f>
        <v/>
      </c>
      <c r="K50" s="9"/>
      <c r="L50" s="9"/>
      <c r="M50" s="24"/>
      <c r="N50" s="9"/>
      <c r="O50" s="9" t="str">
        <f aca="false">IF(AND(OR(K50="En riesgo",K50="Atrasada"),L50=""),"Falta código de motivo",IF(AND(L50="OTR",N50=""),"Explica OTR en las notas",IF(AND(K50="Finalizada",I50&lt;H50,L50=""),"Falta código de motivo","")))</f>
        <v/>
      </c>
      <c r="P50" s="9" t="str">
        <f aca="false">IF(OR(D50="",A50=""),"",IF(COUNTIFS(Revision_previa!$B:$B,D50,Revision_previa!$A:$A,"&gt;="&amp;A50,Revision_previa!$A:$A,"&lt;"&amp;(A50+1))=0,"Sin revisión",IF(COUNTIFS(Revision_previa!$B:$B,D50,Revision_previa!$A:$A,"&gt;="&amp;A50,Revision_previa!$A:$A,"&lt;"&amp;(A50+1),Revision_previa!$D:$D,"Falla")+COUNTIFS(Revision_previa!$B:$B,D50,Revision_previa!$A:$A,"&gt;="&amp;A50,Revision_previa!$A:$A,"&lt;"&amp;(A50+1),Revision_previa!$E:$E,"Falla")+COUNTIFS(Revision_previa!$B:$B,D50,Revision_previa!$A:$A,"&gt;="&amp;A50,Revision_previa!$A:$A,"&lt;"&amp;(A50+1),Revision_previa!$F:$F,"Falla")+COUNTIFS(Revision_previa!$B:$B,D50,Revision_previa!$A:$A,"&gt;="&amp;A50,Revision_previa!$A:$A,"&lt;"&amp;(A50+1),Revision_previa!$H:$H,"Encendido")&gt;0,"No apto","Apto")))</f>
        <v/>
      </c>
    </row>
    <row r="51" customFormat="false" ht="15" hidden="false" customHeight="false" outlineLevel="0" collapsed="false">
      <c r="A51" s="23"/>
      <c r="B51" s="9"/>
      <c r="C51" s="9"/>
      <c r="D51" s="9"/>
      <c r="E51" s="9" t="str">
        <f aca="false">IF(C51="","",IFERROR(INDEX(Conductores!$B:$B,MATCH(C51,Conductores!$A:$A,0)),"ID no encontrado"))</f>
        <v/>
      </c>
      <c r="F51" s="9" t="str">
        <f aca="false">IF(B51="","",IFERROR(INDEX(Rutas!$B:$B,MATCH(B51,Rutas!$A:$A,0)),"ID no encontrado"))</f>
        <v/>
      </c>
      <c r="G51" s="9" t="str">
        <f aca="false">IF(OR(B51="",C51="",D51=""),"",IF(OR(ISNA(MATCH(B51,Rutas!$A:$A,0)),ISNA(MATCH(C51,Conductores!$A:$A,0)),ISNA(MATCH(D51,Vehículos!$A:$A,0))),"REVISAR: ID no encontrado",IF(INDEX(Rutas!$C:$C,MATCH(B51,Rutas!$A:$A,0))&lt;&gt;INDEX(Vehículos!$B:$B,MATCH(D51,Vehículos!$A:$A,0)),"REVISAR: el vehículo no corresponde a la ruta",IF(INDEX(Rutas!$C:$C,MATCH(B51,Rutas!$A:$A,0))&lt;&gt;INDEX(Conductores!$D:$D,MATCH(C51,Conductores!$A:$A,0)),"REVISAR: el conductor no corresponde a la ruta",IF(OR(INDEX(Vehículos!$E:$E,MATCH(D51,Vehículos!$A:$A,0))="Taller",INDEX(Vehículos!$E:$E,MATCH(D51,Vehículos!$A:$A,0))="Fuera de servicio"),"REVISAR: vehículo no disponible",IF(INDEX(Conductores!$G:$G,MATCH(C51,Conductores!$A:$A,0))&lt;&gt;"Activo","REVISAR: conductor no activo",IF(COUNTIFS($A:$A,A51,$C:$C,C51)&gt;1,"REVISAR: conductor asignado dos veces",IF(COUNTIFS($A:$A,A51,$D:$D,D51)&gt;1,"REVISAR: vehículo asignado dos veces","OK"))))))))</f>
        <v/>
      </c>
      <c r="H51" s="9"/>
      <c r="I51" s="9"/>
      <c r="J51" s="14" t="str">
        <f aca="false">IF(OR(H51="",H51=0),"",I51/H51)</f>
        <v/>
      </c>
      <c r="K51" s="9"/>
      <c r="L51" s="9"/>
      <c r="M51" s="24"/>
      <c r="N51" s="9"/>
      <c r="O51" s="9" t="str">
        <f aca="false">IF(AND(OR(K51="En riesgo",K51="Atrasada"),L51=""),"Falta código de motivo",IF(AND(L51="OTR",N51=""),"Explica OTR en las notas",IF(AND(K51="Finalizada",I51&lt;H51,L51=""),"Falta código de motivo","")))</f>
        <v/>
      </c>
      <c r="P51" s="9" t="str">
        <f aca="false">IF(OR(D51="",A51=""),"",IF(COUNTIFS(Revision_previa!$B:$B,D51,Revision_previa!$A:$A,"&gt;="&amp;A51,Revision_previa!$A:$A,"&lt;"&amp;(A51+1))=0,"Sin revisión",IF(COUNTIFS(Revision_previa!$B:$B,D51,Revision_previa!$A:$A,"&gt;="&amp;A51,Revision_previa!$A:$A,"&lt;"&amp;(A51+1),Revision_previa!$D:$D,"Falla")+COUNTIFS(Revision_previa!$B:$B,D51,Revision_previa!$A:$A,"&gt;="&amp;A51,Revision_previa!$A:$A,"&lt;"&amp;(A51+1),Revision_previa!$E:$E,"Falla")+COUNTIFS(Revision_previa!$B:$B,D51,Revision_previa!$A:$A,"&gt;="&amp;A51,Revision_previa!$A:$A,"&lt;"&amp;(A51+1),Revision_previa!$F:$F,"Falla")+COUNTIFS(Revision_previa!$B:$B,D51,Revision_previa!$A:$A,"&gt;="&amp;A51,Revision_previa!$A:$A,"&lt;"&amp;(A51+1),Revision_previa!$H:$H,"Encendido")&gt;0,"No apto","Apto")))</f>
        <v/>
      </c>
    </row>
    <row r="52" customFormat="false" ht="15" hidden="false" customHeight="false" outlineLevel="0" collapsed="false">
      <c r="A52" s="23"/>
      <c r="B52" s="9"/>
      <c r="C52" s="9"/>
      <c r="D52" s="9"/>
      <c r="E52" s="9" t="str">
        <f aca="false">IF(C52="","",IFERROR(INDEX(Conductores!$B:$B,MATCH(C52,Conductores!$A:$A,0)),"ID no encontrado"))</f>
        <v/>
      </c>
      <c r="F52" s="9" t="str">
        <f aca="false">IF(B52="","",IFERROR(INDEX(Rutas!$B:$B,MATCH(B52,Rutas!$A:$A,0)),"ID no encontrado"))</f>
        <v/>
      </c>
      <c r="G52" s="9" t="str">
        <f aca="false">IF(OR(B52="",C52="",D52=""),"",IF(OR(ISNA(MATCH(B52,Rutas!$A:$A,0)),ISNA(MATCH(C52,Conductores!$A:$A,0)),ISNA(MATCH(D52,Vehículos!$A:$A,0))),"REVISAR: ID no encontrado",IF(INDEX(Rutas!$C:$C,MATCH(B52,Rutas!$A:$A,0))&lt;&gt;INDEX(Vehículos!$B:$B,MATCH(D52,Vehículos!$A:$A,0)),"REVISAR: el vehículo no corresponde a la ruta",IF(INDEX(Rutas!$C:$C,MATCH(B52,Rutas!$A:$A,0))&lt;&gt;INDEX(Conductores!$D:$D,MATCH(C52,Conductores!$A:$A,0)),"REVISAR: el conductor no corresponde a la ruta",IF(OR(INDEX(Vehículos!$E:$E,MATCH(D52,Vehículos!$A:$A,0))="Taller",INDEX(Vehículos!$E:$E,MATCH(D52,Vehículos!$A:$A,0))="Fuera de servicio"),"REVISAR: vehículo no disponible",IF(INDEX(Conductores!$G:$G,MATCH(C52,Conductores!$A:$A,0))&lt;&gt;"Activo","REVISAR: conductor no activo",IF(COUNTIFS($A:$A,A52,$C:$C,C52)&gt;1,"REVISAR: conductor asignado dos veces",IF(COUNTIFS($A:$A,A52,$D:$D,D52)&gt;1,"REVISAR: vehículo asignado dos veces","OK"))))))))</f>
        <v/>
      </c>
      <c r="H52" s="9"/>
      <c r="I52" s="9"/>
      <c r="J52" s="14" t="str">
        <f aca="false">IF(OR(H52="",H52=0),"",I52/H52)</f>
        <v/>
      </c>
      <c r="K52" s="9"/>
      <c r="L52" s="9"/>
      <c r="M52" s="24"/>
      <c r="N52" s="9"/>
      <c r="O52" s="9" t="str">
        <f aca="false">IF(AND(OR(K52="En riesgo",K52="Atrasada"),L52=""),"Falta código de motivo",IF(AND(L52="OTR",N52=""),"Explica OTR en las notas",IF(AND(K52="Finalizada",I52&lt;H52,L52=""),"Falta código de motivo","")))</f>
        <v/>
      </c>
      <c r="P52" s="9" t="str">
        <f aca="false">IF(OR(D52="",A52=""),"",IF(COUNTIFS(Revision_previa!$B:$B,D52,Revision_previa!$A:$A,"&gt;="&amp;A52,Revision_previa!$A:$A,"&lt;"&amp;(A52+1))=0,"Sin revisión",IF(COUNTIFS(Revision_previa!$B:$B,D52,Revision_previa!$A:$A,"&gt;="&amp;A52,Revision_previa!$A:$A,"&lt;"&amp;(A52+1),Revision_previa!$D:$D,"Falla")+COUNTIFS(Revision_previa!$B:$B,D52,Revision_previa!$A:$A,"&gt;="&amp;A52,Revision_previa!$A:$A,"&lt;"&amp;(A52+1),Revision_previa!$E:$E,"Falla")+COUNTIFS(Revision_previa!$B:$B,D52,Revision_previa!$A:$A,"&gt;="&amp;A52,Revision_previa!$A:$A,"&lt;"&amp;(A52+1),Revision_previa!$F:$F,"Falla")+COUNTIFS(Revision_previa!$B:$B,D52,Revision_previa!$A:$A,"&gt;="&amp;A52,Revision_previa!$A:$A,"&lt;"&amp;(A52+1),Revision_previa!$H:$H,"Encendido")&gt;0,"No apto","Apto")))</f>
        <v/>
      </c>
    </row>
    <row r="53" customFormat="false" ht="15" hidden="false" customHeight="false" outlineLevel="0" collapsed="false">
      <c r="A53" s="23"/>
      <c r="B53" s="9"/>
      <c r="C53" s="9"/>
      <c r="D53" s="9"/>
      <c r="E53" s="9" t="str">
        <f aca="false">IF(C53="","",IFERROR(INDEX(Conductores!$B:$B,MATCH(C53,Conductores!$A:$A,0)),"ID no encontrado"))</f>
        <v/>
      </c>
      <c r="F53" s="9" t="str">
        <f aca="false">IF(B53="","",IFERROR(INDEX(Rutas!$B:$B,MATCH(B53,Rutas!$A:$A,0)),"ID no encontrado"))</f>
        <v/>
      </c>
      <c r="G53" s="9" t="str">
        <f aca="false">IF(OR(B53="",C53="",D53=""),"",IF(OR(ISNA(MATCH(B53,Rutas!$A:$A,0)),ISNA(MATCH(C53,Conductores!$A:$A,0)),ISNA(MATCH(D53,Vehículos!$A:$A,0))),"REVISAR: ID no encontrado",IF(INDEX(Rutas!$C:$C,MATCH(B53,Rutas!$A:$A,0))&lt;&gt;INDEX(Vehículos!$B:$B,MATCH(D53,Vehículos!$A:$A,0)),"REVISAR: el vehículo no corresponde a la ruta",IF(INDEX(Rutas!$C:$C,MATCH(B53,Rutas!$A:$A,0))&lt;&gt;INDEX(Conductores!$D:$D,MATCH(C53,Conductores!$A:$A,0)),"REVISAR: el conductor no corresponde a la ruta",IF(OR(INDEX(Vehículos!$E:$E,MATCH(D53,Vehículos!$A:$A,0))="Taller",INDEX(Vehículos!$E:$E,MATCH(D53,Vehículos!$A:$A,0))="Fuera de servicio"),"REVISAR: vehículo no disponible",IF(INDEX(Conductores!$G:$G,MATCH(C53,Conductores!$A:$A,0))&lt;&gt;"Activo","REVISAR: conductor no activo",IF(COUNTIFS($A:$A,A53,$C:$C,C53)&gt;1,"REVISAR: conductor asignado dos veces",IF(COUNTIFS($A:$A,A53,$D:$D,D53)&gt;1,"REVISAR: vehículo asignado dos veces","OK"))))))))</f>
        <v/>
      </c>
      <c r="H53" s="9"/>
      <c r="I53" s="9"/>
      <c r="J53" s="14" t="str">
        <f aca="false">IF(OR(H53="",H53=0),"",I53/H53)</f>
        <v/>
      </c>
      <c r="K53" s="9"/>
      <c r="L53" s="9"/>
      <c r="M53" s="24"/>
      <c r="N53" s="9"/>
      <c r="O53" s="9" t="str">
        <f aca="false">IF(AND(OR(K53="En riesgo",K53="Atrasada"),L53=""),"Falta código de motivo",IF(AND(L53="OTR",N53=""),"Explica OTR en las notas",IF(AND(K53="Finalizada",I53&lt;H53,L53=""),"Falta código de motivo","")))</f>
        <v/>
      </c>
      <c r="P53" s="9" t="str">
        <f aca="false">IF(OR(D53="",A53=""),"",IF(COUNTIFS(Revision_previa!$B:$B,D53,Revision_previa!$A:$A,"&gt;="&amp;A53,Revision_previa!$A:$A,"&lt;"&amp;(A53+1))=0,"Sin revisión",IF(COUNTIFS(Revision_previa!$B:$B,D53,Revision_previa!$A:$A,"&gt;="&amp;A53,Revision_previa!$A:$A,"&lt;"&amp;(A53+1),Revision_previa!$D:$D,"Falla")+COUNTIFS(Revision_previa!$B:$B,D53,Revision_previa!$A:$A,"&gt;="&amp;A53,Revision_previa!$A:$A,"&lt;"&amp;(A53+1),Revision_previa!$E:$E,"Falla")+COUNTIFS(Revision_previa!$B:$B,D53,Revision_previa!$A:$A,"&gt;="&amp;A53,Revision_previa!$A:$A,"&lt;"&amp;(A53+1),Revision_previa!$F:$F,"Falla")+COUNTIFS(Revision_previa!$B:$B,D53,Revision_previa!$A:$A,"&gt;="&amp;A53,Revision_previa!$A:$A,"&lt;"&amp;(A53+1),Revision_previa!$H:$H,"Encendido")&gt;0,"No apto","Apto")))</f>
        <v/>
      </c>
    </row>
    <row r="54" customFormat="false" ht="15" hidden="false" customHeight="false" outlineLevel="0" collapsed="false">
      <c r="A54" s="23"/>
      <c r="B54" s="9"/>
      <c r="C54" s="9"/>
      <c r="D54" s="9"/>
      <c r="E54" s="9" t="str">
        <f aca="false">IF(C54="","",IFERROR(INDEX(Conductores!$B:$B,MATCH(C54,Conductores!$A:$A,0)),"ID no encontrado"))</f>
        <v/>
      </c>
      <c r="F54" s="9" t="str">
        <f aca="false">IF(B54="","",IFERROR(INDEX(Rutas!$B:$B,MATCH(B54,Rutas!$A:$A,0)),"ID no encontrado"))</f>
        <v/>
      </c>
      <c r="G54" s="9" t="str">
        <f aca="false">IF(OR(B54="",C54="",D54=""),"",IF(OR(ISNA(MATCH(B54,Rutas!$A:$A,0)),ISNA(MATCH(C54,Conductores!$A:$A,0)),ISNA(MATCH(D54,Vehículos!$A:$A,0))),"REVISAR: ID no encontrado",IF(INDEX(Rutas!$C:$C,MATCH(B54,Rutas!$A:$A,0))&lt;&gt;INDEX(Vehículos!$B:$B,MATCH(D54,Vehículos!$A:$A,0)),"REVISAR: el vehículo no corresponde a la ruta",IF(INDEX(Rutas!$C:$C,MATCH(B54,Rutas!$A:$A,0))&lt;&gt;INDEX(Conductores!$D:$D,MATCH(C54,Conductores!$A:$A,0)),"REVISAR: el conductor no corresponde a la ruta",IF(OR(INDEX(Vehículos!$E:$E,MATCH(D54,Vehículos!$A:$A,0))="Taller",INDEX(Vehículos!$E:$E,MATCH(D54,Vehículos!$A:$A,0))="Fuera de servicio"),"REVISAR: vehículo no disponible",IF(INDEX(Conductores!$G:$G,MATCH(C54,Conductores!$A:$A,0))&lt;&gt;"Activo","REVISAR: conductor no activo",IF(COUNTIFS($A:$A,A54,$C:$C,C54)&gt;1,"REVISAR: conductor asignado dos veces",IF(COUNTIFS($A:$A,A54,$D:$D,D54)&gt;1,"REVISAR: vehículo asignado dos veces","OK"))))))))</f>
        <v/>
      </c>
      <c r="H54" s="9"/>
      <c r="I54" s="9"/>
      <c r="J54" s="14" t="str">
        <f aca="false">IF(OR(H54="",H54=0),"",I54/H54)</f>
        <v/>
      </c>
      <c r="K54" s="9"/>
      <c r="L54" s="9"/>
      <c r="M54" s="24"/>
      <c r="N54" s="9"/>
      <c r="O54" s="9" t="str">
        <f aca="false">IF(AND(OR(K54="En riesgo",K54="Atrasada"),L54=""),"Falta código de motivo",IF(AND(L54="OTR",N54=""),"Explica OTR en las notas",IF(AND(K54="Finalizada",I54&lt;H54,L54=""),"Falta código de motivo","")))</f>
        <v/>
      </c>
      <c r="P54" s="9" t="str">
        <f aca="false">IF(OR(D54="",A54=""),"",IF(COUNTIFS(Revision_previa!$B:$B,D54,Revision_previa!$A:$A,"&gt;="&amp;A54,Revision_previa!$A:$A,"&lt;"&amp;(A54+1))=0,"Sin revisión",IF(COUNTIFS(Revision_previa!$B:$B,D54,Revision_previa!$A:$A,"&gt;="&amp;A54,Revision_previa!$A:$A,"&lt;"&amp;(A54+1),Revision_previa!$D:$D,"Falla")+COUNTIFS(Revision_previa!$B:$B,D54,Revision_previa!$A:$A,"&gt;="&amp;A54,Revision_previa!$A:$A,"&lt;"&amp;(A54+1),Revision_previa!$E:$E,"Falla")+COUNTIFS(Revision_previa!$B:$B,D54,Revision_previa!$A:$A,"&gt;="&amp;A54,Revision_previa!$A:$A,"&lt;"&amp;(A54+1),Revision_previa!$F:$F,"Falla")+COUNTIFS(Revision_previa!$B:$B,D54,Revision_previa!$A:$A,"&gt;="&amp;A54,Revision_previa!$A:$A,"&lt;"&amp;(A54+1),Revision_previa!$H:$H,"Encendido")&gt;0,"No apto","Apto")))</f>
        <v/>
      </c>
    </row>
    <row r="55" customFormat="false" ht="15" hidden="false" customHeight="false" outlineLevel="0" collapsed="false">
      <c r="A55" s="23"/>
      <c r="B55" s="9"/>
      <c r="C55" s="9"/>
      <c r="D55" s="9"/>
      <c r="E55" s="9" t="str">
        <f aca="false">IF(C55="","",IFERROR(INDEX(Conductores!$B:$B,MATCH(C55,Conductores!$A:$A,0)),"ID no encontrado"))</f>
        <v/>
      </c>
      <c r="F55" s="9" t="str">
        <f aca="false">IF(B55="","",IFERROR(INDEX(Rutas!$B:$B,MATCH(B55,Rutas!$A:$A,0)),"ID no encontrado"))</f>
        <v/>
      </c>
      <c r="G55" s="9" t="str">
        <f aca="false">IF(OR(B55="",C55="",D55=""),"",IF(OR(ISNA(MATCH(B55,Rutas!$A:$A,0)),ISNA(MATCH(C55,Conductores!$A:$A,0)),ISNA(MATCH(D55,Vehículos!$A:$A,0))),"REVISAR: ID no encontrado",IF(INDEX(Rutas!$C:$C,MATCH(B55,Rutas!$A:$A,0))&lt;&gt;INDEX(Vehículos!$B:$B,MATCH(D55,Vehículos!$A:$A,0)),"REVISAR: el vehículo no corresponde a la ruta",IF(INDEX(Rutas!$C:$C,MATCH(B55,Rutas!$A:$A,0))&lt;&gt;INDEX(Conductores!$D:$D,MATCH(C55,Conductores!$A:$A,0)),"REVISAR: el conductor no corresponde a la ruta",IF(OR(INDEX(Vehículos!$E:$E,MATCH(D55,Vehículos!$A:$A,0))="Taller",INDEX(Vehículos!$E:$E,MATCH(D55,Vehículos!$A:$A,0))="Fuera de servicio"),"REVISAR: vehículo no disponible",IF(INDEX(Conductores!$G:$G,MATCH(C55,Conductores!$A:$A,0))&lt;&gt;"Activo","REVISAR: conductor no activo",IF(COUNTIFS($A:$A,A55,$C:$C,C55)&gt;1,"REVISAR: conductor asignado dos veces",IF(COUNTIFS($A:$A,A55,$D:$D,D55)&gt;1,"REVISAR: vehículo asignado dos veces","OK"))))))))</f>
        <v/>
      </c>
      <c r="H55" s="9"/>
      <c r="I55" s="9"/>
      <c r="J55" s="14" t="str">
        <f aca="false">IF(OR(H55="",H55=0),"",I55/H55)</f>
        <v/>
      </c>
      <c r="K55" s="9"/>
      <c r="L55" s="9"/>
      <c r="M55" s="24"/>
      <c r="N55" s="9"/>
      <c r="O55" s="9" t="str">
        <f aca="false">IF(AND(OR(K55="En riesgo",K55="Atrasada"),L55=""),"Falta código de motivo",IF(AND(L55="OTR",N55=""),"Explica OTR en las notas",IF(AND(K55="Finalizada",I55&lt;H55,L55=""),"Falta código de motivo","")))</f>
        <v/>
      </c>
      <c r="P55" s="9" t="str">
        <f aca="false">IF(OR(D55="",A55=""),"",IF(COUNTIFS(Revision_previa!$B:$B,D55,Revision_previa!$A:$A,"&gt;="&amp;A55,Revision_previa!$A:$A,"&lt;"&amp;(A55+1))=0,"Sin revisión",IF(COUNTIFS(Revision_previa!$B:$B,D55,Revision_previa!$A:$A,"&gt;="&amp;A55,Revision_previa!$A:$A,"&lt;"&amp;(A55+1),Revision_previa!$D:$D,"Falla")+COUNTIFS(Revision_previa!$B:$B,D55,Revision_previa!$A:$A,"&gt;="&amp;A55,Revision_previa!$A:$A,"&lt;"&amp;(A55+1),Revision_previa!$E:$E,"Falla")+COUNTIFS(Revision_previa!$B:$B,D55,Revision_previa!$A:$A,"&gt;="&amp;A55,Revision_previa!$A:$A,"&lt;"&amp;(A55+1),Revision_previa!$F:$F,"Falla")+COUNTIFS(Revision_previa!$B:$B,D55,Revision_previa!$A:$A,"&gt;="&amp;A55,Revision_previa!$A:$A,"&lt;"&amp;(A55+1),Revision_previa!$H:$H,"Encendido")&gt;0,"No apto","Apto")))</f>
        <v/>
      </c>
    </row>
    <row r="56" customFormat="false" ht="15" hidden="false" customHeight="false" outlineLevel="0" collapsed="false">
      <c r="A56" s="23"/>
      <c r="B56" s="9"/>
      <c r="C56" s="9"/>
      <c r="D56" s="9"/>
      <c r="E56" s="9" t="str">
        <f aca="false">IF(C56="","",IFERROR(INDEX(Conductores!$B:$B,MATCH(C56,Conductores!$A:$A,0)),"ID no encontrado"))</f>
        <v/>
      </c>
      <c r="F56" s="9" t="str">
        <f aca="false">IF(B56="","",IFERROR(INDEX(Rutas!$B:$B,MATCH(B56,Rutas!$A:$A,0)),"ID no encontrado"))</f>
        <v/>
      </c>
      <c r="G56" s="9" t="str">
        <f aca="false">IF(OR(B56="",C56="",D56=""),"",IF(OR(ISNA(MATCH(B56,Rutas!$A:$A,0)),ISNA(MATCH(C56,Conductores!$A:$A,0)),ISNA(MATCH(D56,Vehículos!$A:$A,0))),"REVISAR: ID no encontrado",IF(INDEX(Rutas!$C:$C,MATCH(B56,Rutas!$A:$A,0))&lt;&gt;INDEX(Vehículos!$B:$B,MATCH(D56,Vehículos!$A:$A,0)),"REVISAR: el vehículo no corresponde a la ruta",IF(INDEX(Rutas!$C:$C,MATCH(B56,Rutas!$A:$A,0))&lt;&gt;INDEX(Conductores!$D:$D,MATCH(C56,Conductores!$A:$A,0)),"REVISAR: el conductor no corresponde a la ruta",IF(OR(INDEX(Vehículos!$E:$E,MATCH(D56,Vehículos!$A:$A,0))="Taller",INDEX(Vehículos!$E:$E,MATCH(D56,Vehículos!$A:$A,0))="Fuera de servicio"),"REVISAR: vehículo no disponible",IF(INDEX(Conductores!$G:$G,MATCH(C56,Conductores!$A:$A,0))&lt;&gt;"Activo","REVISAR: conductor no activo",IF(COUNTIFS($A:$A,A56,$C:$C,C56)&gt;1,"REVISAR: conductor asignado dos veces",IF(COUNTIFS($A:$A,A56,$D:$D,D56)&gt;1,"REVISAR: vehículo asignado dos veces","OK"))))))))</f>
        <v/>
      </c>
      <c r="H56" s="9"/>
      <c r="I56" s="9"/>
      <c r="J56" s="14" t="str">
        <f aca="false">IF(OR(H56="",H56=0),"",I56/H56)</f>
        <v/>
      </c>
      <c r="K56" s="9"/>
      <c r="L56" s="9"/>
      <c r="M56" s="24"/>
      <c r="N56" s="9"/>
      <c r="O56" s="9" t="str">
        <f aca="false">IF(AND(OR(K56="En riesgo",K56="Atrasada"),L56=""),"Falta código de motivo",IF(AND(L56="OTR",N56=""),"Explica OTR en las notas",IF(AND(K56="Finalizada",I56&lt;H56,L56=""),"Falta código de motivo","")))</f>
        <v/>
      </c>
      <c r="P56" s="9" t="str">
        <f aca="false">IF(OR(D56="",A56=""),"",IF(COUNTIFS(Revision_previa!$B:$B,D56,Revision_previa!$A:$A,"&gt;="&amp;A56,Revision_previa!$A:$A,"&lt;"&amp;(A56+1))=0,"Sin revisión",IF(COUNTIFS(Revision_previa!$B:$B,D56,Revision_previa!$A:$A,"&gt;="&amp;A56,Revision_previa!$A:$A,"&lt;"&amp;(A56+1),Revision_previa!$D:$D,"Falla")+COUNTIFS(Revision_previa!$B:$B,D56,Revision_previa!$A:$A,"&gt;="&amp;A56,Revision_previa!$A:$A,"&lt;"&amp;(A56+1),Revision_previa!$E:$E,"Falla")+COUNTIFS(Revision_previa!$B:$B,D56,Revision_previa!$A:$A,"&gt;="&amp;A56,Revision_previa!$A:$A,"&lt;"&amp;(A56+1),Revision_previa!$F:$F,"Falla")+COUNTIFS(Revision_previa!$B:$B,D56,Revision_previa!$A:$A,"&gt;="&amp;A56,Revision_previa!$A:$A,"&lt;"&amp;(A56+1),Revision_previa!$H:$H,"Encendido")&gt;0,"No apto","Apto")))</f>
        <v/>
      </c>
    </row>
    <row r="57" customFormat="false" ht="15" hidden="false" customHeight="false" outlineLevel="0" collapsed="false">
      <c r="A57" s="23"/>
      <c r="B57" s="9"/>
      <c r="C57" s="9"/>
      <c r="D57" s="9"/>
      <c r="E57" s="9" t="str">
        <f aca="false">IF(C57="","",IFERROR(INDEX(Conductores!$B:$B,MATCH(C57,Conductores!$A:$A,0)),"ID no encontrado"))</f>
        <v/>
      </c>
      <c r="F57" s="9" t="str">
        <f aca="false">IF(B57="","",IFERROR(INDEX(Rutas!$B:$B,MATCH(B57,Rutas!$A:$A,0)),"ID no encontrado"))</f>
        <v/>
      </c>
      <c r="G57" s="9" t="str">
        <f aca="false">IF(OR(B57="",C57="",D57=""),"",IF(OR(ISNA(MATCH(B57,Rutas!$A:$A,0)),ISNA(MATCH(C57,Conductores!$A:$A,0)),ISNA(MATCH(D57,Vehículos!$A:$A,0))),"REVISAR: ID no encontrado",IF(INDEX(Rutas!$C:$C,MATCH(B57,Rutas!$A:$A,0))&lt;&gt;INDEX(Vehículos!$B:$B,MATCH(D57,Vehículos!$A:$A,0)),"REVISAR: el vehículo no corresponde a la ruta",IF(INDEX(Rutas!$C:$C,MATCH(B57,Rutas!$A:$A,0))&lt;&gt;INDEX(Conductores!$D:$D,MATCH(C57,Conductores!$A:$A,0)),"REVISAR: el conductor no corresponde a la ruta",IF(OR(INDEX(Vehículos!$E:$E,MATCH(D57,Vehículos!$A:$A,0))="Taller",INDEX(Vehículos!$E:$E,MATCH(D57,Vehículos!$A:$A,0))="Fuera de servicio"),"REVISAR: vehículo no disponible",IF(INDEX(Conductores!$G:$G,MATCH(C57,Conductores!$A:$A,0))&lt;&gt;"Activo","REVISAR: conductor no activo",IF(COUNTIFS($A:$A,A57,$C:$C,C57)&gt;1,"REVISAR: conductor asignado dos veces",IF(COUNTIFS($A:$A,A57,$D:$D,D57)&gt;1,"REVISAR: vehículo asignado dos veces","OK"))))))))</f>
        <v/>
      </c>
      <c r="H57" s="9"/>
      <c r="I57" s="9"/>
      <c r="J57" s="14" t="str">
        <f aca="false">IF(OR(H57="",H57=0),"",I57/H57)</f>
        <v/>
      </c>
      <c r="K57" s="9"/>
      <c r="L57" s="9"/>
      <c r="M57" s="24"/>
      <c r="N57" s="9"/>
      <c r="O57" s="9" t="str">
        <f aca="false">IF(AND(OR(K57="En riesgo",K57="Atrasada"),L57=""),"Falta código de motivo",IF(AND(L57="OTR",N57=""),"Explica OTR en las notas",IF(AND(K57="Finalizada",I57&lt;H57,L57=""),"Falta código de motivo","")))</f>
        <v/>
      </c>
      <c r="P57" s="9" t="str">
        <f aca="false">IF(OR(D57="",A57=""),"",IF(COUNTIFS(Revision_previa!$B:$B,D57,Revision_previa!$A:$A,"&gt;="&amp;A57,Revision_previa!$A:$A,"&lt;"&amp;(A57+1))=0,"Sin revisión",IF(COUNTIFS(Revision_previa!$B:$B,D57,Revision_previa!$A:$A,"&gt;="&amp;A57,Revision_previa!$A:$A,"&lt;"&amp;(A57+1),Revision_previa!$D:$D,"Falla")+COUNTIFS(Revision_previa!$B:$B,D57,Revision_previa!$A:$A,"&gt;="&amp;A57,Revision_previa!$A:$A,"&lt;"&amp;(A57+1),Revision_previa!$E:$E,"Falla")+COUNTIFS(Revision_previa!$B:$B,D57,Revision_previa!$A:$A,"&gt;="&amp;A57,Revision_previa!$A:$A,"&lt;"&amp;(A57+1),Revision_previa!$F:$F,"Falla")+COUNTIFS(Revision_previa!$B:$B,D57,Revision_previa!$A:$A,"&gt;="&amp;A57,Revision_previa!$A:$A,"&lt;"&amp;(A57+1),Revision_previa!$H:$H,"Encendido")&gt;0,"No apto","Apto")))</f>
        <v/>
      </c>
    </row>
    <row r="58" customFormat="false" ht="15" hidden="false" customHeight="false" outlineLevel="0" collapsed="false">
      <c r="A58" s="23"/>
      <c r="B58" s="9"/>
      <c r="C58" s="9"/>
      <c r="D58" s="9"/>
      <c r="E58" s="9" t="str">
        <f aca="false">IF(C58="","",IFERROR(INDEX(Conductores!$B:$B,MATCH(C58,Conductores!$A:$A,0)),"ID no encontrado"))</f>
        <v/>
      </c>
      <c r="F58" s="9" t="str">
        <f aca="false">IF(B58="","",IFERROR(INDEX(Rutas!$B:$B,MATCH(B58,Rutas!$A:$A,0)),"ID no encontrado"))</f>
        <v/>
      </c>
      <c r="G58" s="9" t="str">
        <f aca="false">IF(OR(B58="",C58="",D58=""),"",IF(OR(ISNA(MATCH(B58,Rutas!$A:$A,0)),ISNA(MATCH(C58,Conductores!$A:$A,0)),ISNA(MATCH(D58,Vehículos!$A:$A,0))),"REVISAR: ID no encontrado",IF(INDEX(Rutas!$C:$C,MATCH(B58,Rutas!$A:$A,0))&lt;&gt;INDEX(Vehículos!$B:$B,MATCH(D58,Vehículos!$A:$A,0)),"REVISAR: el vehículo no corresponde a la ruta",IF(INDEX(Rutas!$C:$C,MATCH(B58,Rutas!$A:$A,0))&lt;&gt;INDEX(Conductores!$D:$D,MATCH(C58,Conductores!$A:$A,0)),"REVISAR: el conductor no corresponde a la ruta",IF(OR(INDEX(Vehículos!$E:$E,MATCH(D58,Vehículos!$A:$A,0))="Taller",INDEX(Vehículos!$E:$E,MATCH(D58,Vehículos!$A:$A,0))="Fuera de servicio"),"REVISAR: vehículo no disponible",IF(INDEX(Conductores!$G:$G,MATCH(C58,Conductores!$A:$A,0))&lt;&gt;"Activo","REVISAR: conductor no activo",IF(COUNTIFS($A:$A,A58,$C:$C,C58)&gt;1,"REVISAR: conductor asignado dos veces",IF(COUNTIFS($A:$A,A58,$D:$D,D58)&gt;1,"REVISAR: vehículo asignado dos veces","OK"))))))))</f>
        <v/>
      </c>
      <c r="H58" s="9"/>
      <c r="I58" s="9"/>
      <c r="J58" s="14" t="str">
        <f aca="false">IF(OR(H58="",H58=0),"",I58/H58)</f>
        <v/>
      </c>
      <c r="K58" s="9"/>
      <c r="L58" s="9"/>
      <c r="M58" s="24"/>
      <c r="N58" s="9"/>
      <c r="O58" s="9" t="str">
        <f aca="false">IF(AND(OR(K58="En riesgo",K58="Atrasada"),L58=""),"Falta código de motivo",IF(AND(L58="OTR",N58=""),"Explica OTR en las notas",IF(AND(K58="Finalizada",I58&lt;H58,L58=""),"Falta código de motivo","")))</f>
        <v/>
      </c>
      <c r="P58" s="9" t="str">
        <f aca="false">IF(OR(D58="",A58=""),"",IF(COUNTIFS(Revision_previa!$B:$B,D58,Revision_previa!$A:$A,"&gt;="&amp;A58,Revision_previa!$A:$A,"&lt;"&amp;(A58+1))=0,"Sin revisión",IF(COUNTIFS(Revision_previa!$B:$B,D58,Revision_previa!$A:$A,"&gt;="&amp;A58,Revision_previa!$A:$A,"&lt;"&amp;(A58+1),Revision_previa!$D:$D,"Falla")+COUNTIFS(Revision_previa!$B:$B,D58,Revision_previa!$A:$A,"&gt;="&amp;A58,Revision_previa!$A:$A,"&lt;"&amp;(A58+1),Revision_previa!$E:$E,"Falla")+COUNTIFS(Revision_previa!$B:$B,D58,Revision_previa!$A:$A,"&gt;="&amp;A58,Revision_previa!$A:$A,"&lt;"&amp;(A58+1),Revision_previa!$F:$F,"Falla")+COUNTIFS(Revision_previa!$B:$B,D58,Revision_previa!$A:$A,"&gt;="&amp;A58,Revision_previa!$A:$A,"&lt;"&amp;(A58+1),Revision_previa!$H:$H,"Encendido")&gt;0,"No apto","Apto")))</f>
        <v/>
      </c>
    </row>
    <row r="59" customFormat="false" ht="15" hidden="false" customHeight="false" outlineLevel="0" collapsed="false">
      <c r="A59" s="23"/>
      <c r="B59" s="9"/>
      <c r="C59" s="9"/>
      <c r="D59" s="9"/>
      <c r="E59" s="9" t="str">
        <f aca="false">IF(C59="","",IFERROR(INDEX(Conductores!$B:$B,MATCH(C59,Conductores!$A:$A,0)),"ID no encontrado"))</f>
        <v/>
      </c>
      <c r="F59" s="9" t="str">
        <f aca="false">IF(B59="","",IFERROR(INDEX(Rutas!$B:$B,MATCH(B59,Rutas!$A:$A,0)),"ID no encontrado"))</f>
        <v/>
      </c>
      <c r="G59" s="9" t="str">
        <f aca="false">IF(OR(B59="",C59="",D59=""),"",IF(OR(ISNA(MATCH(B59,Rutas!$A:$A,0)),ISNA(MATCH(C59,Conductores!$A:$A,0)),ISNA(MATCH(D59,Vehículos!$A:$A,0))),"REVISAR: ID no encontrado",IF(INDEX(Rutas!$C:$C,MATCH(B59,Rutas!$A:$A,0))&lt;&gt;INDEX(Vehículos!$B:$B,MATCH(D59,Vehículos!$A:$A,0)),"REVISAR: el vehículo no corresponde a la ruta",IF(INDEX(Rutas!$C:$C,MATCH(B59,Rutas!$A:$A,0))&lt;&gt;INDEX(Conductores!$D:$D,MATCH(C59,Conductores!$A:$A,0)),"REVISAR: el conductor no corresponde a la ruta",IF(OR(INDEX(Vehículos!$E:$E,MATCH(D59,Vehículos!$A:$A,0))="Taller",INDEX(Vehículos!$E:$E,MATCH(D59,Vehículos!$A:$A,0))="Fuera de servicio"),"REVISAR: vehículo no disponible",IF(INDEX(Conductores!$G:$G,MATCH(C59,Conductores!$A:$A,0))&lt;&gt;"Activo","REVISAR: conductor no activo",IF(COUNTIFS($A:$A,A59,$C:$C,C59)&gt;1,"REVISAR: conductor asignado dos veces",IF(COUNTIFS($A:$A,A59,$D:$D,D59)&gt;1,"REVISAR: vehículo asignado dos veces","OK"))))))))</f>
        <v/>
      </c>
      <c r="H59" s="9"/>
      <c r="I59" s="9"/>
      <c r="J59" s="14" t="str">
        <f aca="false">IF(OR(H59="",H59=0),"",I59/H59)</f>
        <v/>
      </c>
      <c r="K59" s="9"/>
      <c r="L59" s="9"/>
      <c r="M59" s="24"/>
      <c r="N59" s="9"/>
      <c r="O59" s="9" t="str">
        <f aca="false">IF(AND(OR(K59="En riesgo",K59="Atrasada"),L59=""),"Falta código de motivo",IF(AND(L59="OTR",N59=""),"Explica OTR en las notas",IF(AND(K59="Finalizada",I59&lt;H59,L59=""),"Falta código de motivo","")))</f>
        <v/>
      </c>
      <c r="P59" s="9" t="str">
        <f aca="false">IF(OR(D59="",A59=""),"",IF(COUNTIFS(Revision_previa!$B:$B,D59,Revision_previa!$A:$A,"&gt;="&amp;A59,Revision_previa!$A:$A,"&lt;"&amp;(A59+1))=0,"Sin revisión",IF(COUNTIFS(Revision_previa!$B:$B,D59,Revision_previa!$A:$A,"&gt;="&amp;A59,Revision_previa!$A:$A,"&lt;"&amp;(A59+1),Revision_previa!$D:$D,"Falla")+COUNTIFS(Revision_previa!$B:$B,D59,Revision_previa!$A:$A,"&gt;="&amp;A59,Revision_previa!$A:$A,"&lt;"&amp;(A59+1),Revision_previa!$E:$E,"Falla")+COUNTIFS(Revision_previa!$B:$B,D59,Revision_previa!$A:$A,"&gt;="&amp;A59,Revision_previa!$A:$A,"&lt;"&amp;(A59+1),Revision_previa!$F:$F,"Falla")+COUNTIFS(Revision_previa!$B:$B,D59,Revision_previa!$A:$A,"&gt;="&amp;A59,Revision_previa!$A:$A,"&lt;"&amp;(A59+1),Revision_previa!$H:$H,"Encendido")&gt;0,"No apto","Apto")))</f>
        <v/>
      </c>
    </row>
    <row r="60" customFormat="false" ht="15" hidden="false" customHeight="false" outlineLevel="0" collapsed="false">
      <c r="A60" s="23"/>
      <c r="B60" s="9"/>
      <c r="C60" s="9"/>
      <c r="D60" s="9"/>
      <c r="E60" s="9" t="str">
        <f aca="false">IF(C60="","",IFERROR(INDEX(Conductores!$B:$B,MATCH(C60,Conductores!$A:$A,0)),"ID no encontrado"))</f>
        <v/>
      </c>
      <c r="F60" s="9" t="str">
        <f aca="false">IF(B60="","",IFERROR(INDEX(Rutas!$B:$B,MATCH(B60,Rutas!$A:$A,0)),"ID no encontrado"))</f>
        <v/>
      </c>
      <c r="G60" s="9" t="str">
        <f aca="false">IF(OR(B60="",C60="",D60=""),"",IF(OR(ISNA(MATCH(B60,Rutas!$A:$A,0)),ISNA(MATCH(C60,Conductores!$A:$A,0)),ISNA(MATCH(D60,Vehículos!$A:$A,0))),"REVISAR: ID no encontrado",IF(INDEX(Rutas!$C:$C,MATCH(B60,Rutas!$A:$A,0))&lt;&gt;INDEX(Vehículos!$B:$B,MATCH(D60,Vehículos!$A:$A,0)),"REVISAR: el vehículo no corresponde a la ruta",IF(INDEX(Rutas!$C:$C,MATCH(B60,Rutas!$A:$A,0))&lt;&gt;INDEX(Conductores!$D:$D,MATCH(C60,Conductores!$A:$A,0)),"REVISAR: el conductor no corresponde a la ruta",IF(OR(INDEX(Vehículos!$E:$E,MATCH(D60,Vehículos!$A:$A,0))="Taller",INDEX(Vehículos!$E:$E,MATCH(D60,Vehículos!$A:$A,0))="Fuera de servicio"),"REVISAR: vehículo no disponible",IF(INDEX(Conductores!$G:$G,MATCH(C60,Conductores!$A:$A,0))&lt;&gt;"Activo","REVISAR: conductor no activo",IF(COUNTIFS($A:$A,A60,$C:$C,C60)&gt;1,"REVISAR: conductor asignado dos veces",IF(COUNTIFS($A:$A,A60,$D:$D,D60)&gt;1,"REVISAR: vehículo asignado dos veces","OK"))))))))</f>
        <v/>
      </c>
      <c r="H60" s="9"/>
      <c r="I60" s="9"/>
      <c r="J60" s="14" t="str">
        <f aca="false">IF(OR(H60="",H60=0),"",I60/H60)</f>
        <v/>
      </c>
      <c r="K60" s="9"/>
      <c r="L60" s="9"/>
      <c r="M60" s="24"/>
      <c r="N60" s="9"/>
      <c r="O60" s="9" t="str">
        <f aca="false">IF(AND(OR(K60="En riesgo",K60="Atrasada"),L60=""),"Falta código de motivo",IF(AND(L60="OTR",N60=""),"Explica OTR en las notas",IF(AND(K60="Finalizada",I60&lt;H60,L60=""),"Falta código de motivo","")))</f>
        <v/>
      </c>
      <c r="P60" s="9" t="str">
        <f aca="false">IF(OR(D60="",A60=""),"",IF(COUNTIFS(Revision_previa!$B:$B,D60,Revision_previa!$A:$A,"&gt;="&amp;A60,Revision_previa!$A:$A,"&lt;"&amp;(A60+1))=0,"Sin revisión",IF(COUNTIFS(Revision_previa!$B:$B,D60,Revision_previa!$A:$A,"&gt;="&amp;A60,Revision_previa!$A:$A,"&lt;"&amp;(A60+1),Revision_previa!$D:$D,"Falla")+COUNTIFS(Revision_previa!$B:$B,D60,Revision_previa!$A:$A,"&gt;="&amp;A60,Revision_previa!$A:$A,"&lt;"&amp;(A60+1),Revision_previa!$E:$E,"Falla")+COUNTIFS(Revision_previa!$B:$B,D60,Revision_previa!$A:$A,"&gt;="&amp;A60,Revision_previa!$A:$A,"&lt;"&amp;(A60+1),Revision_previa!$F:$F,"Falla")+COUNTIFS(Revision_previa!$B:$B,D60,Revision_previa!$A:$A,"&gt;="&amp;A60,Revision_previa!$A:$A,"&lt;"&amp;(A60+1),Revision_previa!$H:$H,"Encendido")&gt;0,"No apto","Apto")))</f>
        <v/>
      </c>
    </row>
    <row r="61" customFormat="false" ht="15" hidden="false" customHeight="false" outlineLevel="0" collapsed="false">
      <c r="A61" s="23"/>
      <c r="B61" s="9"/>
      <c r="C61" s="9"/>
      <c r="D61" s="9"/>
      <c r="E61" s="9" t="str">
        <f aca="false">IF(C61="","",IFERROR(INDEX(Conductores!$B:$B,MATCH(C61,Conductores!$A:$A,0)),"ID no encontrado"))</f>
        <v/>
      </c>
      <c r="F61" s="9" t="str">
        <f aca="false">IF(B61="","",IFERROR(INDEX(Rutas!$B:$B,MATCH(B61,Rutas!$A:$A,0)),"ID no encontrado"))</f>
        <v/>
      </c>
      <c r="G61" s="9" t="str">
        <f aca="false">IF(OR(B61="",C61="",D61=""),"",IF(OR(ISNA(MATCH(B61,Rutas!$A:$A,0)),ISNA(MATCH(C61,Conductores!$A:$A,0)),ISNA(MATCH(D61,Vehículos!$A:$A,0))),"REVISAR: ID no encontrado",IF(INDEX(Rutas!$C:$C,MATCH(B61,Rutas!$A:$A,0))&lt;&gt;INDEX(Vehículos!$B:$B,MATCH(D61,Vehículos!$A:$A,0)),"REVISAR: el vehículo no corresponde a la ruta",IF(INDEX(Rutas!$C:$C,MATCH(B61,Rutas!$A:$A,0))&lt;&gt;INDEX(Conductores!$D:$D,MATCH(C61,Conductores!$A:$A,0)),"REVISAR: el conductor no corresponde a la ruta",IF(OR(INDEX(Vehículos!$E:$E,MATCH(D61,Vehículos!$A:$A,0))="Taller",INDEX(Vehículos!$E:$E,MATCH(D61,Vehículos!$A:$A,0))="Fuera de servicio"),"REVISAR: vehículo no disponible",IF(INDEX(Conductores!$G:$G,MATCH(C61,Conductores!$A:$A,0))&lt;&gt;"Activo","REVISAR: conductor no activo",IF(COUNTIFS($A:$A,A61,$C:$C,C61)&gt;1,"REVISAR: conductor asignado dos veces",IF(COUNTIFS($A:$A,A61,$D:$D,D61)&gt;1,"REVISAR: vehículo asignado dos veces","OK"))))))))</f>
        <v/>
      </c>
      <c r="H61" s="9"/>
      <c r="I61" s="9"/>
      <c r="J61" s="14" t="str">
        <f aca="false">IF(OR(H61="",H61=0),"",I61/H61)</f>
        <v/>
      </c>
      <c r="K61" s="9"/>
      <c r="L61" s="9"/>
      <c r="M61" s="24"/>
      <c r="N61" s="9"/>
      <c r="O61" s="9" t="str">
        <f aca="false">IF(AND(OR(K61="En riesgo",K61="Atrasada"),L61=""),"Falta código de motivo",IF(AND(L61="OTR",N61=""),"Explica OTR en las notas",IF(AND(K61="Finalizada",I61&lt;H61,L61=""),"Falta código de motivo","")))</f>
        <v/>
      </c>
      <c r="P61" s="9" t="str">
        <f aca="false">IF(OR(D61="",A61=""),"",IF(COUNTIFS(Revision_previa!$B:$B,D61,Revision_previa!$A:$A,"&gt;="&amp;A61,Revision_previa!$A:$A,"&lt;"&amp;(A61+1))=0,"Sin revisión",IF(COUNTIFS(Revision_previa!$B:$B,D61,Revision_previa!$A:$A,"&gt;="&amp;A61,Revision_previa!$A:$A,"&lt;"&amp;(A61+1),Revision_previa!$D:$D,"Falla")+COUNTIFS(Revision_previa!$B:$B,D61,Revision_previa!$A:$A,"&gt;="&amp;A61,Revision_previa!$A:$A,"&lt;"&amp;(A61+1),Revision_previa!$E:$E,"Falla")+COUNTIFS(Revision_previa!$B:$B,D61,Revision_previa!$A:$A,"&gt;="&amp;A61,Revision_previa!$A:$A,"&lt;"&amp;(A61+1),Revision_previa!$F:$F,"Falla")+COUNTIFS(Revision_previa!$B:$B,D61,Revision_previa!$A:$A,"&gt;="&amp;A61,Revision_previa!$A:$A,"&lt;"&amp;(A61+1),Revision_previa!$H:$H,"Encendido")&gt;0,"No apto","Apto")))</f>
        <v/>
      </c>
    </row>
    <row r="62" customFormat="false" ht="15" hidden="false" customHeight="false" outlineLevel="0" collapsed="false">
      <c r="A62" s="23"/>
      <c r="B62" s="9"/>
      <c r="C62" s="9"/>
      <c r="D62" s="9"/>
      <c r="E62" s="9" t="str">
        <f aca="false">IF(C62="","",IFERROR(INDEX(Conductores!$B:$B,MATCH(C62,Conductores!$A:$A,0)),"ID no encontrado"))</f>
        <v/>
      </c>
      <c r="F62" s="9" t="str">
        <f aca="false">IF(B62="","",IFERROR(INDEX(Rutas!$B:$B,MATCH(B62,Rutas!$A:$A,0)),"ID no encontrado"))</f>
        <v/>
      </c>
      <c r="G62" s="9" t="str">
        <f aca="false">IF(OR(B62="",C62="",D62=""),"",IF(OR(ISNA(MATCH(B62,Rutas!$A:$A,0)),ISNA(MATCH(C62,Conductores!$A:$A,0)),ISNA(MATCH(D62,Vehículos!$A:$A,0))),"REVISAR: ID no encontrado",IF(INDEX(Rutas!$C:$C,MATCH(B62,Rutas!$A:$A,0))&lt;&gt;INDEX(Vehículos!$B:$B,MATCH(D62,Vehículos!$A:$A,0)),"REVISAR: el vehículo no corresponde a la ruta",IF(INDEX(Rutas!$C:$C,MATCH(B62,Rutas!$A:$A,0))&lt;&gt;INDEX(Conductores!$D:$D,MATCH(C62,Conductores!$A:$A,0)),"REVISAR: el conductor no corresponde a la ruta",IF(OR(INDEX(Vehículos!$E:$E,MATCH(D62,Vehículos!$A:$A,0))="Taller",INDEX(Vehículos!$E:$E,MATCH(D62,Vehículos!$A:$A,0))="Fuera de servicio"),"REVISAR: vehículo no disponible",IF(INDEX(Conductores!$G:$G,MATCH(C62,Conductores!$A:$A,0))&lt;&gt;"Activo","REVISAR: conductor no activo",IF(COUNTIFS($A:$A,A62,$C:$C,C62)&gt;1,"REVISAR: conductor asignado dos veces",IF(COUNTIFS($A:$A,A62,$D:$D,D62)&gt;1,"REVISAR: vehículo asignado dos veces","OK"))))))))</f>
        <v/>
      </c>
      <c r="H62" s="9"/>
      <c r="I62" s="9"/>
      <c r="J62" s="14" t="str">
        <f aca="false">IF(OR(H62="",H62=0),"",I62/H62)</f>
        <v/>
      </c>
      <c r="K62" s="9"/>
      <c r="L62" s="9"/>
      <c r="M62" s="24"/>
      <c r="N62" s="9"/>
      <c r="O62" s="9" t="str">
        <f aca="false">IF(AND(OR(K62="En riesgo",K62="Atrasada"),L62=""),"Falta código de motivo",IF(AND(L62="OTR",N62=""),"Explica OTR en las notas",IF(AND(K62="Finalizada",I62&lt;H62,L62=""),"Falta código de motivo","")))</f>
        <v/>
      </c>
      <c r="P62" s="9" t="str">
        <f aca="false">IF(OR(D62="",A62=""),"",IF(COUNTIFS(Revision_previa!$B:$B,D62,Revision_previa!$A:$A,"&gt;="&amp;A62,Revision_previa!$A:$A,"&lt;"&amp;(A62+1))=0,"Sin revisión",IF(COUNTIFS(Revision_previa!$B:$B,D62,Revision_previa!$A:$A,"&gt;="&amp;A62,Revision_previa!$A:$A,"&lt;"&amp;(A62+1),Revision_previa!$D:$D,"Falla")+COUNTIFS(Revision_previa!$B:$B,D62,Revision_previa!$A:$A,"&gt;="&amp;A62,Revision_previa!$A:$A,"&lt;"&amp;(A62+1),Revision_previa!$E:$E,"Falla")+COUNTIFS(Revision_previa!$B:$B,D62,Revision_previa!$A:$A,"&gt;="&amp;A62,Revision_previa!$A:$A,"&lt;"&amp;(A62+1),Revision_previa!$F:$F,"Falla")+COUNTIFS(Revision_previa!$B:$B,D62,Revision_previa!$A:$A,"&gt;="&amp;A62,Revision_previa!$A:$A,"&lt;"&amp;(A62+1),Revision_previa!$H:$H,"Encendido")&gt;0,"No apto","Apto")))</f>
        <v/>
      </c>
    </row>
    <row r="63" customFormat="false" ht="15" hidden="false" customHeight="false" outlineLevel="0" collapsed="false">
      <c r="A63" s="23"/>
      <c r="B63" s="9"/>
      <c r="C63" s="9"/>
      <c r="D63" s="9"/>
      <c r="E63" s="9" t="str">
        <f aca="false">IF(C63="","",IFERROR(INDEX(Conductores!$B:$B,MATCH(C63,Conductores!$A:$A,0)),"ID no encontrado"))</f>
        <v/>
      </c>
      <c r="F63" s="9" t="str">
        <f aca="false">IF(B63="","",IFERROR(INDEX(Rutas!$B:$B,MATCH(B63,Rutas!$A:$A,0)),"ID no encontrado"))</f>
        <v/>
      </c>
      <c r="G63" s="9" t="str">
        <f aca="false">IF(OR(B63="",C63="",D63=""),"",IF(OR(ISNA(MATCH(B63,Rutas!$A:$A,0)),ISNA(MATCH(C63,Conductores!$A:$A,0)),ISNA(MATCH(D63,Vehículos!$A:$A,0))),"REVISAR: ID no encontrado",IF(INDEX(Rutas!$C:$C,MATCH(B63,Rutas!$A:$A,0))&lt;&gt;INDEX(Vehículos!$B:$B,MATCH(D63,Vehículos!$A:$A,0)),"REVISAR: el vehículo no corresponde a la ruta",IF(INDEX(Rutas!$C:$C,MATCH(B63,Rutas!$A:$A,0))&lt;&gt;INDEX(Conductores!$D:$D,MATCH(C63,Conductores!$A:$A,0)),"REVISAR: el conductor no corresponde a la ruta",IF(OR(INDEX(Vehículos!$E:$E,MATCH(D63,Vehículos!$A:$A,0))="Taller",INDEX(Vehículos!$E:$E,MATCH(D63,Vehículos!$A:$A,0))="Fuera de servicio"),"REVISAR: vehículo no disponible",IF(INDEX(Conductores!$G:$G,MATCH(C63,Conductores!$A:$A,0))&lt;&gt;"Activo","REVISAR: conductor no activo",IF(COUNTIFS($A:$A,A63,$C:$C,C63)&gt;1,"REVISAR: conductor asignado dos veces",IF(COUNTIFS($A:$A,A63,$D:$D,D63)&gt;1,"REVISAR: vehículo asignado dos veces","OK"))))))))</f>
        <v/>
      </c>
      <c r="H63" s="9"/>
      <c r="I63" s="9"/>
      <c r="J63" s="14" t="str">
        <f aca="false">IF(OR(H63="",H63=0),"",I63/H63)</f>
        <v/>
      </c>
      <c r="K63" s="9"/>
      <c r="L63" s="9"/>
      <c r="M63" s="24"/>
      <c r="N63" s="9"/>
      <c r="O63" s="9" t="str">
        <f aca="false">IF(AND(OR(K63="En riesgo",K63="Atrasada"),L63=""),"Falta código de motivo",IF(AND(L63="OTR",N63=""),"Explica OTR en las notas",IF(AND(K63="Finalizada",I63&lt;H63,L63=""),"Falta código de motivo","")))</f>
        <v/>
      </c>
      <c r="P63" s="9" t="str">
        <f aca="false">IF(OR(D63="",A63=""),"",IF(COUNTIFS(Revision_previa!$B:$B,D63,Revision_previa!$A:$A,"&gt;="&amp;A63,Revision_previa!$A:$A,"&lt;"&amp;(A63+1))=0,"Sin revisión",IF(COUNTIFS(Revision_previa!$B:$B,D63,Revision_previa!$A:$A,"&gt;="&amp;A63,Revision_previa!$A:$A,"&lt;"&amp;(A63+1),Revision_previa!$D:$D,"Falla")+COUNTIFS(Revision_previa!$B:$B,D63,Revision_previa!$A:$A,"&gt;="&amp;A63,Revision_previa!$A:$A,"&lt;"&amp;(A63+1),Revision_previa!$E:$E,"Falla")+COUNTIFS(Revision_previa!$B:$B,D63,Revision_previa!$A:$A,"&gt;="&amp;A63,Revision_previa!$A:$A,"&lt;"&amp;(A63+1),Revision_previa!$F:$F,"Falla")+COUNTIFS(Revision_previa!$B:$B,D63,Revision_previa!$A:$A,"&gt;="&amp;A63,Revision_previa!$A:$A,"&lt;"&amp;(A63+1),Revision_previa!$H:$H,"Encendido")&gt;0,"No apto","Apto")))</f>
        <v/>
      </c>
    </row>
    <row r="64" customFormat="false" ht="15" hidden="false" customHeight="false" outlineLevel="0" collapsed="false">
      <c r="A64" s="23"/>
      <c r="B64" s="9"/>
      <c r="C64" s="9"/>
      <c r="D64" s="9"/>
      <c r="E64" s="9" t="str">
        <f aca="false">IF(C64="","",IFERROR(INDEX(Conductores!$B:$B,MATCH(C64,Conductores!$A:$A,0)),"ID no encontrado"))</f>
        <v/>
      </c>
      <c r="F64" s="9" t="str">
        <f aca="false">IF(B64="","",IFERROR(INDEX(Rutas!$B:$B,MATCH(B64,Rutas!$A:$A,0)),"ID no encontrado"))</f>
        <v/>
      </c>
      <c r="G64" s="9" t="str">
        <f aca="false">IF(OR(B64="",C64="",D64=""),"",IF(OR(ISNA(MATCH(B64,Rutas!$A:$A,0)),ISNA(MATCH(C64,Conductores!$A:$A,0)),ISNA(MATCH(D64,Vehículos!$A:$A,0))),"REVISAR: ID no encontrado",IF(INDEX(Rutas!$C:$C,MATCH(B64,Rutas!$A:$A,0))&lt;&gt;INDEX(Vehículos!$B:$B,MATCH(D64,Vehículos!$A:$A,0)),"REVISAR: el vehículo no corresponde a la ruta",IF(INDEX(Rutas!$C:$C,MATCH(B64,Rutas!$A:$A,0))&lt;&gt;INDEX(Conductores!$D:$D,MATCH(C64,Conductores!$A:$A,0)),"REVISAR: el conductor no corresponde a la ruta",IF(OR(INDEX(Vehículos!$E:$E,MATCH(D64,Vehículos!$A:$A,0))="Taller",INDEX(Vehículos!$E:$E,MATCH(D64,Vehículos!$A:$A,0))="Fuera de servicio"),"REVISAR: vehículo no disponible",IF(INDEX(Conductores!$G:$G,MATCH(C64,Conductores!$A:$A,0))&lt;&gt;"Activo","REVISAR: conductor no activo",IF(COUNTIFS($A:$A,A64,$C:$C,C64)&gt;1,"REVISAR: conductor asignado dos veces",IF(COUNTIFS($A:$A,A64,$D:$D,D64)&gt;1,"REVISAR: vehículo asignado dos veces","OK"))))))))</f>
        <v/>
      </c>
      <c r="H64" s="9"/>
      <c r="I64" s="9"/>
      <c r="J64" s="14" t="str">
        <f aca="false">IF(OR(H64="",H64=0),"",I64/H64)</f>
        <v/>
      </c>
      <c r="K64" s="9"/>
      <c r="L64" s="9"/>
      <c r="M64" s="24"/>
      <c r="N64" s="9"/>
      <c r="O64" s="9" t="str">
        <f aca="false">IF(AND(OR(K64="En riesgo",K64="Atrasada"),L64=""),"Falta código de motivo",IF(AND(L64="OTR",N64=""),"Explica OTR en las notas",IF(AND(K64="Finalizada",I64&lt;H64,L64=""),"Falta código de motivo","")))</f>
        <v/>
      </c>
      <c r="P64" s="9" t="str">
        <f aca="false">IF(OR(D64="",A64=""),"",IF(COUNTIFS(Revision_previa!$B:$B,D64,Revision_previa!$A:$A,"&gt;="&amp;A64,Revision_previa!$A:$A,"&lt;"&amp;(A64+1))=0,"Sin revisión",IF(COUNTIFS(Revision_previa!$B:$B,D64,Revision_previa!$A:$A,"&gt;="&amp;A64,Revision_previa!$A:$A,"&lt;"&amp;(A64+1),Revision_previa!$D:$D,"Falla")+COUNTIFS(Revision_previa!$B:$B,D64,Revision_previa!$A:$A,"&gt;="&amp;A64,Revision_previa!$A:$A,"&lt;"&amp;(A64+1),Revision_previa!$E:$E,"Falla")+COUNTIFS(Revision_previa!$B:$B,D64,Revision_previa!$A:$A,"&gt;="&amp;A64,Revision_previa!$A:$A,"&lt;"&amp;(A64+1),Revision_previa!$F:$F,"Falla")+COUNTIFS(Revision_previa!$B:$B,D64,Revision_previa!$A:$A,"&gt;="&amp;A64,Revision_previa!$A:$A,"&lt;"&amp;(A64+1),Revision_previa!$H:$H,"Encendido")&gt;0,"No apto","Apto")))</f>
        <v/>
      </c>
    </row>
    <row r="65" customFormat="false" ht="15" hidden="false" customHeight="false" outlineLevel="0" collapsed="false">
      <c r="A65" s="23"/>
      <c r="B65" s="9"/>
      <c r="C65" s="9"/>
      <c r="D65" s="9"/>
      <c r="E65" s="9" t="str">
        <f aca="false">IF(C65="","",IFERROR(INDEX(Conductores!$B:$B,MATCH(C65,Conductores!$A:$A,0)),"ID no encontrado"))</f>
        <v/>
      </c>
      <c r="F65" s="9" t="str">
        <f aca="false">IF(B65="","",IFERROR(INDEX(Rutas!$B:$B,MATCH(B65,Rutas!$A:$A,0)),"ID no encontrado"))</f>
        <v/>
      </c>
      <c r="G65" s="9" t="str">
        <f aca="false">IF(OR(B65="",C65="",D65=""),"",IF(OR(ISNA(MATCH(B65,Rutas!$A:$A,0)),ISNA(MATCH(C65,Conductores!$A:$A,0)),ISNA(MATCH(D65,Vehículos!$A:$A,0))),"REVISAR: ID no encontrado",IF(INDEX(Rutas!$C:$C,MATCH(B65,Rutas!$A:$A,0))&lt;&gt;INDEX(Vehículos!$B:$B,MATCH(D65,Vehículos!$A:$A,0)),"REVISAR: el vehículo no corresponde a la ruta",IF(INDEX(Rutas!$C:$C,MATCH(B65,Rutas!$A:$A,0))&lt;&gt;INDEX(Conductores!$D:$D,MATCH(C65,Conductores!$A:$A,0)),"REVISAR: el conductor no corresponde a la ruta",IF(OR(INDEX(Vehículos!$E:$E,MATCH(D65,Vehículos!$A:$A,0))="Taller",INDEX(Vehículos!$E:$E,MATCH(D65,Vehículos!$A:$A,0))="Fuera de servicio"),"REVISAR: vehículo no disponible",IF(INDEX(Conductores!$G:$G,MATCH(C65,Conductores!$A:$A,0))&lt;&gt;"Activo","REVISAR: conductor no activo",IF(COUNTIFS($A:$A,A65,$C:$C,C65)&gt;1,"REVISAR: conductor asignado dos veces",IF(COUNTIFS($A:$A,A65,$D:$D,D65)&gt;1,"REVISAR: vehículo asignado dos veces","OK"))))))))</f>
        <v/>
      </c>
      <c r="H65" s="9"/>
      <c r="I65" s="9"/>
      <c r="J65" s="14" t="str">
        <f aca="false">IF(OR(H65="",H65=0),"",I65/H65)</f>
        <v/>
      </c>
      <c r="K65" s="9"/>
      <c r="L65" s="9"/>
      <c r="M65" s="24"/>
      <c r="N65" s="9"/>
      <c r="O65" s="9" t="str">
        <f aca="false">IF(AND(OR(K65="En riesgo",K65="Atrasada"),L65=""),"Falta código de motivo",IF(AND(L65="OTR",N65=""),"Explica OTR en las notas",IF(AND(K65="Finalizada",I65&lt;H65,L65=""),"Falta código de motivo","")))</f>
        <v/>
      </c>
      <c r="P65" s="9" t="str">
        <f aca="false">IF(OR(D65="",A65=""),"",IF(COUNTIFS(Revision_previa!$B:$B,D65,Revision_previa!$A:$A,"&gt;="&amp;A65,Revision_previa!$A:$A,"&lt;"&amp;(A65+1))=0,"Sin revisión",IF(COUNTIFS(Revision_previa!$B:$B,D65,Revision_previa!$A:$A,"&gt;="&amp;A65,Revision_previa!$A:$A,"&lt;"&amp;(A65+1),Revision_previa!$D:$D,"Falla")+COUNTIFS(Revision_previa!$B:$B,D65,Revision_previa!$A:$A,"&gt;="&amp;A65,Revision_previa!$A:$A,"&lt;"&amp;(A65+1),Revision_previa!$E:$E,"Falla")+COUNTIFS(Revision_previa!$B:$B,D65,Revision_previa!$A:$A,"&gt;="&amp;A65,Revision_previa!$A:$A,"&lt;"&amp;(A65+1),Revision_previa!$F:$F,"Falla")+COUNTIFS(Revision_previa!$B:$B,D65,Revision_previa!$A:$A,"&gt;="&amp;A65,Revision_previa!$A:$A,"&lt;"&amp;(A65+1),Revision_previa!$H:$H,"Encendido")&gt;0,"No apto","Apto")))</f>
        <v/>
      </c>
    </row>
    <row r="66" customFormat="false" ht="15" hidden="false" customHeight="false" outlineLevel="0" collapsed="false">
      <c r="A66" s="23"/>
      <c r="B66" s="9"/>
      <c r="C66" s="9"/>
      <c r="D66" s="9"/>
      <c r="E66" s="9" t="str">
        <f aca="false">IF(C66="","",IFERROR(INDEX(Conductores!$B:$B,MATCH(C66,Conductores!$A:$A,0)),"ID no encontrado"))</f>
        <v/>
      </c>
      <c r="F66" s="9" t="str">
        <f aca="false">IF(B66="","",IFERROR(INDEX(Rutas!$B:$B,MATCH(B66,Rutas!$A:$A,0)),"ID no encontrado"))</f>
        <v/>
      </c>
      <c r="G66" s="9" t="str">
        <f aca="false">IF(OR(B66="",C66="",D66=""),"",IF(OR(ISNA(MATCH(B66,Rutas!$A:$A,0)),ISNA(MATCH(C66,Conductores!$A:$A,0)),ISNA(MATCH(D66,Vehículos!$A:$A,0))),"REVISAR: ID no encontrado",IF(INDEX(Rutas!$C:$C,MATCH(B66,Rutas!$A:$A,0))&lt;&gt;INDEX(Vehículos!$B:$B,MATCH(D66,Vehículos!$A:$A,0)),"REVISAR: el vehículo no corresponde a la ruta",IF(INDEX(Rutas!$C:$C,MATCH(B66,Rutas!$A:$A,0))&lt;&gt;INDEX(Conductores!$D:$D,MATCH(C66,Conductores!$A:$A,0)),"REVISAR: el conductor no corresponde a la ruta",IF(OR(INDEX(Vehículos!$E:$E,MATCH(D66,Vehículos!$A:$A,0))="Taller",INDEX(Vehículos!$E:$E,MATCH(D66,Vehículos!$A:$A,0))="Fuera de servicio"),"REVISAR: vehículo no disponible",IF(INDEX(Conductores!$G:$G,MATCH(C66,Conductores!$A:$A,0))&lt;&gt;"Activo","REVISAR: conductor no activo",IF(COUNTIFS($A:$A,A66,$C:$C,C66)&gt;1,"REVISAR: conductor asignado dos veces",IF(COUNTIFS($A:$A,A66,$D:$D,D66)&gt;1,"REVISAR: vehículo asignado dos veces","OK"))))))))</f>
        <v/>
      </c>
      <c r="H66" s="9"/>
      <c r="I66" s="9"/>
      <c r="J66" s="14" t="str">
        <f aca="false">IF(OR(H66="",H66=0),"",I66/H66)</f>
        <v/>
      </c>
      <c r="K66" s="9"/>
      <c r="L66" s="9"/>
      <c r="M66" s="24"/>
      <c r="N66" s="9"/>
      <c r="O66" s="9" t="str">
        <f aca="false">IF(AND(OR(K66="En riesgo",K66="Atrasada"),L66=""),"Falta código de motivo",IF(AND(L66="OTR",N66=""),"Explica OTR en las notas",IF(AND(K66="Finalizada",I66&lt;H66,L66=""),"Falta código de motivo","")))</f>
        <v/>
      </c>
      <c r="P66" s="9" t="str">
        <f aca="false">IF(OR(D66="",A66=""),"",IF(COUNTIFS(Revision_previa!$B:$B,D66,Revision_previa!$A:$A,"&gt;="&amp;A66,Revision_previa!$A:$A,"&lt;"&amp;(A66+1))=0,"Sin revisión",IF(COUNTIFS(Revision_previa!$B:$B,D66,Revision_previa!$A:$A,"&gt;="&amp;A66,Revision_previa!$A:$A,"&lt;"&amp;(A66+1),Revision_previa!$D:$D,"Falla")+COUNTIFS(Revision_previa!$B:$B,D66,Revision_previa!$A:$A,"&gt;="&amp;A66,Revision_previa!$A:$A,"&lt;"&amp;(A66+1),Revision_previa!$E:$E,"Falla")+COUNTIFS(Revision_previa!$B:$B,D66,Revision_previa!$A:$A,"&gt;="&amp;A66,Revision_previa!$A:$A,"&lt;"&amp;(A66+1),Revision_previa!$F:$F,"Falla")+COUNTIFS(Revision_previa!$B:$B,D66,Revision_previa!$A:$A,"&gt;="&amp;A66,Revision_previa!$A:$A,"&lt;"&amp;(A66+1),Revision_previa!$H:$H,"Encendido")&gt;0,"No apto","Apto")))</f>
        <v/>
      </c>
    </row>
    <row r="67" customFormat="false" ht="15" hidden="false" customHeight="false" outlineLevel="0" collapsed="false">
      <c r="A67" s="23"/>
      <c r="B67" s="9"/>
      <c r="C67" s="9"/>
      <c r="D67" s="9"/>
      <c r="E67" s="9" t="str">
        <f aca="false">IF(C67="","",IFERROR(INDEX(Conductores!$B:$B,MATCH(C67,Conductores!$A:$A,0)),"ID no encontrado"))</f>
        <v/>
      </c>
      <c r="F67" s="9" t="str">
        <f aca="false">IF(B67="","",IFERROR(INDEX(Rutas!$B:$B,MATCH(B67,Rutas!$A:$A,0)),"ID no encontrado"))</f>
        <v/>
      </c>
      <c r="G67" s="9" t="str">
        <f aca="false">IF(OR(B67="",C67="",D67=""),"",IF(OR(ISNA(MATCH(B67,Rutas!$A:$A,0)),ISNA(MATCH(C67,Conductores!$A:$A,0)),ISNA(MATCH(D67,Vehículos!$A:$A,0))),"REVISAR: ID no encontrado",IF(INDEX(Rutas!$C:$C,MATCH(B67,Rutas!$A:$A,0))&lt;&gt;INDEX(Vehículos!$B:$B,MATCH(D67,Vehículos!$A:$A,0)),"REVISAR: el vehículo no corresponde a la ruta",IF(INDEX(Rutas!$C:$C,MATCH(B67,Rutas!$A:$A,0))&lt;&gt;INDEX(Conductores!$D:$D,MATCH(C67,Conductores!$A:$A,0)),"REVISAR: el conductor no corresponde a la ruta",IF(OR(INDEX(Vehículos!$E:$E,MATCH(D67,Vehículos!$A:$A,0))="Taller",INDEX(Vehículos!$E:$E,MATCH(D67,Vehículos!$A:$A,0))="Fuera de servicio"),"REVISAR: vehículo no disponible",IF(INDEX(Conductores!$G:$G,MATCH(C67,Conductores!$A:$A,0))&lt;&gt;"Activo","REVISAR: conductor no activo",IF(COUNTIFS($A:$A,A67,$C:$C,C67)&gt;1,"REVISAR: conductor asignado dos veces",IF(COUNTIFS($A:$A,A67,$D:$D,D67)&gt;1,"REVISAR: vehículo asignado dos veces","OK"))))))))</f>
        <v/>
      </c>
      <c r="H67" s="9"/>
      <c r="I67" s="9"/>
      <c r="J67" s="14" t="str">
        <f aca="false">IF(OR(H67="",H67=0),"",I67/H67)</f>
        <v/>
      </c>
      <c r="K67" s="9"/>
      <c r="L67" s="9"/>
      <c r="M67" s="24"/>
      <c r="N67" s="9"/>
      <c r="O67" s="9" t="str">
        <f aca="false">IF(AND(OR(K67="En riesgo",K67="Atrasada"),L67=""),"Falta código de motivo",IF(AND(L67="OTR",N67=""),"Explica OTR en las notas",IF(AND(K67="Finalizada",I67&lt;H67,L67=""),"Falta código de motivo","")))</f>
        <v/>
      </c>
      <c r="P67" s="9" t="str">
        <f aca="false">IF(OR(D67="",A67=""),"",IF(COUNTIFS(Revision_previa!$B:$B,D67,Revision_previa!$A:$A,"&gt;="&amp;A67,Revision_previa!$A:$A,"&lt;"&amp;(A67+1))=0,"Sin revisión",IF(COUNTIFS(Revision_previa!$B:$B,D67,Revision_previa!$A:$A,"&gt;="&amp;A67,Revision_previa!$A:$A,"&lt;"&amp;(A67+1),Revision_previa!$D:$D,"Falla")+COUNTIFS(Revision_previa!$B:$B,D67,Revision_previa!$A:$A,"&gt;="&amp;A67,Revision_previa!$A:$A,"&lt;"&amp;(A67+1),Revision_previa!$E:$E,"Falla")+COUNTIFS(Revision_previa!$B:$B,D67,Revision_previa!$A:$A,"&gt;="&amp;A67,Revision_previa!$A:$A,"&lt;"&amp;(A67+1),Revision_previa!$F:$F,"Falla")+COUNTIFS(Revision_previa!$B:$B,D67,Revision_previa!$A:$A,"&gt;="&amp;A67,Revision_previa!$A:$A,"&lt;"&amp;(A67+1),Revision_previa!$H:$H,"Encendido")&gt;0,"No apto","Apto")))</f>
        <v/>
      </c>
    </row>
    <row r="68" customFormat="false" ht="15" hidden="false" customHeight="false" outlineLevel="0" collapsed="false">
      <c r="A68" s="23"/>
      <c r="B68" s="9"/>
      <c r="C68" s="9"/>
      <c r="D68" s="9"/>
      <c r="E68" s="9" t="str">
        <f aca="false">IF(C68="","",IFERROR(INDEX(Conductores!$B:$B,MATCH(C68,Conductores!$A:$A,0)),"ID no encontrado"))</f>
        <v/>
      </c>
      <c r="F68" s="9" t="str">
        <f aca="false">IF(B68="","",IFERROR(INDEX(Rutas!$B:$B,MATCH(B68,Rutas!$A:$A,0)),"ID no encontrado"))</f>
        <v/>
      </c>
      <c r="G68" s="9" t="str">
        <f aca="false">IF(OR(B68="",C68="",D68=""),"",IF(OR(ISNA(MATCH(B68,Rutas!$A:$A,0)),ISNA(MATCH(C68,Conductores!$A:$A,0)),ISNA(MATCH(D68,Vehículos!$A:$A,0))),"REVISAR: ID no encontrado",IF(INDEX(Rutas!$C:$C,MATCH(B68,Rutas!$A:$A,0))&lt;&gt;INDEX(Vehículos!$B:$B,MATCH(D68,Vehículos!$A:$A,0)),"REVISAR: el vehículo no corresponde a la ruta",IF(INDEX(Rutas!$C:$C,MATCH(B68,Rutas!$A:$A,0))&lt;&gt;INDEX(Conductores!$D:$D,MATCH(C68,Conductores!$A:$A,0)),"REVISAR: el conductor no corresponde a la ruta",IF(OR(INDEX(Vehículos!$E:$E,MATCH(D68,Vehículos!$A:$A,0))="Taller",INDEX(Vehículos!$E:$E,MATCH(D68,Vehículos!$A:$A,0))="Fuera de servicio"),"REVISAR: vehículo no disponible",IF(INDEX(Conductores!$G:$G,MATCH(C68,Conductores!$A:$A,0))&lt;&gt;"Activo","REVISAR: conductor no activo",IF(COUNTIFS($A:$A,A68,$C:$C,C68)&gt;1,"REVISAR: conductor asignado dos veces",IF(COUNTIFS($A:$A,A68,$D:$D,D68)&gt;1,"REVISAR: vehículo asignado dos veces","OK"))))))))</f>
        <v/>
      </c>
      <c r="H68" s="9"/>
      <c r="I68" s="9"/>
      <c r="J68" s="14" t="str">
        <f aca="false">IF(OR(H68="",H68=0),"",I68/H68)</f>
        <v/>
      </c>
      <c r="K68" s="9"/>
      <c r="L68" s="9"/>
      <c r="M68" s="24"/>
      <c r="N68" s="9"/>
      <c r="O68" s="9" t="str">
        <f aca="false">IF(AND(OR(K68="En riesgo",K68="Atrasada"),L68=""),"Falta código de motivo",IF(AND(L68="OTR",N68=""),"Explica OTR en las notas",IF(AND(K68="Finalizada",I68&lt;H68,L68=""),"Falta código de motivo","")))</f>
        <v/>
      </c>
      <c r="P68" s="9" t="str">
        <f aca="false">IF(OR(D68="",A68=""),"",IF(COUNTIFS(Revision_previa!$B:$B,D68,Revision_previa!$A:$A,"&gt;="&amp;A68,Revision_previa!$A:$A,"&lt;"&amp;(A68+1))=0,"Sin revisión",IF(COUNTIFS(Revision_previa!$B:$B,D68,Revision_previa!$A:$A,"&gt;="&amp;A68,Revision_previa!$A:$A,"&lt;"&amp;(A68+1),Revision_previa!$D:$D,"Falla")+COUNTIFS(Revision_previa!$B:$B,D68,Revision_previa!$A:$A,"&gt;="&amp;A68,Revision_previa!$A:$A,"&lt;"&amp;(A68+1),Revision_previa!$E:$E,"Falla")+COUNTIFS(Revision_previa!$B:$B,D68,Revision_previa!$A:$A,"&gt;="&amp;A68,Revision_previa!$A:$A,"&lt;"&amp;(A68+1),Revision_previa!$F:$F,"Falla")+COUNTIFS(Revision_previa!$B:$B,D68,Revision_previa!$A:$A,"&gt;="&amp;A68,Revision_previa!$A:$A,"&lt;"&amp;(A68+1),Revision_previa!$H:$H,"Encendido")&gt;0,"No apto","Apto")))</f>
        <v/>
      </c>
    </row>
    <row r="69" customFormat="false" ht="15" hidden="false" customHeight="false" outlineLevel="0" collapsed="false">
      <c r="A69" s="23"/>
      <c r="B69" s="9"/>
      <c r="C69" s="9"/>
      <c r="D69" s="9"/>
      <c r="E69" s="9" t="str">
        <f aca="false">IF(C69="","",IFERROR(INDEX(Conductores!$B:$B,MATCH(C69,Conductores!$A:$A,0)),"ID no encontrado"))</f>
        <v/>
      </c>
      <c r="F69" s="9" t="str">
        <f aca="false">IF(B69="","",IFERROR(INDEX(Rutas!$B:$B,MATCH(B69,Rutas!$A:$A,0)),"ID no encontrado"))</f>
        <v/>
      </c>
      <c r="G69" s="9" t="str">
        <f aca="false">IF(OR(B69="",C69="",D69=""),"",IF(OR(ISNA(MATCH(B69,Rutas!$A:$A,0)),ISNA(MATCH(C69,Conductores!$A:$A,0)),ISNA(MATCH(D69,Vehículos!$A:$A,0))),"REVISAR: ID no encontrado",IF(INDEX(Rutas!$C:$C,MATCH(B69,Rutas!$A:$A,0))&lt;&gt;INDEX(Vehículos!$B:$B,MATCH(D69,Vehículos!$A:$A,0)),"REVISAR: el vehículo no corresponde a la ruta",IF(INDEX(Rutas!$C:$C,MATCH(B69,Rutas!$A:$A,0))&lt;&gt;INDEX(Conductores!$D:$D,MATCH(C69,Conductores!$A:$A,0)),"REVISAR: el conductor no corresponde a la ruta",IF(OR(INDEX(Vehículos!$E:$E,MATCH(D69,Vehículos!$A:$A,0))="Taller",INDEX(Vehículos!$E:$E,MATCH(D69,Vehículos!$A:$A,0))="Fuera de servicio"),"REVISAR: vehículo no disponible",IF(INDEX(Conductores!$G:$G,MATCH(C69,Conductores!$A:$A,0))&lt;&gt;"Activo","REVISAR: conductor no activo",IF(COUNTIFS($A:$A,A69,$C:$C,C69)&gt;1,"REVISAR: conductor asignado dos veces",IF(COUNTIFS($A:$A,A69,$D:$D,D69)&gt;1,"REVISAR: vehículo asignado dos veces","OK"))))))))</f>
        <v/>
      </c>
      <c r="H69" s="9"/>
      <c r="I69" s="9"/>
      <c r="J69" s="14" t="str">
        <f aca="false">IF(OR(H69="",H69=0),"",I69/H69)</f>
        <v/>
      </c>
      <c r="K69" s="9"/>
      <c r="L69" s="9"/>
      <c r="M69" s="24"/>
      <c r="N69" s="9"/>
      <c r="O69" s="9" t="str">
        <f aca="false">IF(AND(OR(K69="En riesgo",K69="Atrasada"),L69=""),"Falta código de motivo",IF(AND(L69="OTR",N69=""),"Explica OTR en las notas",IF(AND(K69="Finalizada",I69&lt;H69,L69=""),"Falta código de motivo","")))</f>
        <v/>
      </c>
      <c r="P69" s="9" t="str">
        <f aca="false">IF(OR(D69="",A69=""),"",IF(COUNTIFS(Revision_previa!$B:$B,D69,Revision_previa!$A:$A,"&gt;="&amp;A69,Revision_previa!$A:$A,"&lt;"&amp;(A69+1))=0,"Sin revisión",IF(COUNTIFS(Revision_previa!$B:$B,D69,Revision_previa!$A:$A,"&gt;="&amp;A69,Revision_previa!$A:$A,"&lt;"&amp;(A69+1),Revision_previa!$D:$D,"Falla")+COUNTIFS(Revision_previa!$B:$B,D69,Revision_previa!$A:$A,"&gt;="&amp;A69,Revision_previa!$A:$A,"&lt;"&amp;(A69+1),Revision_previa!$E:$E,"Falla")+COUNTIFS(Revision_previa!$B:$B,D69,Revision_previa!$A:$A,"&gt;="&amp;A69,Revision_previa!$A:$A,"&lt;"&amp;(A69+1),Revision_previa!$F:$F,"Falla")+COUNTIFS(Revision_previa!$B:$B,D69,Revision_previa!$A:$A,"&gt;="&amp;A69,Revision_previa!$A:$A,"&lt;"&amp;(A69+1),Revision_previa!$H:$H,"Encendido")&gt;0,"No apto","Apto")))</f>
        <v/>
      </c>
    </row>
    <row r="70" customFormat="false" ht="15" hidden="false" customHeight="false" outlineLevel="0" collapsed="false">
      <c r="A70" s="23"/>
      <c r="B70" s="9"/>
      <c r="C70" s="9"/>
      <c r="D70" s="9"/>
      <c r="E70" s="9" t="str">
        <f aca="false">IF(C70="","",IFERROR(INDEX(Conductores!$B:$B,MATCH(C70,Conductores!$A:$A,0)),"ID no encontrado"))</f>
        <v/>
      </c>
      <c r="F70" s="9" t="str">
        <f aca="false">IF(B70="","",IFERROR(INDEX(Rutas!$B:$B,MATCH(B70,Rutas!$A:$A,0)),"ID no encontrado"))</f>
        <v/>
      </c>
      <c r="G70" s="9" t="str">
        <f aca="false">IF(OR(B70="",C70="",D70=""),"",IF(OR(ISNA(MATCH(B70,Rutas!$A:$A,0)),ISNA(MATCH(C70,Conductores!$A:$A,0)),ISNA(MATCH(D70,Vehículos!$A:$A,0))),"REVISAR: ID no encontrado",IF(INDEX(Rutas!$C:$C,MATCH(B70,Rutas!$A:$A,0))&lt;&gt;INDEX(Vehículos!$B:$B,MATCH(D70,Vehículos!$A:$A,0)),"REVISAR: el vehículo no corresponde a la ruta",IF(INDEX(Rutas!$C:$C,MATCH(B70,Rutas!$A:$A,0))&lt;&gt;INDEX(Conductores!$D:$D,MATCH(C70,Conductores!$A:$A,0)),"REVISAR: el conductor no corresponde a la ruta",IF(OR(INDEX(Vehículos!$E:$E,MATCH(D70,Vehículos!$A:$A,0))="Taller",INDEX(Vehículos!$E:$E,MATCH(D70,Vehículos!$A:$A,0))="Fuera de servicio"),"REVISAR: vehículo no disponible",IF(INDEX(Conductores!$G:$G,MATCH(C70,Conductores!$A:$A,0))&lt;&gt;"Activo","REVISAR: conductor no activo",IF(COUNTIFS($A:$A,A70,$C:$C,C70)&gt;1,"REVISAR: conductor asignado dos veces",IF(COUNTIFS($A:$A,A70,$D:$D,D70)&gt;1,"REVISAR: vehículo asignado dos veces","OK"))))))))</f>
        <v/>
      </c>
      <c r="H70" s="9"/>
      <c r="I70" s="9"/>
      <c r="J70" s="14" t="str">
        <f aca="false">IF(OR(H70="",H70=0),"",I70/H70)</f>
        <v/>
      </c>
      <c r="K70" s="9"/>
      <c r="L70" s="9"/>
      <c r="M70" s="24"/>
      <c r="N70" s="9"/>
      <c r="O70" s="9" t="str">
        <f aca="false">IF(AND(OR(K70="En riesgo",K70="Atrasada"),L70=""),"Falta código de motivo",IF(AND(L70="OTR",N70=""),"Explica OTR en las notas",IF(AND(K70="Finalizada",I70&lt;H70,L70=""),"Falta código de motivo","")))</f>
        <v/>
      </c>
      <c r="P70" s="9" t="str">
        <f aca="false">IF(OR(D70="",A70=""),"",IF(COUNTIFS(Revision_previa!$B:$B,D70,Revision_previa!$A:$A,"&gt;="&amp;A70,Revision_previa!$A:$A,"&lt;"&amp;(A70+1))=0,"Sin revisión",IF(COUNTIFS(Revision_previa!$B:$B,D70,Revision_previa!$A:$A,"&gt;="&amp;A70,Revision_previa!$A:$A,"&lt;"&amp;(A70+1),Revision_previa!$D:$D,"Falla")+COUNTIFS(Revision_previa!$B:$B,D70,Revision_previa!$A:$A,"&gt;="&amp;A70,Revision_previa!$A:$A,"&lt;"&amp;(A70+1),Revision_previa!$E:$E,"Falla")+COUNTIFS(Revision_previa!$B:$B,D70,Revision_previa!$A:$A,"&gt;="&amp;A70,Revision_previa!$A:$A,"&lt;"&amp;(A70+1),Revision_previa!$F:$F,"Falla")+COUNTIFS(Revision_previa!$B:$B,D70,Revision_previa!$A:$A,"&gt;="&amp;A70,Revision_previa!$A:$A,"&lt;"&amp;(A70+1),Revision_previa!$H:$H,"Encendido")&gt;0,"No apto","Apto")))</f>
        <v/>
      </c>
    </row>
    <row r="71" customFormat="false" ht="15" hidden="false" customHeight="false" outlineLevel="0" collapsed="false">
      <c r="A71" s="23"/>
      <c r="B71" s="9"/>
      <c r="C71" s="9"/>
      <c r="D71" s="9"/>
      <c r="E71" s="9" t="str">
        <f aca="false">IF(C71="","",IFERROR(INDEX(Conductores!$B:$B,MATCH(C71,Conductores!$A:$A,0)),"ID no encontrado"))</f>
        <v/>
      </c>
      <c r="F71" s="9" t="str">
        <f aca="false">IF(B71="","",IFERROR(INDEX(Rutas!$B:$B,MATCH(B71,Rutas!$A:$A,0)),"ID no encontrado"))</f>
        <v/>
      </c>
      <c r="G71" s="9" t="str">
        <f aca="false">IF(OR(B71="",C71="",D71=""),"",IF(OR(ISNA(MATCH(B71,Rutas!$A:$A,0)),ISNA(MATCH(C71,Conductores!$A:$A,0)),ISNA(MATCH(D71,Vehículos!$A:$A,0))),"REVISAR: ID no encontrado",IF(INDEX(Rutas!$C:$C,MATCH(B71,Rutas!$A:$A,0))&lt;&gt;INDEX(Vehículos!$B:$B,MATCH(D71,Vehículos!$A:$A,0)),"REVISAR: el vehículo no corresponde a la ruta",IF(INDEX(Rutas!$C:$C,MATCH(B71,Rutas!$A:$A,0))&lt;&gt;INDEX(Conductores!$D:$D,MATCH(C71,Conductores!$A:$A,0)),"REVISAR: el conductor no corresponde a la ruta",IF(OR(INDEX(Vehículos!$E:$E,MATCH(D71,Vehículos!$A:$A,0))="Taller",INDEX(Vehículos!$E:$E,MATCH(D71,Vehículos!$A:$A,0))="Fuera de servicio"),"REVISAR: vehículo no disponible",IF(INDEX(Conductores!$G:$G,MATCH(C71,Conductores!$A:$A,0))&lt;&gt;"Activo","REVISAR: conductor no activo",IF(COUNTIFS($A:$A,A71,$C:$C,C71)&gt;1,"REVISAR: conductor asignado dos veces",IF(COUNTIFS($A:$A,A71,$D:$D,D71)&gt;1,"REVISAR: vehículo asignado dos veces","OK"))))))))</f>
        <v/>
      </c>
      <c r="H71" s="9"/>
      <c r="I71" s="9"/>
      <c r="J71" s="14" t="str">
        <f aca="false">IF(OR(H71="",H71=0),"",I71/H71)</f>
        <v/>
      </c>
      <c r="K71" s="9"/>
      <c r="L71" s="9"/>
      <c r="M71" s="24"/>
      <c r="N71" s="9"/>
      <c r="O71" s="9" t="str">
        <f aca="false">IF(AND(OR(K71="En riesgo",K71="Atrasada"),L71=""),"Falta código de motivo",IF(AND(L71="OTR",N71=""),"Explica OTR en las notas",IF(AND(K71="Finalizada",I71&lt;H71,L71=""),"Falta código de motivo","")))</f>
        <v/>
      </c>
      <c r="P71" s="9" t="str">
        <f aca="false">IF(OR(D71="",A71=""),"",IF(COUNTIFS(Revision_previa!$B:$B,D71,Revision_previa!$A:$A,"&gt;="&amp;A71,Revision_previa!$A:$A,"&lt;"&amp;(A71+1))=0,"Sin revisión",IF(COUNTIFS(Revision_previa!$B:$B,D71,Revision_previa!$A:$A,"&gt;="&amp;A71,Revision_previa!$A:$A,"&lt;"&amp;(A71+1),Revision_previa!$D:$D,"Falla")+COUNTIFS(Revision_previa!$B:$B,D71,Revision_previa!$A:$A,"&gt;="&amp;A71,Revision_previa!$A:$A,"&lt;"&amp;(A71+1),Revision_previa!$E:$E,"Falla")+COUNTIFS(Revision_previa!$B:$B,D71,Revision_previa!$A:$A,"&gt;="&amp;A71,Revision_previa!$A:$A,"&lt;"&amp;(A71+1),Revision_previa!$F:$F,"Falla")+COUNTIFS(Revision_previa!$B:$B,D71,Revision_previa!$A:$A,"&gt;="&amp;A71,Revision_previa!$A:$A,"&lt;"&amp;(A71+1),Revision_previa!$H:$H,"Encendido")&gt;0,"No apto","Apto")))</f>
        <v/>
      </c>
    </row>
    <row r="72" customFormat="false" ht="15" hidden="false" customHeight="false" outlineLevel="0" collapsed="false">
      <c r="A72" s="23"/>
      <c r="B72" s="9"/>
      <c r="C72" s="9"/>
      <c r="D72" s="9"/>
      <c r="E72" s="9" t="str">
        <f aca="false">IF(C72="","",IFERROR(INDEX(Conductores!$B:$B,MATCH(C72,Conductores!$A:$A,0)),"ID no encontrado"))</f>
        <v/>
      </c>
      <c r="F72" s="9" t="str">
        <f aca="false">IF(B72="","",IFERROR(INDEX(Rutas!$B:$B,MATCH(B72,Rutas!$A:$A,0)),"ID no encontrado"))</f>
        <v/>
      </c>
      <c r="G72" s="9" t="str">
        <f aca="false">IF(OR(B72="",C72="",D72=""),"",IF(OR(ISNA(MATCH(B72,Rutas!$A:$A,0)),ISNA(MATCH(C72,Conductores!$A:$A,0)),ISNA(MATCH(D72,Vehículos!$A:$A,0))),"REVISAR: ID no encontrado",IF(INDEX(Rutas!$C:$C,MATCH(B72,Rutas!$A:$A,0))&lt;&gt;INDEX(Vehículos!$B:$B,MATCH(D72,Vehículos!$A:$A,0)),"REVISAR: el vehículo no corresponde a la ruta",IF(INDEX(Rutas!$C:$C,MATCH(B72,Rutas!$A:$A,0))&lt;&gt;INDEX(Conductores!$D:$D,MATCH(C72,Conductores!$A:$A,0)),"REVISAR: el conductor no corresponde a la ruta",IF(OR(INDEX(Vehículos!$E:$E,MATCH(D72,Vehículos!$A:$A,0))="Taller",INDEX(Vehículos!$E:$E,MATCH(D72,Vehículos!$A:$A,0))="Fuera de servicio"),"REVISAR: vehículo no disponible",IF(INDEX(Conductores!$G:$G,MATCH(C72,Conductores!$A:$A,0))&lt;&gt;"Activo","REVISAR: conductor no activo",IF(COUNTIFS($A:$A,A72,$C:$C,C72)&gt;1,"REVISAR: conductor asignado dos veces",IF(COUNTIFS($A:$A,A72,$D:$D,D72)&gt;1,"REVISAR: vehículo asignado dos veces","OK"))))))))</f>
        <v/>
      </c>
      <c r="H72" s="9"/>
      <c r="I72" s="9"/>
      <c r="J72" s="14" t="str">
        <f aca="false">IF(OR(H72="",H72=0),"",I72/H72)</f>
        <v/>
      </c>
      <c r="K72" s="9"/>
      <c r="L72" s="9"/>
      <c r="M72" s="24"/>
      <c r="N72" s="9"/>
      <c r="O72" s="9" t="str">
        <f aca="false">IF(AND(OR(K72="En riesgo",K72="Atrasada"),L72=""),"Falta código de motivo",IF(AND(L72="OTR",N72=""),"Explica OTR en las notas",IF(AND(K72="Finalizada",I72&lt;H72,L72=""),"Falta código de motivo","")))</f>
        <v/>
      </c>
      <c r="P72" s="9" t="str">
        <f aca="false">IF(OR(D72="",A72=""),"",IF(COUNTIFS(Revision_previa!$B:$B,D72,Revision_previa!$A:$A,"&gt;="&amp;A72,Revision_previa!$A:$A,"&lt;"&amp;(A72+1))=0,"Sin revisión",IF(COUNTIFS(Revision_previa!$B:$B,D72,Revision_previa!$A:$A,"&gt;="&amp;A72,Revision_previa!$A:$A,"&lt;"&amp;(A72+1),Revision_previa!$D:$D,"Falla")+COUNTIFS(Revision_previa!$B:$B,D72,Revision_previa!$A:$A,"&gt;="&amp;A72,Revision_previa!$A:$A,"&lt;"&amp;(A72+1),Revision_previa!$E:$E,"Falla")+COUNTIFS(Revision_previa!$B:$B,D72,Revision_previa!$A:$A,"&gt;="&amp;A72,Revision_previa!$A:$A,"&lt;"&amp;(A72+1),Revision_previa!$F:$F,"Falla")+COUNTIFS(Revision_previa!$B:$B,D72,Revision_previa!$A:$A,"&gt;="&amp;A72,Revision_previa!$A:$A,"&lt;"&amp;(A72+1),Revision_previa!$H:$H,"Encendido")&gt;0,"No apto","Apto")))</f>
        <v/>
      </c>
    </row>
    <row r="73" customFormat="false" ht="15" hidden="false" customHeight="false" outlineLevel="0" collapsed="false">
      <c r="A73" s="23"/>
      <c r="B73" s="9"/>
      <c r="C73" s="9"/>
      <c r="D73" s="9"/>
      <c r="E73" s="9" t="str">
        <f aca="false">IF(C73="","",IFERROR(INDEX(Conductores!$B:$B,MATCH(C73,Conductores!$A:$A,0)),"ID no encontrado"))</f>
        <v/>
      </c>
      <c r="F73" s="9" t="str">
        <f aca="false">IF(B73="","",IFERROR(INDEX(Rutas!$B:$B,MATCH(B73,Rutas!$A:$A,0)),"ID no encontrado"))</f>
        <v/>
      </c>
      <c r="G73" s="9" t="str">
        <f aca="false">IF(OR(B73="",C73="",D73=""),"",IF(OR(ISNA(MATCH(B73,Rutas!$A:$A,0)),ISNA(MATCH(C73,Conductores!$A:$A,0)),ISNA(MATCH(D73,Vehículos!$A:$A,0))),"REVISAR: ID no encontrado",IF(INDEX(Rutas!$C:$C,MATCH(B73,Rutas!$A:$A,0))&lt;&gt;INDEX(Vehículos!$B:$B,MATCH(D73,Vehículos!$A:$A,0)),"REVISAR: el vehículo no corresponde a la ruta",IF(INDEX(Rutas!$C:$C,MATCH(B73,Rutas!$A:$A,0))&lt;&gt;INDEX(Conductores!$D:$D,MATCH(C73,Conductores!$A:$A,0)),"REVISAR: el conductor no corresponde a la ruta",IF(OR(INDEX(Vehículos!$E:$E,MATCH(D73,Vehículos!$A:$A,0))="Taller",INDEX(Vehículos!$E:$E,MATCH(D73,Vehículos!$A:$A,0))="Fuera de servicio"),"REVISAR: vehículo no disponible",IF(INDEX(Conductores!$G:$G,MATCH(C73,Conductores!$A:$A,0))&lt;&gt;"Activo","REVISAR: conductor no activo",IF(COUNTIFS($A:$A,A73,$C:$C,C73)&gt;1,"REVISAR: conductor asignado dos veces",IF(COUNTIFS($A:$A,A73,$D:$D,D73)&gt;1,"REVISAR: vehículo asignado dos veces","OK"))))))))</f>
        <v/>
      </c>
      <c r="H73" s="9"/>
      <c r="I73" s="9"/>
      <c r="J73" s="14" t="str">
        <f aca="false">IF(OR(H73="",H73=0),"",I73/H73)</f>
        <v/>
      </c>
      <c r="K73" s="9"/>
      <c r="L73" s="9"/>
      <c r="M73" s="24"/>
      <c r="N73" s="9"/>
      <c r="O73" s="9" t="str">
        <f aca="false">IF(AND(OR(K73="En riesgo",K73="Atrasada"),L73=""),"Falta código de motivo",IF(AND(L73="OTR",N73=""),"Explica OTR en las notas",IF(AND(K73="Finalizada",I73&lt;H73,L73=""),"Falta código de motivo","")))</f>
        <v/>
      </c>
      <c r="P73" s="9" t="str">
        <f aca="false">IF(OR(D73="",A73=""),"",IF(COUNTIFS(Revision_previa!$B:$B,D73,Revision_previa!$A:$A,"&gt;="&amp;A73,Revision_previa!$A:$A,"&lt;"&amp;(A73+1))=0,"Sin revisión",IF(COUNTIFS(Revision_previa!$B:$B,D73,Revision_previa!$A:$A,"&gt;="&amp;A73,Revision_previa!$A:$A,"&lt;"&amp;(A73+1),Revision_previa!$D:$D,"Falla")+COUNTIFS(Revision_previa!$B:$B,D73,Revision_previa!$A:$A,"&gt;="&amp;A73,Revision_previa!$A:$A,"&lt;"&amp;(A73+1),Revision_previa!$E:$E,"Falla")+COUNTIFS(Revision_previa!$B:$B,D73,Revision_previa!$A:$A,"&gt;="&amp;A73,Revision_previa!$A:$A,"&lt;"&amp;(A73+1),Revision_previa!$F:$F,"Falla")+COUNTIFS(Revision_previa!$B:$B,D73,Revision_previa!$A:$A,"&gt;="&amp;A73,Revision_previa!$A:$A,"&lt;"&amp;(A73+1),Revision_previa!$H:$H,"Encendido")&gt;0,"No apto","Apto")))</f>
        <v/>
      </c>
    </row>
    <row r="74" customFormat="false" ht="15" hidden="false" customHeight="false" outlineLevel="0" collapsed="false">
      <c r="A74" s="23"/>
      <c r="B74" s="9"/>
      <c r="C74" s="9"/>
      <c r="D74" s="9"/>
      <c r="E74" s="9" t="str">
        <f aca="false">IF(C74="","",IFERROR(INDEX(Conductores!$B:$B,MATCH(C74,Conductores!$A:$A,0)),"ID no encontrado"))</f>
        <v/>
      </c>
      <c r="F74" s="9" t="str">
        <f aca="false">IF(B74="","",IFERROR(INDEX(Rutas!$B:$B,MATCH(B74,Rutas!$A:$A,0)),"ID no encontrado"))</f>
        <v/>
      </c>
      <c r="G74" s="9" t="str">
        <f aca="false">IF(OR(B74="",C74="",D74=""),"",IF(OR(ISNA(MATCH(B74,Rutas!$A:$A,0)),ISNA(MATCH(C74,Conductores!$A:$A,0)),ISNA(MATCH(D74,Vehículos!$A:$A,0))),"REVISAR: ID no encontrado",IF(INDEX(Rutas!$C:$C,MATCH(B74,Rutas!$A:$A,0))&lt;&gt;INDEX(Vehículos!$B:$B,MATCH(D74,Vehículos!$A:$A,0)),"REVISAR: el vehículo no corresponde a la ruta",IF(INDEX(Rutas!$C:$C,MATCH(B74,Rutas!$A:$A,0))&lt;&gt;INDEX(Conductores!$D:$D,MATCH(C74,Conductores!$A:$A,0)),"REVISAR: el conductor no corresponde a la ruta",IF(OR(INDEX(Vehículos!$E:$E,MATCH(D74,Vehículos!$A:$A,0))="Taller",INDEX(Vehículos!$E:$E,MATCH(D74,Vehículos!$A:$A,0))="Fuera de servicio"),"REVISAR: vehículo no disponible",IF(INDEX(Conductores!$G:$G,MATCH(C74,Conductores!$A:$A,0))&lt;&gt;"Activo","REVISAR: conductor no activo",IF(COUNTIFS($A:$A,A74,$C:$C,C74)&gt;1,"REVISAR: conductor asignado dos veces",IF(COUNTIFS($A:$A,A74,$D:$D,D74)&gt;1,"REVISAR: vehículo asignado dos veces","OK"))))))))</f>
        <v/>
      </c>
      <c r="H74" s="9"/>
      <c r="I74" s="9"/>
      <c r="J74" s="14" t="str">
        <f aca="false">IF(OR(H74="",H74=0),"",I74/H74)</f>
        <v/>
      </c>
      <c r="K74" s="9"/>
      <c r="L74" s="9"/>
      <c r="M74" s="24"/>
      <c r="N74" s="9"/>
      <c r="O74" s="9" t="str">
        <f aca="false">IF(AND(OR(K74="En riesgo",K74="Atrasada"),L74=""),"Falta código de motivo",IF(AND(L74="OTR",N74=""),"Explica OTR en las notas",IF(AND(K74="Finalizada",I74&lt;H74,L74=""),"Falta código de motivo","")))</f>
        <v/>
      </c>
      <c r="P74" s="9" t="str">
        <f aca="false">IF(OR(D74="",A74=""),"",IF(COUNTIFS(Revision_previa!$B:$B,D74,Revision_previa!$A:$A,"&gt;="&amp;A74,Revision_previa!$A:$A,"&lt;"&amp;(A74+1))=0,"Sin revisión",IF(COUNTIFS(Revision_previa!$B:$B,D74,Revision_previa!$A:$A,"&gt;="&amp;A74,Revision_previa!$A:$A,"&lt;"&amp;(A74+1),Revision_previa!$D:$D,"Falla")+COUNTIFS(Revision_previa!$B:$B,D74,Revision_previa!$A:$A,"&gt;="&amp;A74,Revision_previa!$A:$A,"&lt;"&amp;(A74+1),Revision_previa!$E:$E,"Falla")+COUNTIFS(Revision_previa!$B:$B,D74,Revision_previa!$A:$A,"&gt;="&amp;A74,Revision_previa!$A:$A,"&lt;"&amp;(A74+1),Revision_previa!$F:$F,"Falla")+COUNTIFS(Revision_previa!$B:$B,D74,Revision_previa!$A:$A,"&gt;="&amp;A74,Revision_previa!$A:$A,"&lt;"&amp;(A74+1),Revision_previa!$H:$H,"Encendido")&gt;0,"No apto","Apto")))</f>
        <v/>
      </c>
    </row>
    <row r="75" customFormat="false" ht="15" hidden="false" customHeight="false" outlineLevel="0" collapsed="false">
      <c r="A75" s="23"/>
      <c r="B75" s="9"/>
      <c r="C75" s="9"/>
      <c r="D75" s="9"/>
      <c r="E75" s="9" t="str">
        <f aca="false">IF(C75="","",IFERROR(INDEX(Conductores!$B:$B,MATCH(C75,Conductores!$A:$A,0)),"ID no encontrado"))</f>
        <v/>
      </c>
      <c r="F75" s="9" t="str">
        <f aca="false">IF(B75="","",IFERROR(INDEX(Rutas!$B:$B,MATCH(B75,Rutas!$A:$A,0)),"ID no encontrado"))</f>
        <v/>
      </c>
      <c r="G75" s="9" t="str">
        <f aca="false">IF(OR(B75="",C75="",D75=""),"",IF(OR(ISNA(MATCH(B75,Rutas!$A:$A,0)),ISNA(MATCH(C75,Conductores!$A:$A,0)),ISNA(MATCH(D75,Vehículos!$A:$A,0))),"REVISAR: ID no encontrado",IF(INDEX(Rutas!$C:$C,MATCH(B75,Rutas!$A:$A,0))&lt;&gt;INDEX(Vehículos!$B:$B,MATCH(D75,Vehículos!$A:$A,0)),"REVISAR: el vehículo no corresponde a la ruta",IF(INDEX(Rutas!$C:$C,MATCH(B75,Rutas!$A:$A,0))&lt;&gt;INDEX(Conductores!$D:$D,MATCH(C75,Conductores!$A:$A,0)),"REVISAR: el conductor no corresponde a la ruta",IF(OR(INDEX(Vehículos!$E:$E,MATCH(D75,Vehículos!$A:$A,0))="Taller",INDEX(Vehículos!$E:$E,MATCH(D75,Vehículos!$A:$A,0))="Fuera de servicio"),"REVISAR: vehículo no disponible",IF(INDEX(Conductores!$G:$G,MATCH(C75,Conductores!$A:$A,0))&lt;&gt;"Activo","REVISAR: conductor no activo",IF(COUNTIFS($A:$A,A75,$C:$C,C75)&gt;1,"REVISAR: conductor asignado dos veces",IF(COUNTIFS($A:$A,A75,$D:$D,D75)&gt;1,"REVISAR: vehículo asignado dos veces","OK"))))))))</f>
        <v/>
      </c>
      <c r="H75" s="9"/>
      <c r="I75" s="9"/>
      <c r="J75" s="14" t="str">
        <f aca="false">IF(OR(H75="",H75=0),"",I75/H75)</f>
        <v/>
      </c>
      <c r="K75" s="9"/>
      <c r="L75" s="9"/>
      <c r="M75" s="24"/>
      <c r="N75" s="9"/>
      <c r="O75" s="9" t="str">
        <f aca="false">IF(AND(OR(K75="En riesgo",K75="Atrasada"),L75=""),"Falta código de motivo",IF(AND(L75="OTR",N75=""),"Explica OTR en las notas",IF(AND(K75="Finalizada",I75&lt;H75,L75=""),"Falta código de motivo","")))</f>
        <v/>
      </c>
      <c r="P75" s="9" t="str">
        <f aca="false">IF(OR(D75="",A75=""),"",IF(COUNTIFS(Revision_previa!$B:$B,D75,Revision_previa!$A:$A,"&gt;="&amp;A75,Revision_previa!$A:$A,"&lt;"&amp;(A75+1))=0,"Sin revisión",IF(COUNTIFS(Revision_previa!$B:$B,D75,Revision_previa!$A:$A,"&gt;="&amp;A75,Revision_previa!$A:$A,"&lt;"&amp;(A75+1),Revision_previa!$D:$D,"Falla")+COUNTIFS(Revision_previa!$B:$B,D75,Revision_previa!$A:$A,"&gt;="&amp;A75,Revision_previa!$A:$A,"&lt;"&amp;(A75+1),Revision_previa!$E:$E,"Falla")+COUNTIFS(Revision_previa!$B:$B,D75,Revision_previa!$A:$A,"&gt;="&amp;A75,Revision_previa!$A:$A,"&lt;"&amp;(A75+1),Revision_previa!$F:$F,"Falla")+COUNTIFS(Revision_previa!$B:$B,D75,Revision_previa!$A:$A,"&gt;="&amp;A75,Revision_previa!$A:$A,"&lt;"&amp;(A75+1),Revision_previa!$H:$H,"Encendido")&gt;0,"No apto","Apto")))</f>
        <v/>
      </c>
    </row>
    <row r="76" customFormat="false" ht="15" hidden="false" customHeight="false" outlineLevel="0" collapsed="false">
      <c r="A76" s="23"/>
      <c r="B76" s="9"/>
      <c r="C76" s="9"/>
      <c r="D76" s="9"/>
      <c r="E76" s="9" t="str">
        <f aca="false">IF(C76="","",IFERROR(INDEX(Conductores!$B:$B,MATCH(C76,Conductores!$A:$A,0)),"ID no encontrado"))</f>
        <v/>
      </c>
      <c r="F76" s="9" t="str">
        <f aca="false">IF(B76="","",IFERROR(INDEX(Rutas!$B:$B,MATCH(B76,Rutas!$A:$A,0)),"ID no encontrado"))</f>
        <v/>
      </c>
      <c r="G76" s="9" t="str">
        <f aca="false">IF(OR(B76="",C76="",D76=""),"",IF(OR(ISNA(MATCH(B76,Rutas!$A:$A,0)),ISNA(MATCH(C76,Conductores!$A:$A,0)),ISNA(MATCH(D76,Vehículos!$A:$A,0))),"REVISAR: ID no encontrado",IF(INDEX(Rutas!$C:$C,MATCH(B76,Rutas!$A:$A,0))&lt;&gt;INDEX(Vehículos!$B:$B,MATCH(D76,Vehículos!$A:$A,0)),"REVISAR: el vehículo no corresponde a la ruta",IF(INDEX(Rutas!$C:$C,MATCH(B76,Rutas!$A:$A,0))&lt;&gt;INDEX(Conductores!$D:$D,MATCH(C76,Conductores!$A:$A,0)),"REVISAR: el conductor no corresponde a la ruta",IF(OR(INDEX(Vehículos!$E:$E,MATCH(D76,Vehículos!$A:$A,0))="Taller",INDEX(Vehículos!$E:$E,MATCH(D76,Vehículos!$A:$A,0))="Fuera de servicio"),"REVISAR: vehículo no disponible",IF(INDEX(Conductores!$G:$G,MATCH(C76,Conductores!$A:$A,0))&lt;&gt;"Activo","REVISAR: conductor no activo",IF(COUNTIFS($A:$A,A76,$C:$C,C76)&gt;1,"REVISAR: conductor asignado dos veces",IF(COUNTIFS($A:$A,A76,$D:$D,D76)&gt;1,"REVISAR: vehículo asignado dos veces","OK"))))))))</f>
        <v/>
      </c>
      <c r="H76" s="9"/>
      <c r="I76" s="9"/>
      <c r="J76" s="14" t="str">
        <f aca="false">IF(OR(H76="",H76=0),"",I76/H76)</f>
        <v/>
      </c>
      <c r="K76" s="9"/>
      <c r="L76" s="9"/>
      <c r="M76" s="24"/>
      <c r="N76" s="9"/>
      <c r="O76" s="9" t="str">
        <f aca="false">IF(AND(OR(K76="En riesgo",K76="Atrasada"),L76=""),"Falta código de motivo",IF(AND(L76="OTR",N76=""),"Explica OTR en las notas",IF(AND(K76="Finalizada",I76&lt;H76,L76=""),"Falta código de motivo","")))</f>
        <v/>
      </c>
      <c r="P76" s="9" t="str">
        <f aca="false">IF(OR(D76="",A76=""),"",IF(COUNTIFS(Revision_previa!$B:$B,D76,Revision_previa!$A:$A,"&gt;="&amp;A76,Revision_previa!$A:$A,"&lt;"&amp;(A76+1))=0,"Sin revisión",IF(COUNTIFS(Revision_previa!$B:$B,D76,Revision_previa!$A:$A,"&gt;="&amp;A76,Revision_previa!$A:$A,"&lt;"&amp;(A76+1),Revision_previa!$D:$D,"Falla")+COUNTIFS(Revision_previa!$B:$B,D76,Revision_previa!$A:$A,"&gt;="&amp;A76,Revision_previa!$A:$A,"&lt;"&amp;(A76+1),Revision_previa!$E:$E,"Falla")+COUNTIFS(Revision_previa!$B:$B,D76,Revision_previa!$A:$A,"&gt;="&amp;A76,Revision_previa!$A:$A,"&lt;"&amp;(A76+1),Revision_previa!$F:$F,"Falla")+COUNTIFS(Revision_previa!$B:$B,D76,Revision_previa!$A:$A,"&gt;="&amp;A76,Revision_previa!$A:$A,"&lt;"&amp;(A76+1),Revision_previa!$H:$H,"Encendido")&gt;0,"No apto","Apto")))</f>
        <v/>
      </c>
    </row>
    <row r="77" customFormat="false" ht="15" hidden="false" customHeight="false" outlineLevel="0" collapsed="false">
      <c r="A77" s="23"/>
      <c r="B77" s="9"/>
      <c r="C77" s="9"/>
      <c r="D77" s="9"/>
      <c r="E77" s="9" t="str">
        <f aca="false">IF(C77="","",IFERROR(INDEX(Conductores!$B:$B,MATCH(C77,Conductores!$A:$A,0)),"ID no encontrado"))</f>
        <v/>
      </c>
      <c r="F77" s="9" t="str">
        <f aca="false">IF(B77="","",IFERROR(INDEX(Rutas!$B:$B,MATCH(B77,Rutas!$A:$A,0)),"ID no encontrado"))</f>
        <v/>
      </c>
      <c r="G77" s="9" t="str">
        <f aca="false">IF(OR(B77="",C77="",D77=""),"",IF(OR(ISNA(MATCH(B77,Rutas!$A:$A,0)),ISNA(MATCH(C77,Conductores!$A:$A,0)),ISNA(MATCH(D77,Vehículos!$A:$A,0))),"REVISAR: ID no encontrado",IF(INDEX(Rutas!$C:$C,MATCH(B77,Rutas!$A:$A,0))&lt;&gt;INDEX(Vehículos!$B:$B,MATCH(D77,Vehículos!$A:$A,0)),"REVISAR: el vehículo no corresponde a la ruta",IF(INDEX(Rutas!$C:$C,MATCH(B77,Rutas!$A:$A,0))&lt;&gt;INDEX(Conductores!$D:$D,MATCH(C77,Conductores!$A:$A,0)),"REVISAR: el conductor no corresponde a la ruta",IF(OR(INDEX(Vehículos!$E:$E,MATCH(D77,Vehículos!$A:$A,0))="Taller",INDEX(Vehículos!$E:$E,MATCH(D77,Vehículos!$A:$A,0))="Fuera de servicio"),"REVISAR: vehículo no disponible",IF(INDEX(Conductores!$G:$G,MATCH(C77,Conductores!$A:$A,0))&lt;&gt;"Activo","REVISAR: conductor no activo",IF(COUNTIFS($A:$A,A77,$C:$C,C77)&gt;1,"REVISAR: conductor asignado dos veces",IF(COUNTIFS($A:$A,A77,$D:$D,D77)&gt;1,"REVISAR: vehículo asignado dos veces","OK"))))))))</f>
        <v/>
      </c>
      <c r="H77" s="9"/>
      <c r="I77" s="9"/>
      <c r="J77" s="14" t="str">
        <f aca="false">IF(OR(H77="",H77=0),"",I77/H77)</f>
        <v/>
      </c>
      <c r="K77" s="9"/>
      <c r="L77" s="9"/>
      <c r="M77" s="24"/>
      <c r="N77" s="9"/>
      <c r="O77" s="9" t="str">
        <f aca="false">IF(AND(OR(K77="En riesgo",K77="Atrasada"),L77=""),"Falta código de motivo",IF(AND(L77="OTR",N77=""),"Explica OTR en las notas",IF(AND(K77="Finalizada",I77&lt;H77,L77=""),"Falta código de motivo","")))</f>
        <v/>
      </c>
      <c r="P77" s="9" t="str">
        <f aca="false">IF(OR(D77="",A77=""),"",IF(COUNTIFS(Revision_previa!$B:$B,D77,Revision_previa!$A:$A,"&gt;="&amp;A77,Revision_previa!$A:$A,"&lt;"&amp;(A77+1))=0,"Sin revisión",IF(COUNTIFS(Revision_previa!$B:$B,D77,Revision_previa!$A:$A,"&gt;="&amp;A77,Revision_previa!$A:$A,"&lt;"&amp;(A77+1),Revision_previa!$D:$D,"Falla")+COUNTIFS(Revision_previa!$B:$B,D77,Revision_previa!$A:$A,"&gt;="&amp;A77,Revision_previa!$A:$A,"&lt;"&amp;(A77+1),Revision_previa!$E:$E,"Falla")+COUNTIFS(Revision_previa!$B:$B,D77,Revision_previa!$A:$A,"&gt;="&amp;A77,Revision_previa!$A:$A,"&lt;"&amp;(A77+1),Revision_previa!$F:$F,"Falla")+COUNTIFS(Revision_previa!$B:$B,D77,Revision_previa!$A:$A,"&gt;="&amp;A77,Revision_previa!$A:$A,"&lt;"&amp;(A77+1),Revision_previa!$H:$H,"Encendido")&gt;0,"No apto","Apto")))</f>
        <v/>
      </c>
    </row>
    <row r="78" customFormat="false" ht="15" hidden="false" customHeight="false" outlineLevel="0" collapsed="false">
      <c r="A78" s="23"/>
      <c r="B78" s="9"/>
      <c r="C78" s="9"/>
      <c r="D78" s="9"/>
      <c r="E78" s="9" t="str">
        <f aca="false">IF(C78="","",IFERROR(INDEX(Conductores!$B:$B,MATCH(C78,Conductores!$A:$A,0)),"ID no encontrado"))</f>
        <v/>
      </c>
      <c r="F78" s="9" t="str">
        <f aca="false">IF(B78="","",IFERROR(INDEX(Rutas!$B:$B,MATCH(B78,Rutas!$A:$A,0)),"ID no encontrado"))</f>
        <v/>
      </c>
      <c r="G78" s="9" t="str">
        <f aca="false">IF(OR(B78="",C78="",D78=""),"",IF(OR(ISNA(MATCH(B78,Rutas!$A:$A,0)),ISNA(MATCH(C78,Conductores!$A:$A,0)),ISNA(MATCH(D78,Vehículos!$A:$A,0))),"REVISAR: ID no encontrado",IF(INDEX(Rutas!$C:$C,MATCH(B78,Rutas!$A:$A,0))&lt;&gt;INDEX(Vehículos!$B:$B,MATCH(D78,Vehículos!$A:$A,0)),"REVISAR: el vehículo no corresponde a la ruta",IF(INDEX(Rutas!$C:$C,MATCH(B78,Rutas!$A:$A,0))&lt;&gt;INDEX(Conductores!$D:$D,MATCH(C78,Conductores!$A:$A,0)),"REVISAR: el conductor no corresponde a la ruta",IF(OR(INDEX(Vehículos!$E:$E,MATCH(D78,Vehículos!$A:$A,0))="Taller",INDEX(Vehículos!$E:$E,MATCH(D78,Vehículos!$A:$A,0))="Fuera de servicio"),"REVISAR: vehículo no disponible",IF(INDEX(Conductores!$G:$G,MATCH(C78,Conductores!$A:$A,0))&lt;&gt;"Activo","REVISAR: conductor no activo",IF(COUNTIFS($A:$A,A78,$C:$C,C78)&gt;1,"REVISAR: conductor asignado dos veces",IF(COUNTIFS($A:$A,A78,$D:$D,D78)&gt;1,"REVISAR: vehículo asignado dos veces","OK"))))))))</f>
        <v/>
      </c>
      <c r="H78" s="9"/>
      <c r="I78" s="9"/>
      <c r="J78" s="14" t="str">
        <f aca="false">IF(OR(H78="",H78=0),"",I78/H78)</f>
        <v/>
      </c>
      <c r="K78" s="9"/>
      <c r="L78" s="9"/>
      <c r="M78" s="24"/>
      <c r="N78" s="9"/>
      <c r="O78" s="9" t="str">
        <f aca="false">IF(AND(OR(K78="En riesgo",K78="Atrasada"),L78=""),"Falta código de motivo",IF(AND(L78="OTR",N78=""),"Explica OTR en las notas",IF(AND(K78="Finalizada",I78&lt;H78,L78=""),"Falta código de motivo","")))</f>
        <v/>
      </c>
      <c r="P78" s="9" t="str">
        <f aca="false">IF(OR(D78="",A78=""),"",IF(COUNTIFS(Revision_previa!$B:$B,D78,Revision_previa!$A:$A,"&gt;="&amp;A78,Revision_previa!$A:$A,"&lt;"&amp;(A78+1))=0,"Sin revisión",IF(COUNTIFS(Revision_previa!$B:$B,D78,Revision_previa!$A:$A,"&gt;="&amp;A78,Revision_previa!$A:$A,"&lt;"&amp;(A78+1),Revision_previa!$D:$D,"Falla")+COUNTIFS(Revision_previa!$B:$B,D78,Revision_previa!$A:$A,"&gt;="&amp;A78,Revision_previa!$A:$A,"&lt;"&amp;(A78+1),Revision_previa!$E:$E,"Falla")+COUNTIFS(Revision_previa!$B:$B,D78,Revision_previa!$A:$A,"&gt;="&amp;A78,Revision_previa!$A:$A,"&lt;"&amp;(A78+1),Revision_previa!$F:$F,"Falla")+COUNTIFS(Revision_previa!$B:$B,D78,Revision_previa!$A:$A,"&gt;="&amp;A78,Revision_previa!$A:$A,"&lt;"&amp;(A78+1),Revision_previa!$H:$H,"Encendido")&gt;0,"No apto","Apto")))</f>
        <v/>
      </c>
    </row>
    <row r="79" customFormat="false" ht="15" hidden="false" customHeight="false" outlineLevel="0" collapsed="false">
      <c r="A79" s="23"/>
      <c r="B79" s="9"/>
      <c r="C79" s="9"/>
      <c r="D79" s="9"/>
      <c r="E79" s="9" t="str">
        <f aca="false">IF(C79="","",IFERROR(INDEX(Conductores!$B:$B,MATCH(C79,Conductores!$A:$A,0)),"ID no encontrado"))</f>
        <v/>
      </c>
      <c r="F79" s="9" t="str">
        <f aca="false">IF(B79="","",IFERROR(INDEX(Rutas!$B:$B,MATCH(B79,Rutas!$A:$A,0)),"ID no encontrado"))</f>
        <v/>
      </c>
      <c r="G79" s="9" t="str">
        <f aca="false">IF(OR(B79="",C79="",D79=""),"",IF(OR(ISNA(MATCH(B79,Rutas!$A:$A,0)),ISNA(MATCH(C79,Conductores!$A:$A,0)),ISNA(MATCH(D79,Vehículos!$A:$A,0))),"REVISAR: ID no encontrado",IF(INDEX(Rutas!$C:$C,MATCH(B79,Rutas!$A:$A,0))&lt;&gt;INDEX(Vehículos!$B:$B,MATCH(D79,Vehículos!$A:$A,0)),"REVISAR: el vehículo no corresponde a la ruta",IF(INDEX(Rutas!$C:$C,MATCH(B79,Rutas!$A:$A,0))&lt;&gt;INDEX(Conductores!$D:$D,MATCH(C79,Conductores!$A:$A,0)),"REVISAR: el conductor no corresponde a la ruta",IF(OR(INDEX(Vehículos!$E:$E,MATCH(D79,Vehículos!$A:$A,0))="Taller",INDEX(Vehículos!$E:$E,MATCH(D79,Vehículos!$A:$A,0))="Fuera de servicio"),"REVISAR: vehículo no disponible",IF(INDEX(Conductores!$G:$G,MATCH(C79,Conductores!$A:$A,0))&lt;&gt;"Activo","REVISAR: conductor no activo",IF(COUNTIFS($A:$A,A79,$C:$C,C79)&gt;1,"REVISAR: conductor asignado dos veces",IF(COUNTIFS($A:$A,A79,$D:$D,D79)&gt;1,"REVISAR: vehículo asignado dos veces","OK"))))))))</f>
        <v/>
      </c>
      <c r="H79" s="9"/>
      <c r="I79" s="9"/>
      <c r="J79" s="14" t="str">
        <f aca="false">IF(OR(H79="",H79=0),"",I79/H79)</f>
        <v/>
      </c>
      <c r="K79" s="9"/>
      <c r="L79" s="9"/>
      <c r="M79" s="24"/>
      <c r="N79" s="9"/>
      <c r="O79" s="9" t="str">
        <f aca="false">IF(AND(OR(K79="En riesgo",K79="Atrasada"),L79=""),"Falta código de motivo",IF(AND(L79="OTR",N79=""),"Explica OTR en las notas",IF(AND(K79="Finalizada",I79&lt;H79,L79=""),"Falta código de motivo","")))</f>
        <v/>
      </c>
      <c r="P79" s="9" t="str">
        <f aca="false">IF(OR(D79="",A79=""),"",IF(COUNTIFS(Revision_previa!$B:$B,D79,Revision_previa!$A:$A,"&gt;="&amp;A79,Revision_previa!$A:$A,"&lt;"&amp;(A79+1))=0,"Sin revisión",IF(COUNTIFS(Revision_previa!$B:$B,D79,Revision_previa!$A:$A,"&gt;="&amp;A79,Revision_previa!$A:$A,"&lt;"&amp;(A79+1),Revision_previa!$D:$D,"Falla")+COUNTIFS(Revision_previa!$B:$B,D79,Revision_previa!$A:$A,"&gt;="&amp;A79,Revision_previa!$A:$A,"&lt;"&amp;(A79+1),Revision_previa!$E:$E,"Falla")+COUNTIFS(Revision_previa!$B:$B,D79,Revision_previa!$A:$A,"&gt;="&amp;A79,Revision_previa!$A:$A,"&lt;"&amp;(A79+1),Revision_previa!$F:$F,"Falla")+COUNTIFS(Revision_previa!$B:$B,D79,Revision_previa!$A:$A,"&gt;="&amp;A79,Revision_previa!$A:$A,"&lt;"&amp;(A79+1),Revision_previa!$H:$H,"Encendido")&gt;0,"No apto","Apto")))</f>
        <v/>
      </c>
    </row>
    <row r="80" customFormat="false" ht="15" hidden="false" customHeight="false" outlineLevel="0" collapsed="false">
      <c r="A80" s="23"/>
      <c r="B80" s="9"/>
      <c r="C80" s="9"/>
      <c r="D80" s="9"/>
      <c r="E80" s="9" t="str">
        <f aca="false">IF(C80="","",IFERROR(INDEX(Conductores!$B:$B,MATCH(C80,Conductores!$A:$A,0)),"ID no encontrado"))</f>
        <v/>
      </c>
      <c r="F80" s="9" t="str">
        <f aca="false">IF(B80="","",IFERROR(INDEX(Rutas!$B:$B,MATCH(B80,Rutas!$A:$A,0)),"ID no encontrado"))</f>
        <v/>
      </c>
      <c r="G80" s="9" t="str">
        <f aca="false">IF(OR(B80="",C80="",D80=""),"",IF(OR(ISNA(MATCH(B80,Rutas!$A:$A,0)),ISNA(MATCH(C80,Conductores!$A:$A,0)),ISNA(MATCH(D80,Vehículos!$A:$A,0))),"REVISAR: ID no encontrado",IF(INDEX(Rutas!$C:$C,MATCH(B80,Rutas!$A:$A,0))&lt;&gt;INDEX(Vehículos!$B:$B,MATCH(D80,Vehículos!$A:$A,0)),"REVISAR: el vehículo no corresponde a la ruta",IF(INDEX(Rutas!$C:$C,MATCH(B80,Rutas!$A:$A,0))&lt;&gt;INDEX(Conductores!$D:$D,MATCH(C80,Conductores!$A:$A,0)),"REVISAR: el conductor no corresponde a la ruta",IF(OR(INDEX(Vehículos!$E:$E,MATCH(D80,Vehículos!$A:$A,0))="Taller",INDEX(Vehículos!$E:$E,MATCH(D80,Vehículos!$A:$A,0))="Fuera de servicio"),"REVISAR: vehículo no disponible",IF(INDEX(Conductores!$G:$G,MATCH(C80,Conductores!$A:$A,0))&lt;&gt;"Activo","REVISAR: conductor no activo",IF(COUNTIFS($A:$A,A80,$C:$C,C80)&gt;1,"REVISAR: conductor asignado dos veces",IF(COUNTIFS($A:$A,A80,$D:$D,D80)&gt;1,"REVISAR: vehículo asignado dos veces","OK"))))))))</f>
        <v/>
      </c>
      <c r="H80" s="9"/>
      <c r="I80" s="9"/>
      <c r="J80" s="14" t="str">
        <f aca="false">IF(OR(H80="",H80=0),"",I80/H80)</f>
        <v/>
      </c>
      <c r="K80" s="9"/>
      <c r="L80" s="9"/>
      <c r="M80" s="24"/>
      <c r="N80" s="9"/>
      <c r="O80" s="9" t="str">
        <f aca="false">IF(AND(OR(K80="En riesgo",K80="Atrasada"),L80=""),"Falta código de motivo",IF(AND(L80="OTR",N80=""),"Explica OTR en las notas",IF(AND(K80="Finalizada",I80&lt;H80,L80=""),"Falta código de motivo","")))</f>
        <v/>
      </c>
      <c r="P80" s="9" t="str">
        <f aca="false">IF(OR(D80="",A80=""),"",IF(COUNTIFS(Revision_previa!$B:$B,D80,Revision_previa!$A:$A,"&gt;="&amp;A80,Revision_previa!$A:$A,"&lt;"&amp;(A80+1))=0,"Sin revisión",IF(COUNTIFS(Revision_previa!$B:$B,D80,Revision_previa!$A:$A,"&gt;="&amp;A80,Revision_previa!$A:$A,"&lt;"&amp;(A80+1),Revision_previa!$D:$D,"Falla")+COUNTIFS(Revision_previa!$B:$B,D80,Revision_previa!$A:$A,"&gt;="&amp;A80,Revision_previa!$A:$A,"&lt;"&amp;(A80+1),Revision_previa!$E:$E,"Falla")+COUNTIFS(Revision_previa!$B:$B,D80,Revision_previa!$A:$A,"&gt;="&amp;A80,Revision_previa!$A:$A,"&lt;"&amp;(A80+1),Revision_previa!$F:$F,"Falla")+COUNTIFS(Revision_previa!$B:$B,D80,Revision_previa!$A:$A,"&gt;="&amp;A80,Revision_previa!$A:$A,"&lt;"&amp;(A80+1),Revision_previa!$H:$H,"Encendido")&gt;0,"No apto","Apto")))</f>
        <v/>
      </c>
    </row>
    <row r="81" customFormat="false" ht="15" hidden="false" customHeight="false" outlineLevel="0" collapsed="false">
      <c r="A81" s="23"/>
      <c r="B81" s="9"/>
      <c r="C81" s="9"/>
      <c r="D81" s="9"/>
      <c r="E81" s="9" t="str">
        <f aca="false">IF(C81="","",IFERROR(INDEX(Conductores!$B:$B,MATCH(C81,Conductores!$A:$A,0)),"ID no encontrado"))</f>
        <v/>
      </c>
      <c r="F81" s="9" t="str">
        <f aca="false">IF(B81="","",IFERROR(INDEX(Rutas!$B:$B,MATCH(B81,Rutas!$A:$A,0)),"ID no encontrado"))</f>
        <v/>
      </c>
      <c r="G81" s="9" t="str">
        <f aca="false">IF(OR(B81="",C81="",D81=""),"",IF(OR(ISNA(MATCH(B81,Rutas!$A:$A,0)),ISNA(MATCH(C81,Conductores!$A:$A,0)),ISNA(MATCH(D81,Vehículos!$A:$A,0))),"REVISAR: ID no encontrado",IF(INDEX(Rutas!$C:$C,MATCH(B81,Rutas!$A:$A,0))&lt;&gt;INDEX(Vehículos!$B:$B,MATCH(D81,Vehículos!$A:$A,0)),"REVISAR: el vehículo no corresponde a la ruta",IF(INDEX(Rutas!$C:$C,MATCH(B81,Rutas!$A:$A,0))&lt;&gt;INDEX(Conductores!$D:$D,MATCH(C81,Conductores!$A:$A,0)),"REVISAR: el conductor no corresponde a la ruta",IF(OR(INDEX(Vehículos!$E:$E,MATCH(D81,Vehículos!$A:$A,0))="Taller",INDEX(Vehículos!$E:$E,MATCH(D81,Vehículos!$A:$A,0))="Fuera de servicio"),"REVISAR: vehículo no disponible",IF(INDEX(Conductores!$G:$G,MATCH(C81,Conductores!$A:$A,0))&lt;&gt;"Activo","REVISAR: conductor no activo",IF(COUNTIFS($A:$A,A81,$C:$C,C81)&gt;1,"REVISAR: conductor asignado dos veces",IF(COUNTIFS($A:$A,A81,$D:$D,D81)&gt;1,"REVISAR: vehículo asignado dos veces","OK"))))))))</f>
        <v/>
      </c>
      <c r="H81" s="9"/>
      <c r="I81" s="9"/>
      <c r="J81" s="14" t="str">
        <f aca="false">IF(OR(H81="",H81=0),"",I81/H81)</f>
        <v/>
      </c>
      <c r="K81" s="9"/>
      <c r="L81" s="9"/>
      <c r="M81" s="24"/>
      <c r="N81" s="9"/>
      <c r="O81" s="9" t="str">
        <f aca="false">IF(AND(OR(K81="En riesgo",K81="Atrasada"),L81=""),"Falta código de motivo",IF(AND(L81="OTR",N81=""),"Explica OTR en las notas",IF(AND(K81="Finalizada",I81&lt;H81,L81=""),"Falta código de motivo","")))</f>
        <v/>
      </c>
      <c r="P81" s="9" t="str">
        <f aca="false">IF(OR(D81="",A81=""),"",IF(COUNTIFS(Revision_previa!$B:$B,D81,Revision_previa!$A:$A,"&gt;="&amp;A81,Revision_previa!$A:$A,"&lt;"&amp;(A81+1))=0,"Sin revisión",IF(COUNTIFS(Revision_previa!$B:$B,D81,Revision_previa!$A:$A,"&gt;="&amp;A81,Revision_previa!$A:$A,"&lt;"&amp;(A81+1),Revision_previa!$D:$D,"Falla")+COUNTIFS(Revision_previa!$B:$B,D81,Revision_previa!$A:$A,"&gt;="&amp;A81,Revision_previa!$A:$A,"&lt;"&amp;(A81+1),Revision_previa!$E:$E,"Falla")+COUNTIFS(Revision_previa!$B:$B,D81,Revision_previa!$A:$A,"&gt;="&amp;A81,Revision_previa!$A:$A,"&lt;"&amp;(A81+1),Revision_previa!$F:$F,"Falla")+COUNTIFS(Revision_previa!$B:$B,D81,Revision_previa!$A:$A,"&gt;="&amp;A81,Revision_previa!$A:$A,"&lt;"&amp;(A81+1),Revision_previa!$H:$H,"Encendido")&gt;0,"No apto","Apto")))</f>
        <v/>
      </c>
    </row>
    <row r="82" customFormat="false" ht="15" hidden="false" customHeight="false" outlineLevel="0" collapsed="false">
      <c r="A82" s="23"/>
      <c r="B82" s="9"/>
      <c r="C82" s="9"/>
      <c r="D82" s="9"/>
      <c r="E82" s="9" t="str">
        <f aca="false">IF(C82="","",IFERROR(INDEX(Conductores!$B:$B,MATCH(C82,Conductores!$A:$A,0)),"ID no encontrado"))</f>
        <v/>
      </c>
      <c r="F82" s="9" t="str">
        <f aca="false">IF(B82="","",IFERROR(INDEX(Rutas!$B:$B,MATCH(B82,Rutas!$A:$A,0)),"ID no encontrado"))</f>
        <v/>
      </c>
      <c r="G82" s="9" t="str">
        <f aca="false">IF(OR(B82="",C82="",D82=""),"",IF(OR(ISNA(MATCH(B82,Rutas!$A:$A,0)),ISNA(MATCH(C82,Conductores!$A:$A,0)),ISNA(MATCH(D82,Vehículos!$A:$A,0))),"REVISAR: ID no encontrado",IF(INDEX(Rutas!$C:$C,MATCH(B82,Rutas!$A:$A,0))&lt;&gt;INDEX(Vehículos!$B:$B,MATCH(D82,Vehículos!$A:$A,0)),"REVISAR: el vehículo no corresponde a la ruta",IF(INDEX(Rutas!$C:$C,MATCH(B82,Rutas!$A:$A,0))&lt;&gt;INDEX(Conductores!$D:$D,MATCH(C82,Conductores!$A:$A,0)),"REVISAR: el conductor no corresponde a la ruta",IF(OR(INDEX(Vehículos!$E:$E,MATCH(D82,Vehículos!$A:$A,0))="Taller",INDEX(Vehículos!$E:$E,MATCH(D82,Vehículos!$A:$A,0))="Fuera de servicio"),"REVISAR: vehículo no disponible",IF(INDEX(Conductores!$G:$G,MATCH(C82,Conductores!$A:$A,0))&lt;&gt;"Activo","REVISAR: conductor no activo",IF(COUNTIFS($A:$A,A82,$C:$C,C82)&gt;1,"REVISAR: conductor asignado dos veces",IF(COUNTIFS($A:$A,A82,$D:$D,D82)&gt;1,"REVISAR: vehículo asignado dos veces","OK"))))))))</f>
        <v/>
      </c>
      <c r="H82" s="9"/>
      <c r="I82" s="9"/>
      <c r="J82" s="14" t="str">
        <f aca="false">IF(OR(H82="",H82=0),"",I82/H82)</f>
        <v/>
      </c>
      <c r="K82" s="9"/>
      <c r="L82" s="9"/>
      <c r="M82" s="24"/>
      <c r="N82" s="9"/>
      <c r="O82" s="9" t="str">
        <f aca="false">IF(AND(OR(K82="En riesgo",K82="Atrasada"),L82=""),"Falta código de motivo",IF(AND(L82="OTR",N82=""),"Explica OTR en las notas",IF(AND(K82="Finalizada",I82&lt;H82,L82=""),"Falta código de motivo","")))</f>
        <v/>
      </c>
      <c r="P82" s="9" t="str">
        <f aca="false">IF(OR(D82="",A82=""),"",IF(COUNTIFS(Revision_previa!$B:$B,D82,Revision_previa!$A:$A,"&gt;="&amp;A82,Revision_previa!$A:$A,"&lt;"&amp;(A82+1))=0,"Sin revisión",IF(COUNTIFS(Revision_previa!$B:$B,D82,Revision_previa!$A:$A,"&gt;="&amp;A82,Revision_previa!$A:$A,"&lt;"&amp;(A82+1),Revision_previa!$D:$D,"Falla")+COUNTIFS(Revision_previa!$B:$B,D82,Revision_previa!$A:$A,"&gt;="&amp;A82,Revision_previa!$A:$A,"&lt;"&amp;(A82+1),Revision_previa!$E:$E,"Falla")+COUNTIFS(Revision_previa!$B:$B,D82,Revision_previa!$A:$A,"&gt;="&amp;A82,Revision_previa!$A:$A,"&lt;"&amp;(A82+1),Revision_previa!$F:$F,"Falla")+COUNTIFS(Revision_previa!$B:$B,D82,Revision_previa!$A:$A,"&gt;="&amp;A82,Revision_previa!$A:$A,"&lt;"&amp;(A82+1),Revision_previa!$H:$H,"Encendido")&gt;0,"No apto","Apto")))</f>
        <v/>
      </c>
    </row>
    <row r="83" customFormat="false" ht="15" hidden="false" customHeight="false" outlineLevel="0" collapsed="false">
      <c r="A83" s="23"/>
      <c r="B83" s="9"/>
      <c r="C83" s="9"/>
      <c r="D83" s="9"/>
      <c r="E83" s="9" t="str">
        <f aca="false">IF(C83="","",IFERROR(INDEX(Conductores!$B:$B,MATCH(C83,Conductores!$A:$A,0)),"ID no encontrado"))</f>
        <v/>
      </c>
      <c r="F83" s="9" t="str">
        <f aca="false">IF(B83="","",IFERROR(INDEX(Rutas!$B:$B,MATCH(B83,Rutas!$A:$A,0)),"ID no encontrado"))</f>
        <v/>
      </c>
      <c r="G83" s="9" t="str">
        <f aca="false">IF(OR(B83="",C83="",D83=""),"",IF(OR(ISNA(MATCH(B83,Rutas!$A:$A,0)),ISNA(MATCH(C83,Conductores!$A:$A,0)),ISNA(MATCH(D83,Vehículos!$A:$A,0))),"REVISAR: ID no encontrado",IF(INDEX(Rutas!$C:$C,MATCH(B83,Rutas!$A:$A,0))&lt;&gt;INDEX(Vehículos!$B:$B,MATCH(D83,Vehículos!$A:$A,0)),"REVISAR: el vehículo no corresponde a la ruta",IF(INDEX(Rutas!$C:$C,MATCH(B83,Rutas!$A:$A,0))&lt;&gt;INDEX(Conductores!$D:$D,MATCH(C83,Conductores!$A:$A,0)),"REVISAR: el conductor no corresponde a la ruta",IF(OR(INDEX(Vehículos!$E:$E,MATCH(D83,Vehículos!$A:$A,0))="Taller",INDEX(Vehículos!$E:$E,MATCH(D83,Vehículos!$A:$A,0))="Fuera de servicio"),"REVISAR: vehículo no disponible",IF(INDEX(Conductores!$G:$G,MATCH(C83,Conductores!$A:$A,0))&lt;&gt;"Activo","REVISAR: conductor no activo",IF(COUNTIFS($A:$A,A83,$C:$C,C83)&gt;1,"REVISAR: conductor asignado dos veces",IF(COUNTIFS($A:$A,A83,$D:$D,D83)&gt;1,"REVISAR: vehículo asignado dos veces","OK"))))))))</f>
        <v/>
      </c>
      <c r="H83" s="9"/>
      <c r="I83" s="9"/>
      <c r="J83" s="14" t="str">
        <f aca="false">IF(OR(H83="",H83=0),"",I83/H83)</f>
        <v/>
      </c>
      <c r="K83" s="9"/>
      <c r="L83" s="9"/>
      <c r="M83" s="24"/>
      <c r="N83" s="9"/>
      <c r="O83" s="9" t="str">
        <f aca="false">IF(AND(OR(K83="En riesgo",K83="Atrasada"),L83=""),"Falta código de motivo",IF(AND(L83="OTR",N83=""),"Explica OTR en las notas",IF(AND(K83="Finalizada",I83&lt;H83,L83=""),"Falta código de motivo","")))</f>
        <v/>
      </c>
      <c r="P83" s="9" t="str">
        <f aca="false">IF(OR(D83="",A83=""),"",IF(COUNTIFS(Revision_previa!$B:$B,D83,Revision_previa!$A:$A,"&gt;="&amp;A83,Revision_previa!$A:$A,"&lt;"&amp;(A83+1))=0,"Sin revisión",IF(COUNTIFS(Revision_previa!$B:$B,D83,Revision_previa!$A:$A,"&gt;="&amp;A83,Revision_previa!$A:$A,"&lt;"&amp;(A83+1),Revision_previa!$D:$D,"Falla")+COUNTIFS(Revision_previa!$B:$B,D83,Revision_previa!$A:$A,"&gt;="&amp;A83,Revision_previa!$A:$A,"&lt;"&amp;(A83+1),Revision_previa!$E:$E,"Falla")+COUNTIFS(Revision_previa!$B:$B,D83,Revision_previa!$A:$A,"&gt;="&amp;A83,Revision_previa!$A:$A,"&lt;"&amp;(A83+1),Revision_previa!$F:$F,"Falla")+COUNTIFS(Revision_previa!$B:$B,D83,Revision_previa!$A:$A,"&gt;="&amp;A83,Revision_previa!$A:$A,"&lt;"&amp;(A83+1),Revision_previa!$H:$H,"Encendido")&gt;0,"No apto","Apto")))</f>
        <v/>
      </c>
    </row>
    <row r="84" customFormat="false" ht="15" hidden="false" customHeight="false" outlineLevel="0" collapsed="false">
      <c r="A84" s="23"/>
      <c r="B84" s="9"/>
      <c r="C84" s="9"/>
      <c r="D84" s="9"/>
      <c r="E84" s="9" t="str">
        <f aca="false">IF(C84="","",IFERROR(INDEX(Conductores!$B:$B,MATCH(C84,Conductores!$A:$A,0)),"ID no encontrado"))</f>
        <v/>
      </c>
      <c r="F84" s="9" t="str">
        <f aca="false">IF(B84="","",IFERROR(INDEX(Rutas!$B:$B,MATCH(B84,Rutas!$A:$A,0)),"ID no encontrado"))</f>
        <v/>
      </c>
      <c r="G84" s="9" t="str">
        <f aca="false">IF(OR(B84="",C84="",D84=""),"",IF(OR(ISNA(MATCH(B84,Rutas!$A:$A,0)),ISNA(MATCH(C84,Conductores!$A:$A,0)),ISNA(MATCH(D84,Vehículos!$A:$A,0))),"REVISAR: ID no encontrado",IF(INDEX(Rutas!$C:$C,MATCH(B84,Rutas!$A:$A,0))&lt;&gt;INDEX(Vehículos!$B:$B,MATCH(D84,Vehículos!$A:$A,0)),"REVISAR: el vehículo no corresponde a la ruta",IF(INDEX(Rutas!$C:$C,MATCH(B84,Rutas!$A:$A,0))&lt;&gt;INDEX(Conductores!$D:$D,MATCH(C84,Conductores!$A:$A,0)),"REVISAR: el conductor no corresponde a la ruta",IF(OR(INDEX(Vehículos!$E:$E,MATCH(D84,Vehículos!$A:$A,0))="Taller",INDEX(Vehículos!$E:$E,MATCH(D84,Vehículos!$A:$A,0))="Fuera de servicio"),"REVISAR: vehículo no disponible",IF(INDEX(Conductores!$G:$G,MATCH(C84,Conductores!$A:$A,0))&lt;&gt;"Activo","REVISAR: conductor no activo",IF(COUNTIFS($A:$A,A84,$C:$C,C84)&gt;1,"REVISAR: conductor asignado dos veces",IF(COUNTIFS($A:$A,A84,$D:$D,D84)&gt;1,"REVISAR: vehículo asignado dos veces","OK"))))))))</f>
        <v/>
      </c>
      <c r="H84" s="9"/>
      <c r="I84" s="9"/>
      <c r="J84" s="14" t="str">
        <f aca="false">IF(OR(H84="",H84=0),"",I84/H84)</f>
        <v/>
      </c>
      <c r="K84" s="9"/>
      <c r="L84" s="9"/>
      <c r="M84" s="24"/>
      <c r="N84" s="9"/>
      <c r="O84" s="9" t="str">
        <f aca="false">IF(AND(OR(K84="En riesgo",K84="Atrasada"),L84=""),"Falta código de motivo",IF(AND(L84="OTR",N84=""),"Explica OTR en las notas",IF(AND(K84="Finalizada",I84&lt;H84,L84=""),"Falta código de motivo","")))</f>
        <v/>
      </c>
      <c r="P84" s="9" t="str">
        <f aca="false">IF(OR(D84="",A84=""),"",IF(COUNTIFS(Revision_previa!$B:$B,D84,Revision_previa!$A:$A,"&gt;="&amp;A84,Revision_previa!$A:$A,"&lt;"&amp;(A84+1))=0,"Sin revisión",IF(COUNTIFS(Revision_previa!$B:$B,D84,Revision_previa!$A:$A,"&gt;="&amp;A84,Revision_previa!$A:$A,"&lt;"&amp;(A84+1),Revision_previa!$D:$D,"Falla")+COUNTIFS(Revision_previa!$B:$B,D84,Revision_previa!$A:$A,"&gt;="&amp;A84,Revision_previa!$A:$A,"&lt;"&amp;(A84+1),Revision_previa!$E:$E,"Falla")+COUNTIFS(Revision_previa!$B:$B,D84,Revision_previa!$A:$A,"&gt;="&amp;A84,Revision_previa!$A:$A,"&lt;"&amp;(A84+1),Revision_previa!$F:$F,"Falla")+COUNTIFS(Revision_previa!$B:$B,D84,Revision_previa!$A:$A,"&gt;="&amp;A84,Revision_previa!$A:$A,"&lt;"&amp;(A84+1),Revision_previa!$H:$H,"Encendido")&gt;0,"No apto","Apto")))</f>
        <v/>
      </c>
    </row>
    <row r="85" customFormat="false" ht="15" hidden="false" customHeight="false" outlineLevel="0" collapsed="false">
      <c r="A85" s="23"/>
      <c r="B85" s="9"/>
      <c r="C85" s="9"/>
      <c r="D85" s="9"/>
      <c r="E85" s="9" t="str">
        <f aca="false">IF(C85="","",IFERROR(INDEX(Conductores!$B:$B,MATCH(C85,Conductores!$A:$A,0)),"ID no encontrado"))</f>
        <v/>
      </c>
      <c r="F85" s="9" t="str">
        <f aca="false">IF(B85="","",IFERROR(INDEX(Rutas!$B:$B,MATCH(B85,Rutas!$A:$A,0)),"ID no encontrado"))</f>
        <v/>
      </c>
      <c r="G85" s="9" t="str">
        <f aca="false">IF(OR(B85="",C85="",D85=""),"",IF(OR(ISNA(MATCH(B85,Rutas!$A:$A,0)),ISNA(MATCH(C85,Conductores!$A:$A,0)),ISNA(MATCH(D85,Vehículos!$A:$A,0))),"REVISAR: ID no encontrado",IF(INDEX(Rutas!$C:$C,MATCH(B85,Rutas!$A:$A,0))&lt;&gt;INDEX(Vehículos!$B:$B,MATCH(D85,Vehículos!$A:$A,0)),"REVISAR: el vehículo no corresponde a la ruta",IF(INDEX(Rutas!$C:$C,MATCH(B85,Rutas!$A:$A,0))&lt;&gt;INDEX(Conductores!$D:$D,MATCH(C85,Conductores!$A:$A,0)),"REVISAR: el conductor no corresponde a la ruta",IF(OR(INDEX(Vehículos!$E:$E,MATCH(D85,Vehículos!$A:$A,0))="Taller",INDEX(Vehículos!$E:$E,MATCH(D85,Vehículos!$A:$A,0))="Fuera de servicio"),"REVISAR: vehículo no disponible",IF(INDEX(Conductores!$G:$G,MATCH(C85,Conductores!$A:$A,0))&lt;&gt;"Activo","REVISAR: conductor no activo",IF(COUNTIFS($A:$A,A85,$C:$C,C85)&gt;1,"REVISAR: conductor asignado dos veces",IF(COUNTIFS($A:$A,A85,$D:$D,D85)&gt;1,"REVISAR: vehículo asignado dos veces","OK"))))))))</f>
        <v/>
      </c>
      <c r="H85" s="9"/>
      <c r="I85" s="9"/>
      <c r="J85" s="14" t="str">
        <f aca="false">IF(OR(H85="",H85=0),"",I85/H85)</f>
        <v/>
      </c>
      <c r="K85" s="9"/>
      <c r="L85" s="9"/>
      <c r="M85" s="24"/>
      <c r="N85" s="9"/>
      <c r="O85" s="9" t="str">
        <f aca="false">IF(AND(OR(K85="En riesgo",K85="Atrasada"),L85=""),"Falta código de motivo",IF(AND(L85="OTR",N85=""),"Explica OTR en las notas",IF(AND(K85="Finalizada",I85&lt;H85,L85=""),"Falta código de motivo","")))</f>
        <v/>
      </c>
      <c r="P85" s="9" t="str">
        <f aca="false">IF(OR(D85="",A85=""),"",IF(COUNTIFS(Revision_previa!$B:$B,D85,Revision_previa!$A:$A,"&gt;="&amp;A85,Revision_previa!$A:$A,"&lt;"&amp;(A85+1))=0,"Sin revisión",IF(COUNTIFS(Revision_previa!$B:$B,D85,Revision_previa!$A:$A,"&gt;="&amp;A85,Revision_previa!$A:$A,"&lt;"&amp;(A85+1),Revision_previa!$D:$D,"Falla")+COUNTIFS(Revision_previa!$B:$B,D85,Revision_previa!$A:$A,"&gt;="&amp;A85,Revision_previa!$A:$A,"&lt;"&amp;(A85+1),Revision_previa!$E:$E,"Falla")+COUNTIFS(Revision_previa!$B:$B,D85,Revision_previa!$A:$A,"&gt;="&amp;A85,Revision_previa!$A:$A,"&lt;"&amp;(A85+1),Revision_previa!$F:$F,"Falla")+COUNTIFS(Revision_previa!$B:$B,D85,Revision_previa!$A:$A,"&gt;="&amp;A85,Revision_previa!$A:$A,"&lt;"&amp;(A85+1),Revision_previa!$H:$H,"Encendido")&gt;0,"No apto","Apto")))</f>
        <v/>
      </c>
    </row>
    <row r="86" customFormat="false" ht="15" hidden="false" customHeight="false" outlineLevel="0" collapsed="false">
      <c r="A86" s="23"/>
      <c r="B86" s="9"/>
      <c r="C86" s="9"/>
      <c r="D86" s="9"/>
      <c r="E86" s="9" t="str">
        <f aca="false">IF(C86="","",IFERROR(INDEX(Conductores!$B:$B,MATCH(C86,Conductores!$A:$A,0)),"ID no encontrado"))</f>
        <v/>
      </c>
      <c r="F86" s="9" t="str">
        <f aca="false">IF(B86="","",IFERROR(INDEX(Rutas!$B:$B,MATCH(B86,Rutas!$A:$A,0)),"ID no encontrado"))</f>
        <v/>
      </c>
      <c r="G86" s="9" t="str">
        <f aca="false">IF(OR(B86="",C86="",D86=""),"",IF(OR(ISNA(MATCH(B86,Rutas!$A:$A,0)),ISNA(MATCH(C86,Conductores!$A:$A,0)),ISNA(MATCH(D86,Vehículos!$A:$A,0))),"REVISAR: ID no encontrado",IF(INDEX(Rutas!$C:$C,MATCH(B86,Rutas!$A:$A,0))&lt;&gt;INDEX(Vehículos!$B:$B,MATCH(D86,Vehículos!$A:$A,0)),"REVISAR: el vehículo no corresponde a la ruta",IF(INDEX(Rutas!$C:$C,MATCH(B86,Rutas!$A:$A,0))&lt;&gt;INDEX(Conductores!$D:$D,MATCH(C86,Conductores!$A:$A,0)),"REVISAR: el conductor no corresponde a la ruta",IF(OR(INDEX(Vehículos!$E:$E,MATCH(D86,Vehículos!$A:$A,0))="Taller",INDEX(Vehículos!$E:$E,MATCH(D86,Vehículos!$A:$A,0))="Fuera de servicio"),"REVISAR: vehículo no disponible",IF(INDEX(Conductores!$G:$G,MATCH(C86,Conductores!$A:$A,0))&lt;&gt;"Activo","REVISAR: conductor no activo",IF(COUNTIFS($A:$A,A86,$C:$C,C86)&gt;1,"REVISAR: conductor asignado dos veces",IF(COUNTIFS($A:$A,A86,$D:$D,D86)&gt;1,"REVISAR: vehículo asignado dos veces","OK"))))))))</f>
        <v/>
      </c>
      <c r="H86" s="9"/>
      <c r="I86" s="9"/>
      <c r="J86" s="14" t="str">
        <f aca="false">IF(OR(H86="",H86=0),"",I86/H86)</f>
        <v/>
      </c>
      <c r="K86" s="9"/>
      <c r="L86" s="9"/>
      <c r="M86" s="24"/>
      <c r="N86" s="9"/>
      <c r="O86" s="9" t="str">
        <f aca="false">IF(AND(OR(K86="En riesgo",K86="Atrasada"),L86=""),"Falta código de motivo",IF(AND(L86="OTR",N86=""),"Explica OTR en las notas",IF(AND(K86="Finalizada",I86&lt;H86,L86=""),"Falta código de motivo","")))</f>
        <v/>
      </c>
      <c r="P86" s="9" t="str">
        <f aca="false">IF(OR(D86="",A86=""),"",IF(COUNTIFS(Revision_previa!$B:$B,D86,Revision_previa!$A:$A,"&gt;="&amp;A86,Revision_previa!$A:$A,"&lt;"&amp;(A86+1))=0,"Sin revisión",IF(COUNTIFS(Revision_previa!$B:$B,D86,Revision_previa!$A:$A,"&gt;="&amp;A86,Revision_previa!$A:$A,"&lt;"&amp;(A86+1),Revision_previa!$D:$D,"Falla")+COUNTIFS(Revision_previa!$B:$B,D86,Revision_previa!$A:$A,"&gt;="&amp;A86,Revision_previa!$A:$A,"&lt;"&amp;(A86+1),Revision_previa!$E:$E,"Falla")+COUNTIFS(Revision_previa!$B:$B,D86,Revision_previa!$A:$A,"&gt;="&amp;A86,Revision_previa!$A:$A,"&lt;"&amp;(A86+1),Revision_previa!$F:$F,"Falla")+COUNTIFS(Revision_previa!$B:$B,D86,Revision_previa!$A:$A,"&gt;="&amp;A86,Revision_previa!$A:$A,"&lt;"&amp;(A86+1),Revision_previa!$H:$H,"Encendido")&gt;0,"No apto","Apto")))</f>
        <v/>
      </c>
    </row>
    <row r="87" customFormat="false" ht="15" hidden="false" customHeight="false" outlineLevel="0" collapsed="false">
      <c r="A87" s="23"/>
      <c r="B87" s="9"/>
      <c r="C87" s="9"/>
      <c r="D87" s="9"/>
      <c r="E87" s="9" t="str">
        <f aca="false">IF(C87="","",IFERROR(INDEX(Conductores!$B:$B,MATCH(C87,Conductores!$A:$A,0)),"ID no encontrado"))</f>
        <v/>
      </c>
      <c r="F87" s="9" t="str">
        <f aca="false">IF(B87="","",IFERROR(INDEX(Rutas!$B:$B,MATCH(B87,Rutas!$A:$A,0)),"ID no encontrado"))</f>
        <v/>
      </c>
      <c r="G87" s="9" t="str">
        <f aca="false">IF(OR(B87="",C87="",D87=""),"",IF(OR(ISNA(MATCH(B87,Rutas!$A:$A,0)),ISNA(MATCH(C87,Conductores!$A:$A,0)),ISNA(MATCH(D87,Vehículos!$A:$A,0))),"REVISAR: ID no encontrado",IF(INDEX(Rutas!$C:$C,MATCH(B87,Rutas!$A:$A,0))&lt;&gt;INDEX(Vehículos!$B:$B,MATCH(D87,Vehículos!$A:$A,0)),"REVISAR: el vehículo no corresponde a la ruta",IF(INDEX(Rutas!$C:$C,MATCH(B87,Rutas!$A:$A,0))&lt;&gt;INDEX(Conductores!$D:$D,MATCH(C87,Conductores!$A:$A,0)),"REVISAR: el conductor no corresponde a la ruta",IF(OR(INDEX(Vehículos!$E:$E,MATCH(D87,Vehículos!$A:$A,0))="Taller",INDEX(Vehículos!$E:$E,MATCH(D87,Vehículos!$A:$A,0))="Fuera de servicio"),"REVISAR: vehículo no disponible",IF(INDEX(Conductores!$G:$G,MATCH(C87,Conductores!$A:$A,0))&lt;&gt;"Activo","REVISAR: conductor no activo",IF(COUNTIFS($A:$A,A87,$C:$C,C87)&gt;1,"REVISAR: conductor asignado dos veces",IF(COUNTIFS($A:$A,A87,$D:$D,D87)&gt;1,"REVISAR: vehículo asignado dos veces","OK"))))))))</f>
        <v/>
      </c>
      <c r="H87" s="9"/>
      <c r="I87" s="9"/>
      <c r="J87" s="14" t="str">
        <f aca="false">IF(OR(H87="",H87=0),"",I87/H87)</f>
        <v/>
      </c>
      <c r="K87" s="9"/>
      <c r="L87" s="9"/>
      <c r="M87" s="24"/>
      <c r="N87" s="9"/>
      <c r="O87" s="9" t="str">
        <f aca="false">IF(AND(OR(K87="En riesgo",K87="Atrasada"),L87=""),"Falta código de motivo",IF(AND(L87="OTR",N87=""),"Explica OTR en las notas",IF(AND(K87="Finalizada",I87&lt;H87,L87=""),"Falta código de motivo","")))</f>
        <v/>
      </c>
      <c r="P87" s="9" t="str">
        <f aca="false">IF(OR(D87="",A87=""),"",IF(COUNTIFS(Revision_previa!$B:$B,D87,Revision_previa!$A:$A,"&gt;="&amp;A87,Revision_previa!$A:$A,"&lt;"&amp;(A87+1))=0,"Sin revisión",IF(COUNTIFS(Revision_previa!$B:$B,D87,Revision_previa!$A:$A,"&gt;="&amp;A87,Revision_previa!$A:$A,"&lt;"&amp;(A87+1),Revision_previa!$D:$D,"Falla")+COUNTIFS(Revision_previa!$B:$B,D87,Revision_previa!$A:$A,"&gt;="&amp;A87,Revision_previa!$A:$A,"&lt;"&amp;(A87+1),Revision_previa!$E:$E,"Falla")+COUNTIFS(Revision_previa!$B:$B,D87,Revision_previa!$A:$A,"&gt;="&amp;A87,Revision_previa!$A:$A,"&lt;"&amp;(A87+1),Revision_previa!$F:$F,"Falla")+COUNTIFS(Revision_previa!$B:$B,D87,Revision_previa!$A:$A,"&gt;="&amp;A87,Revision_previa!$A:$A,"&lt;"&amp;(A87+1),Revision_previa!$H:$H,"Encendido")&gt;0,"No apto","Apto")))</f>
        <v/>
      </c>
    </row>
    <row r="88" customFormat="false" ht="15" hidden="false" customHeight="false" outlineLevel="0" collapsed="false">
      <c r="A88" s="23"/>
      <c r="B88" s="9"/>
      <c r="C88" s="9"/>
      <c r="D88" s="9"/>
      <c r="E88" s="9" t="str">
        <f aca="false">IF(C88="","",IFERROR(INDEX(Conductores!$B:$B,MATCH(C88,Conductores!$A:$A,0)),"ID no encontrado"))</f>
        <v/>
      </c>
      <c r="F88" s="9" t="str">
        <f aca="false">IF(B88="","",IFERROR(INDEX(Rutas!$B:$B,MATCH(B88,Rutas!$A:$A,0)),"ID no encontrado"))</f>
        <v/>
      </c>
      <c r="G88" s="9" t="str">
        <f aca="false">IF(OR(B88="",C88="",D88=""),"",IF(OR(ISNA(MATCH(B88,Rutas!$A:$A,0)),ISNA(MATCH(C88,Conductores!$A:$A,0)),ISNA(MATCH(D88,Vehículos!$A:$A,0))),"REVISAR: ID no encontrado",IF(INDEX(Rutas!$C:$C,MATCH(B88,Rutas!$A:$A,0))&lt;&gt;INDEX(Vehículos!$B:$B,MATCH(D88,Vehículos!$A:$A,0)),"REVISAR: el vehículo no corresponde a la ruta",IF(INDEX(Rutas!$C:$C,MATCH(B88,Rutas!$A:$A,0))&lt;&gt;INDEX(Conductores!$D:$D,MATCH(C88,Conductores!$A:$A,0)),"REVISAR: el conductor no corresponde a la ruta",IF(OR(INDEX(Vehículos!$E:$E,MATCH(D88,Vehículos!$A:$A,0))="Taller",INDEX(Vehículos!$E:$E,MATCH(D88,Vehículos!$A:$A,0))="Fuera de servicio"),"REVISAR: vehículo no disponible",IF(INDEX(Conductores!$G:$G,MATCH(C88,Conductores!$A:$A,0))&lt;&gt;"Activo","REVISAR: conductor no activo",IF(COUNTIFS($A:$A,A88,$C:$C,C88)&gt;1,"REVISAR: conductor asignado dos veces",IF(COUNTIFS($A:$A,A88,$D:$D,D88)&gt;1,"REVISAR: vehículo asignado dos veces","OK"))))))))</f>
        <v/>
      </c>
      <c r="H88" s="9"/>
      <c r="I88" s="9"/>
      <c r="J88" s="14" t="str">
        <f aca="false">IF(OR(H88="",H88=0),"",I88/H88)</f>
        <v/>
      </c>
      <c r="K88" s="9"/>
      <c r="L88" s="9"/>
      <c r="M88" s="24"/>
      <c r="N88" s="9"/>
      <c r="O88" s="9" t="str">
        <f aca="false">IF(AND(OR(K88="En riesgo",K88="Atrasada"),L88=""),"Falta código de motivo",IF(AND(L88="OTR",N88=""),"Explica OTR en las notas",IF(AND(K88="Finalizada",I88&lt;H88,L88=""),"Falta código de motivo","")))</f>
        <v/>
      </c>
      <c r="P88" s="9" t="str">
        <f aca="false">IF(OR(D88="",A88=""),"",IF(COUNTIFS(Revision_previa!$B:$B,D88,Revision_previa!$A:$A,"&gt;="&amp;A88,Revision_previa!$A:$A,"&lt;"&amp;(A88+1))=0,"Sin revisión",IF(COUNTIFS(Revision_previa!$B:$B,D88,Revision_previa!$A:$A,"&gt;="&amp;A88,Revision_previa!$A:$A,"&lt;"&amp;(A88+1),Revision_previa!$D:$D,"Falla")+COUNTIFS(Revision_previa!$B:$B,D88,Revision_previa!$A:$A,"&gt;="&amp;A88,Revision_previa!$A:$A,"&lt;"&amp;(A88+1),Revision_previa!$E:$E,"Falla")+COUNTIFS(Revision_previa!$B:$B,D88,Revision_previa!$A:$A,"&gt;="&amp;A88,Revision_previa!$A:$A,"&lt;"&amp;(A88+1),Revision_previa!$F:$F,"Falla")+COUNTIFS(Revision_previa!$B:$B,D88,Revision_previa!$A:$A,"&gt;="&amp;A88,Revision_previa!$A:$A,"&lt;"&amp;(A88+1),Revision_previa!$H:$H,"Encendido")&gt;0,"No apto","Apto")))</f>
        <v/>
      </c>
    </row>
    <row r="89" customFormat="false" ht="15" hidden="false" customHeight="false" outlineLevel="0" collapsed="false">
      <c r="A89" s="23"/>
      <c r="B89" s="9"/>
      <c r="C89" s="9"/>
      <c r="D89" s="9"/>
      <c r="E89" s="9" t="str">
        <f aca="false">IF(C89="","",IFERROR(INDEX(Conductores!$B:$B,MATCH(C89,Conductores!$A:$A,0)),"ID no encontrado"))</f>
        <v/>
      </c>
      <c r="F89" s="9" t="str">
        <f aca="false">IF(B89="","",IFERROR(INDEX(Rutas!$B:$B,MATCH(B89,Rutas!$A:$A,0)),"ID no encontrado"))</f>
        <v/>
      </c>
      <c r="G89" s="9" t="str">
        <f aca="false">IF(OR(B89="",C89="",D89=""),"",IF(OR(ISNA(MATCH(B89,Rutas!$A:$A,0)),ISNA(MATCH(C89,Conductores!$A:$A,0)),ISNA(MATCH(D89,Vehículos!$A:$A,0))),"REVISAR: ID no encontrado",IF(INDEX(Rutas!$C:$C,MATCH(B89,Rutas!$A:$A,0))&lt;&gt;INDEX(Vehículos!$B:$B,MATCH(D89,Vehículos!$A:$A,0)),"REVISAR: el vehículo no corresponde a la ruta",IF(INDEX(Rutas!$C:$C,MATCH(B89,Rutas!$A:$A,0))&lt;&gt;INDEX(Conductores!$D:$D,MATCH(C89,Conductores!$A:$A,0)),"REVISAR: el conductor no corresponde a la ruta",IF(OR(INDEX(Vehículos!$E:$E,MATCH(D89,Vehículos!$A:$A,0))="Taller",INDEX(Vehículos!$E:$E,MATCH(D89,Vehículos!$A:$A,0))="Fuera de servicio"),"REVISAR: vehículo no disponible",IF(INDEX(Conductores!$G:$G,MATCH(C89,Conductores!$A:$A,0))&lt;&gt;"Activo","REVISAR: conductor no activo",IF(COUNTIFS($A:$A,A89,$C:$C,C89)&gt;1,"REVISAR: conductor asignado dos veces",IF(COUNTIFS($A:$A,A89,$D:$D,D89)&gt;1,"REVISAR: vehículo asignado dos veces","OK"))))))))</f>
        <v/>
      </c>
      <c r="H89" s="9"/>
      <c r="I89" s="9"/>
      <c r="J89" s="14" t="str">
        <f aca="false">IF(OR(H89="",H89=0),"",I89/H89)</f>
        <v/>
      </c>
      <c r="K89" s="9"/>
      <c r="L89" s="9"/>
      <c r="M89" s="24"/>
      <c r="N89" s="9"/>
      <c r="O89" s="9" t="str">
        <f aca="false">IF(AND(OR(K89="En riesgo",K89="Atrasada"),L89=""),"Falta código de motivo",IF(AND(L89="OTR",N89=""),"Explica OTR en las notas",IF(AND(K89="Finalizada",I89&lt;H89,L89=""),"Falta código de motivo","")))</f>
        <v/>
      </c>
      <c r="P89" s="9" t="str">
        <f aca="false">IF(OR(D89="",A89=""),"",IF(COUNTIFS(Revision_previa!$B:$B,D89,Revision_previa!$A:$A,"&gt;="&amp;A89,Revision_previa!$A:$A,"&lt;"&amp;(A89+1))=0,"Sin revisión",IF(COUNTIFS(Revision_previa!$B:$B,D89,Revision_previa!$A:$A,"&gt;="&amp;A89,Revision_previa!$A:$A,"&lt;"&amp;(A89+1),Revision_previa!$D:$D,"Falla")+COUNTIFS(Revision_previa!$B:$B,D89,Revision_previa!$A:$A,"&gt;="&amp;A89,Revision_previa!$A:$A,"&lt;"&amp;(A89+1),Revision_previa!$E:$E,"Falla")+COUNTIFS(Revision_previa!$B:$B,D89,Revision_previa!$A:$A,"&gt;="&amp;A89,Revision_previa!$A:$A,"&lt;"&amp;(A89+1),Revision_previa!$F:$F,"Falla")+COUNTIFS(Revision_previa!$B:$B,D89,Revision_previa!$A:$A,"&gt;="&amp;A89,Revision_previa!$A:$A,"&lt;"&amp;(A89+1),Revision_previa!$H:$H,"Encendido")&gt;0,"No apto","Apto")))</f>
        <v/>
      </c>
    </row>
    <row r="90" customFormat="false" ht="15" hidden="false" customHeight="false" outlineLevel="0" collapsed="false">
      <c r="A90" s="23"/>
      <c r="B90" s="9"/>
      <c r="C90" s="9"/>
      <c r="D90" s="9"/>
      <c r="E90" s="9" t="str">
        <f aca="false">IF(C90="","",IFERROR(INDEX(Conductores!$B:$B,MATCH(C90,Conductores!$A:$A,0)),"ID no encontrado"))</f>
        <v/>
      </c>
      <c r="F90" s="9" t="str">
        <f aca="false">IF(B90="","",IFERROR(INDEX(Rutas!$B:$B,MATCH(B90,Rutas!$A:$A,0)),"ID no encontrado"))</f>
        <v/>
      </c>
      <c r="G90" s="9" t="str">
        <f aca="false">IF(OR(B90="",C90="",D90=""),"",IF(OR(ISNA(MATCH(B90,Rutas!$A:$A,0)),ISNA(MATCH(C90,Conductores!$A:$A,0)),ISNA(MATCH(D90,Vehículos!$A:$A,0))),"REVISAR: ID no encontrado",IF(INDEX(Rutas!$C:$C,MATCH(B90,Rutas!$A:$A,0))&lt;&gt;INDEX(Vehículos!$B:$B,MATCH(D90,Vehículos!$A:$A,0)),"REVISAR: el vehículo no corresponde a la ruta",IF(INDEX(Rutas!$C:$C,MATCH(B90,Rutas!$A:$A,0))&lt;&gt;INDEX(Conductores!$D:$D,MATCH(C90,Conductores!$A:$A,0)),"REVISAR: el conductor no corresponde a la ruta",IF(OR(INDEX(Vehículos!$E:$E,MATCH(D90,Vehículos!$A:$A,0))="Taller",INDEX(Vehículos!$E:$E,MATCH(D90,Vehículos!$A:$A,0))="Fuera de servicio"),"REVISAR: vehículo no disponible",IF(INDEX(Conductores!$G:$G,MATCH(C90,Conductores!$A:$A,0))&lt;&gt;"Activo","REVISAR: conductor no activo",IF(COUNTIFS($A:$A,A90,$C:$C,C90)&gt;1,"REVISAR: conductor asignado dos veces",IF(COUNTIFS($A:$A,A90,$D:$D,D90)&gt;1,"REVISAR: vehículo asignado dos veces","OK"))))))))</f>
        <v/>
      </c>
      <c r="H90" s="9"/>
      <c r="I90" s="9"/>
      <c r="J90" s="14" t="str">
        <f aca="false">IF(OR(H90="",H90=0),"",I90/H90)</f>
        <v/>
      </c>
      <c r="K90" s="9"/>
      <c r="L90" s="9"/>
      <c r="M90" s="24"/>
      <c r="N90" s="9"/>
      <c r="O90" s="9" t="str">
        <f aca="false">IF(AND(OR(K90="En riesgo",K90="Atrasada"),L90=""),"Falta código de motivo",IF(AND(L90="OTR",N90=""),"Explica OTR en las notas",IF(AND(K90="Finalizada",I90&lt;H90,L90=""),"Falta código de motivo","")))</f>
        <v/>
      </c>
      <c r="P90" s="9" t="str">
        <f aca="false">IF(OR(D90="",A90=""),"",IF(COUNTIFS(Revision_previa!$B:$B,D90,Revision_previa!$A:$A,"&gt;="&amp;A90,Revision_previa!$A:$A,"&lt;"&amp;(A90+1))=0,"Sin revisión",IF(COUNTIFS(Revision_previa!$B:$B,D90,Revision_previa!$A:$A,"&gt;="&amp;A90,Revision_previa!$A:$A,"&lt;"&amp;(A90+1),Revision_previa!$D:$D,"Falla")+COUNTIFS(Revision_previa!$B:$B,D90,Revision_previa!$A:$A,"&gt;="&amp;A90,Revision_previa!$A:$A,"&lt;"&amp;(A90+1),Revision_previa!$E:$E,"Falla")+COUNTIFS(Revision_previa!$B:$B,D90,Revision_previa!$A:$A,"&gt;="&amp;A90,Revision_previa!$A:$A,"&lt;"&amp;(A90+1),Revision_previa!$F:$F,"Falla")+COUNTIFS(Revision_previa!$B:$B,D90,Revision_previa!$A:$A,"&gt;="&amp;A90,Revision_previa!$A:$A,"&lt;"&amp;(A90+1),Revision_previa!$H:$H,"Encendido")&gt;0,"No apto","Apto")))</f>
        <v/>
      </c>
    </row>
    <row r="91" customFormat="false" ht="15" hidden="false" customHeight="false" outlineLevel="0" collapsed="false">
      <c r="A91" s="23"/>
      <c r="B91" s="9"/>
      <c r="C91" s="9"/>
      <c r="D91" s="9"/>
      <c r="E91" s="9" t="str">
        <f aca="false">IF(C91="","",IFERROR(INDEX(Conductores!$B:$B,MATCH(C91,Conductores!$A:$A,0)),"ID no encontrado"))</f>
        <v/>
      </c>
      <c r="F91" s="9" t="str">
        <f aca="false">IF(B91="","",IFERROR(INDEX(Rutas!$B:$B,MATCH(B91,Rutas!$A:$A,0)),"ID no encontrado"))</f>
        <v/>
      </c>
      <c r="G91" s="9" t="str">
        <f aca="false">IF(OR(B91="",C91="",D91=""),"",IF(OR(ISNA(MATCH(B91,Rutas!$A:$A,0)),ISNA(MATCH(C91,Conductores!$A:$A,0)),ISNA(MATCH(D91,Vehículos!$A:$A,0))),"REVISAR: ID no encontrado",IF(INDEX(Rutas!$C:$C,MATCH(B91,Rutas!$A:$A,0))&lt;&gt;INDEX(Vehículos!$B:$B,MATCH(D91,Vehículos!$A:$A,0)),"REVISAR: el vehículo no corresponde a la ruta",IF(INDEX(Rutas!$C:$C,MATCH(B91,Rutas!$A:$A,0))&lt;&gt;INDEX(Conductores!$D:$D,MATCH(C91,Conductores!$A:$A,0)),"REVISAR: el conductor no corresponde a la ruta",IF(OR(INDEX(Vehículos!$E:$E,MATCH(D91,Vehículos!$A:$A,0))="Taller",INDEX(Vehículos!$E:$E,MATCH(D91,Vehículos!$A:$A,0))="Fuera de servicio"),"REVISAR: vehículo no disponible",IF(INDEX(Conductores!$G:$G,MATCH(C91,Conductores!$A:$A,0))&lt;&gt;"Activo","REVISAR: conductor no activo",IF(COUNTIFS($A:$A,A91,$C:$C,C91)&gt;1,"REVISAR: conductor asignado dos veces",IF(COUNTIFS($A:$A,A91,$D:$D,D91)&gt;1,"REVISAR: vehículo asignado dos veces","OK"))))))))</f>
        <v/>
      </c>
      <c r="H91" s="9"/>
      <c r="I91" s="9"/>
      <c r="J91" s="14" t="str">
        <f aca="false">IF(OR(H91="",H91=0),"",I91/H91)</f>
        <v/>
      </c>
      <c r="K91" s="9"/>
      <c r="L91" s="9"/>
      <c r="M91" s="24"/>
      <c r="N91" s="9"/>
      <c r="O91" s="9" t="str">
        <f aca="false">IF(AND(OR(K91="En riesgo",K91="Atrasada"),L91=""),"Falta código de motivo",IF(AND(L91="OTR",N91=""),"Explica OTR en las notas",IF(AND(K91="Finalizada",I91&lt;H91,L91=""),"Falta código de motivo","")))</f>
        <v/>
      </c>
      <c r="P91" s="9" t="str">
        <f aca="false">IF(OR(D91="",A91=""),"",IF(COUNTIFS(Revision_previa!$B:$B,D91,Revision_previa!$A:$A,"&gt;="&amp;A91,Revision_previa!$A:$A,"&lt;"&amp;(A91+1))=0,"Sin revisión",IF(COUNTIFS(Revision_previa!$B:$B,D91,Revision_previa!$A:$A,"&gt;="&amp;A91,Revision_previa!$A:$A,"&lt;"&amp;(A91+1),Revision_previa!$D:$D,"Falla")+COUNTIFS(Revision_previa!$B:$B,D91,Revision_previa!$A:$A,"&gt;="&amp;A91,Revision_previa!$A:$A,"&lt;"&amp;(A91+1),Revision_previa!$E:$E,"Falla")+COUNTIFS(Revision_previa!$B:$B,D91,Revision_previa!$A:$A,"&gt;="&amp;A91,Revision_previa!$A:$A,"&lt;"&amp;(A91+1),Revision_previa!$F:$F,"Falla")+COUNTIFS(Revision_previa!$B:$B,D91,Revision_previa!$A:$A,"&gt;="&amp;A91,Revision_previa!$A:$A,"&lt;"&amp;(A91+1),Revision_previa!$H:$H,"Encendido")&gt;0,"No apto","Apto")))</f>
        <v/>
      </c>
    </row>
    <row r="92" customFormat="false" ht="15" hidden="false" customHeight="false" outlineLevel="0" collapsed="false">
      <c r="A92" s="23"/>
      <c r="B92" s="9"/>
      <c r="C92" s="9"/>
      <c r="D92" s="9"/>
      <c r="E92" s="9" t="str">
        <f aca="false">IF(C92="","",IFERROR(INDEX(Conductores!$B:$B,MATCH(C92,Conductores!$A:$A,0)),"ID no encontrado"))</f>
        <v/>
      </c>
      <c r="F92" s="9" t="str">
        <f aca="false">IF(B92="","",IFERROR(INDEX(Rutas!$B:$B,MATCH(B92,Rutas!$A:$A,0)),"ID no encontrado"))</f>
        <v/>
      </c>
      <c r="G92" s="9" t="str">
        <f aca="false">IF(OR(B92="",C92="",D92=""),"",IF(OR(ISNA(MATCH(B92,Rutas!$A:$A,0)),ISNA(MATCH(C92,Conductores!$A:$A,0)),ISNA(MATCH(D92,Vehículos!$A:$A,0))),"REVISAR: ID no encontrado",IF(INDEX(Rutas!$C:$C,MATCH(B92,Rutas!$A:$A,0))&lt;&gt;INDEX(Vehículos!$B:$B,MATCH(D92,Vehículos!$A:$A,0)),"REVISAR: el vehículo no corresponde a la ruta",IF(INDEX(Rutas!$C:$C,MATCH(B92,Rutas!$A:$A,0))&lt;&gt;INDEX(Conductores!$D:$D,MATCH(C92,Conductores!$A:$A,0)),"REVISAR: el conductor no corresponde a la ruta",IF(OR(INDEX(Vehículos!$E:$E,MATCH(D92,Vehículos!$A:$A,0))="Taller",INDEX(Vehículos!$E:$E,MATCH(D92,Vehículos!$A:$A,0))="Fuera de servicio"),"REVISAR: vehículo no disponible",IF(INDEX(Conductores!$G:$G,MATCH(C92,Conductores!$A:$A,0))&lt;&gt;"Activo","REVISAR: conductor no activo",IF(COUNTIFS($A:$A,A92,$C:$C,C92)&gt;1,"REVISAR: conductor asignado dos veces",IF(COUNTIFS($A:$A,A92,$D:$D,D92)&gt;1,"REVISAR: vehículo asignado dos veces","OK"))))))))</f>
        <v/>
      </c>
      <c r="H92" s="9"/>
      <c r="I92" s="9"/>
      <c r="J92" s="14" t="str">
        <f aca="false">IF(OR(H92="",H92=0),"",I92/H92)</f>
        <v/>
      </c>
      <c r="K92" s="9"/>
      <c r="L92" s="9"/>
      <c r="M92" s="24"/>
      <c r="N92" s="9"/>
      <c r="O92" s="9" t="str">
        <f aca="false">IF(AND(OR(K92="En riesgo",K92="Atrasada"),L92=""),"Falta código de motivo",IF(AND(L92="OTR",N92=""),"Explica OTR en las notas",IF(AND(K92="Finalizada",I92&lt;H92,L92=""),"Falta código de motivo","")))</f>
        <v/>
      </c>
      <c r="P92" s="9" t="str">
        <f aca="false">IF(OR(D92="",A92=""),"",IF(COUNTIFS(Revision_previa!$B:$B,D92,Revision_previa!$A:$A,"&gt;="&amp;A92,Revision_previa!$A:$A,"&lt;"&amp;(A92+1))=0,"Sin revisión",IF(COUNTIFS(Revision_previa!$B:$B,D92,Revision_previa!$A:$A,"&gt;="&amp;A92,Revision_previa!$A:$A,"&lt;"&amp;(A92+1),Revision_previa!$D:$D,"Falla")+COUNTIFS(Revision_previa!$B:$B,D92,Revision_previa!$A:$A,"&gt;="&amp;A92,Revision_previa!$A:$A,"&lt;"&amp;(A92+1),Revision_previa!$E:$E,"Falla")+COUNTIFS(Revision_previa!$B:$B,D92,Revision_previa!$A:$A,"&gt;="&amp;A92,Revision_previa!$A:$A,"&lt;"&amp;(A92+1),Revision_previa!$F:$F,"Falla")+COUNTIFS(Revision_previa!$B:$B,D92,Revision_previa!$A:$A,"&gt;="&amp;A92,Revision_previa!$A:$A,"&lt;"&amp;(A92+1),Revision_previa!$H:$H,"Encendido")&gt;0,"No apto","Apto")))</f>
        <v/>
      </c>
    </row>
    <row r="93" customFormat="false" ht="15" hidden="false" customHeight="false" outlineLevel="0" collapsed="false">
      <c r="A93" s="23"/>
      <c r="B93" s="9"/>
      <c r="C93" s="9"/>
      <c r="D93" s="9"/>
      <c r="E93" s="9" t="str">
        <f aca="false">IF(C93="","",IFERROR(INDEX(Conductores!$B:$B,MATCH(C93,Conductores!$A:$A,0)),"ID no encontrado"))</f>
        <v/>
      </c>
      <c r="F93" s="9" t="str">
        <f aca="false">IF(B93="","",IFERROR(INDEX(Rutas!$B:$B,MATCH(B93,Rutas!$A:$A,0)),"ID no encontrado"))</f>
        <v/>
      </c>
      <c r="G93" s="9" t="str">
        <f aca="false">IF(OR(B93="",C93="",D93=""),"",IF(OR(ISNA(MATCH(B93,Rutas!$A:$A,0)),ISNA(MATCH(C93,Conductores!$A:$A,0)),ISNA(MATCH(D93,Vehículos!$A:$A,0))),"REVISAR: ID no encontrado",IF(INDEX(Rutas!$C:$C,MATCH(B93,Rutas!$A:$A,0))&lt;&gt;INDEX(Vehículos!$B:$B,MATCH(D93,Vehículos!$A:$A,0)),"REVISAR: el vehículo no corresponde a la ruta",IF(INDEX(Rutas!$C:$C,MATCH(B93,Rutas!$A:$A,0))&lt;&gt;INDEX(Conductores!$D:$D,MATCH(C93,Conductores!$A:$A,0)),"REVISAR: el conductor no corresponde a la ruta",IF(OR(INDEX(Vehículos!$E:$E,MATCH(D93,Vehículos!$A:$A,0))="Taller",INDEX(Vehículos!$E:$E,MATCH(D93,Vehículos!$A:$A,0))="Fuera de servicio"),"REVISAR: vehículo no disponible",IF(INDEX(Conductores!$G:$G,MATCH(C93,Conductores!$A:$A,0))&lt;&gt;"Activo","REVISAR: conductor no activo",IF(COUNTIFS($A:$A,A93,$C:$C,C93)&gt;1,"REVISAR: conductor asignado dos veces",IF(COUNTIFS($A:$A,A93,$D:$D,D93)&gt;1,"REVISAR: vehículo asignado dos veces","OK"))))))))</f>
        <v/>
      </c>
      <c r="H93" s="9"/>
      <c r="I93" s="9"/>
      <c r="J93" s="14" t="str">
        <f aca="false">IF(OR(H93="",H93=0),"",I93/H93)</f>
        <v/>
      </c>
      <c r="K93" s="9"/>
      <c r="L93" s="9"/>
      <c r="M93" s="24"/>
      <c r="N93" s="9"/>
      <c r="O93" s="9" t="str">
        <f aca="false">IF(AND(OR(K93="En riesgo",K93="Atrasada"),L93=""),"Falta código de motivo",IF(AND(L93="OTR",N93=""),"Explica OTR en las notas",IF(AND(K93="Finalizada",I93&lt;H93,L93=""),"Falta código de motivo","")))</f>
        <v/>
      </c>
      <c r="P93" s="9" t="str">
        <f aca="false">IF(OR(D93="",A93=""),"",IF(COUNTIFS(Revision_previa!$B:$B,D93,Revision_previa!$A:$A,"&gt;="&amp;A93,Revision_previa!$A:$A,"&lt;"&amp;(A93+1))=0,"Sin revisión",IF(COUNTIFS(Revision_previa!$B:$B,D93,Revision_previa!$A:$A,"&gt;="&amp;A93,Revision_previa!$A:$A,"&lt;"&amp;(A93+1),Revision_previa!$D:$D,"Falla")+COUNTIFS(Revision_previa!$B:$B,D93,Revision_previa!$A:$A,"&gt;="&amp;A93,Revision_previa!$A:$A,"&lt;"&amp;(A93+1),Revision_previa!$E:$E,"Falla")+COUNTIFS(Revision_previa!$B:$B,D93,Revision_previa!$A:$A,"&gt;="&amp;A93,Revision_previa!$A:$A,"&lt;"&amp;(A93+1),Revision_previa!$F:$F,"Falla")+COUNTIFS(Revision_previa!$B:$B,D93,Revision_previa!$A:$A,"&gt;="&amp;A93,Revision_previa!$A:$A,"&lt;"&amp;(A93+1),Revision_previa!$H:$H,"Encendido")&gt;0,"No apto","Apto")))</f>
        <v/>
      </c>
    </row>
    <row r="94" customFormat="false" ht="15" hidden="false" customHeight="false" outlineLevel="0" collapsed="false">
      <c r="A94" s="23"/>
      <c r="B94" s="9"/>
      <c r="C94" s="9"/>
      <c r="D94" s="9"/>
      <c r="E94" s="9" t="str">
        <f aca="false">IF(C94="","",IFERROR(INDEX(Conductores!$B:$B,MATCH(C94,Conductores!$A:$A,0)),"ID no encontrado"))</f>
        <v/>
      </c>
      <c r="F94" s="9" t="str">
        <f aca="false">IF(B94="","",IFERROR(INDEX(Rutas!$B:$B,MATCH(B94,Rutas!$A:$A,0)),"ID no encontrado"))</f>
        <v/>
      </c>
      <c r="G94" s="9" t="str">
        <f aca="false">IF(OR(B94="",C94="",D94=""),"",IF(OR(ISNA(MATCH(B94,Rutas!$A:$A,0)),ISNA(MATCH(C94,Conductores!$A:$A,0)),ISNA(MATCH(D94,Vehículos!$A:$A,0))),"REVISAR: ID no encontrado",IF(INDEX(Rutas!$C:$C,MATCH(B94,Rutas!$A:$A,0))&lt;&gt;INDEX(Vehículos!$B:$B,MATCH(D94,Vehículos!$A:$A,0)),"REVISAR: el vehículo no corresponde a la ruta",IF(INDEX(Rutas!$C:$C,MATCH(B94,Rutas!$A:$A,0))&lt;&gt;INDEX(Conductores!$D:$D,MATCH(C94,Conductores!$A:$A,0)),"REVISAR: el conductor no corresponde a la ruta",IF(OR(INDEX(Vehículos!$E:$E,MATCH(D94,Vehículos!$A:$A,0))="Taller",INDEX(Vehículos!$E:$E,MATCH(D94,Vehículos!$A:$A,0))="Fuera de servicio"),"REVISAR: vehículo no disponible",IF(INDEX(Conductores!$G:$G,MATCH(C94,Conductores!$A:$A,0))&lt;&gt;"Activo","REVISAR: conductor no activo",IF(COUNTIFS($A:$A,A94,$C:$C,C94)&gt;1,"REVISAR: conductor asignado dos veces",IF(COUNTIFS($A:$A,A94,$D:$D,D94)&gt;1,"REVISAR: vehículo asignado dos veces","OK"))))))))</f>
        <v/>
      </c>
      <c r="H94" s="9"/>
      <c r="I94" s="9"/>
      <c r="J94" s="14" t="str">
        <f aca="false">IF(OR(H94="",H94=0),"",I94/H94)</f>
        <v/>
      </c>
      <c r="K94" s="9"/>
      <c r="L94" s="9"/>
      <c r="M94" s="24"/>
      <c r="N94" s="9"/>
      <c r="O94" s="9" t="str">
        <f aca="false">IF(AND(OR(K94="En riesgo",K94="Atrasada"),L94=""),"Falta código de motivo",IF(AND(L94="OTR",N94=""),"Explica OTR en las notas",IF(AND(K94="Finalizada",I94&lt;H94,L94=""),"Falta código de motivo","")))</f>
        <v/>
      </c>
      <c r="P94" s="9" t="str">
        <f aca="false">IF(OR(D94="",A94=""),"",IF(COUNTIFS(Revision_previa!$B:$B,D94,Revision_previa!$A:$A,"&gt;="&amp;A94,Revision_previa!$A:$A,"&lt;"&amp;(A94+1))=0,"Sin revisión",IF(COUNTIFS(Revision_previa!$B:$B,D94,Revision_previa!$A:$A,"&gt;="&amp;A94,Revision_previa!$A:$A,"&lt;"&amp;(A94+1),Revision_previa!$D:$D,"Falla")+COUNTIFS(Revision_previa!$B:$B,D94,Revision_previa!$A:$A,"&gt;="&amp;A94,Revision_previa!$A:$A,"&lt;"&amp;(A94+1),Revision_previa!$E:$E,"Falla")+COUNTIFS(Revision_previa!$B:$B,D94,Revision_previa!$A:$A,"&gt;="&amp;A94,Revision_previa!$A:$A,"&lt;"&amp;(A94+1),Revision_previa!$F:$F,"Falla")+COUNTIFS(Revision_previa!$B:$B,D94,Revision_previa!$A:$A,"&gt;="&amp;A94,Revision_previa!$A:$A,"&lt;"&amp;(A94+1),Revision_previa!$H:$H,"Encendido")&gt;0,"No apto","Apto")))</f>
        <v/>
      </c>
    </row>
    <row r="95" customFormat="false" ht="15" hidden="false" customHeight="false" outlineLevel="0" collapsed="false">
      <c r="A95" s="23"/>
      <c r="B95" s="9"/>
      <c r="C95" s="9"/>
      <c r="D95" s="9"/>
      <c r="E95" s="9" t="str">
        <f aca="false">IF(C95="","",IFERROR(INDEX(Conductores!$B:$B,MATCH(C95,Conductores!$A:$A,0)),"ID no encontrado"))</f>
        <v/>
      </c>
      <c r="F95" s="9" t="str">
        <f aca="false">IF(B95="","",IFERROR(INDEX(Rutas!$B:$B,MATCH(B95,Rutas!$A:$A,0)),"ID no encontrado"))</f>
        <v/>
      </c>
      <c r="G95" s="9" t="str">
        <f aca="false">IF(OR(B95="",C95="",D95=""),"",IF(OR(ISNA(MATCH(B95,Rutas!$A:$A,0)),ISNA(MATCH(C95,Conductores!$A:$A,0)),ISNA(MATCH(D95,Vehículos!$A:$A,0))),"REVISAR: ID no encontrado",IF(INDEX(Rutas!$C:$C,MATCH(B95,Rutas!$A:$A,0))&lt;&gt;INDEX(Vehículos!$B:$B,MATCH(D95,Vehículos!$A:$A,0)),"REVISAR: el vehículo no corresponde a la ruta",IF(INDEX(Rutas!$C:$C,MATCH(B95,Rutas!$A:$A,0))&lt;&gt;INDEX(Conductores!$D:$D,MATCH(C95,Conductores!$A:$A,0)),"REVISAR: el conductor no corresponde a la ruta",IF(OR(INDEX(Vehículos!$E:$E,MATCH(D95,Vehículos!$A:$A,0))="Taller",INDEX(Vehículos!$E:$E,MATCH(D95,Vehículos!$A:$A,0))="Fuera de servicio"),"REVISAR: vehículo no disponible",IF(INDEX(Conductores!$G:$G,MATCH(C95,Conductores!$A:$A,0))&lt;&gt;"Activo","REVISAR: conductor no activo",IF(COUNTIFS($A:$A,A95,$C:$C,C95)&gt;1,"REVISAR: conductor asignado dos veces",IF(COUNTIFS($A:$A,A95,$D:$D,D95)&gt;1,"REVISAR: vehículo asignado dos veces","OK"))))))))</f>
        <v/>
      </c>
      <c r="H95" s="9"/>
      <c r="I95" s="9"/>
      <c r="J95" s="14" t="str">
        <f aca="false">IF(OR(H95="",H95=0),"",I95/H95)</f>
        <v/>
      </c>
      <c r="K95" s="9"/>
      <c r="L95" s="9"/>
      <c r="M95" s="24"/>
      <c r="N95" s="9"/>
      <c r="O95" s="9" t="str">
        <f aca="false">IF(AND(OR(K95="En riesgo",K95="Atrasada"),L95=""),"Falta código de motivo",IF(AND(L95="OTR",N95=""),"Explica OTR en las notas",IF(AND(K95="Finalizada",I95&lt;H95,L95=""),"Falta código de motivo","")))</f>
        <v/>
      </c>
      <c r="P95" s="9" t="str">
        <f aca="false">IF(OR(D95="",A95=""),"",IF(COUNTIFS(Revision_previa!$B:$B,D95,Revision_previa!$A:$A,"&gt;="&amp;A95,Revision_previa!$A:$A,"&lt;"&amp;(A95+1))=0,"Sin revisión",IF(COUNTIFS(Revision_previa!$B:$B,D95,Revision_previa!$A:$A,"&gt;="&amp;A95,Revision_previa!$A:$A,"&lt;"&amp;(A95+1),Revision_previa!$D:$D,"Falla")+COUNTIFS(Revision_previa!$B:$B,D95,Revision_previa!$A:$A,"&gt;="&amp;A95,Revision_previa!$A:$A,"&lt;"&amp;(A95+1),Revision_previa!$E:$E,"Falla")+COUNTIFS(Revision_previa!$B:$B,D95,Revision_previa!$A:$A,"&gt;="&amp;A95,Revision_previa!$A:$A,"&lt;"&amp;(A95+1),Revision_previa!$F:$F,"Falla")+COUNTIFS(Revision_previa!$B:$B,D95,Revision_previa!$A:$A,"&gt;="&amp;A95,Revision_previa!$A:$A,"&lt;"&amp;(A95+1),Revision_previa!$H:$H,"Encendido")&gt;0,"No apto","Apto")))</f>
        <v/>
      </c>
    </row>
    <row r="96" customFormat="false" ht="15" hidden="false" customHeight="false" outlineLevel="0" collapsed="false">
      <c r="A96" s="23"/>
      <c r="B96" s="9"/>
      <c r="C96" s="9"/>
      <c r="D96" s="9"/>
      <c r="E96" s="9" t="str">
        <f aca="false">IF(C96="","",IFERROR(INDEX(Conductores!$B:$B,MATCH(C96,Conductores!$A:$A,0)),"ID no encontrado"))</f>
        <v/>
      </c>
      <c r="F96" s="9" t="str">
        <f aca="false">IF(B96="","",IFERROR(INDEX(Rutas!$B:$B,MATCH(B96,Rutas!$A:$A,0)),"ID no encontrado"))</f>
        <v/>
      </c>
      <c r="G96" s="9" t="str">
        <f aca="false">IF(OR(B96="",C96="",D96=""),"",IF(OR(ISNA(MATCH(B96,Rutas!$A:$A,0)),ISNA(MATCH(C96,Conductores!$A:$A,0)),ISNA(MATCH(D96,Vehículos!$A:$A,0))),"REVISAR: ID no encontrado",IF(INDEX(Rutas!$C:$C,MATCH(B96,Rutas!$A:$A,0))&lt;&gt;INDEX(Vehículos!$B:$B,MATCH(D96,Vehículos!$A:$A,0)),"REVISAR: el vehículo no corresponde a la ruta",IF(INDEX(Rutas!$C:$C,MATCH(B96,Rutas!$A:$A,0))&lt;&gt;INDEX(Conductores!$D:$D,MATCH(C96,Conductores!$A:$A,0)),"REVISAR: el conductor no corresponde a la ruta",IF(OR(INDEX(Vehículos!$E:$E,MATCH(D96,Vehículos!$A:$A,0))="Taller",INDEX(Vehículos!$E:$E,MATCH(D96,Vehículos!$A:$A,0))="Fuera de servicio"),"REVISAR: vehículo no disponible",IF(INDEX(Conductores!$G:$G,MATCH(C96,Conductores!$A:$A,0))&lt;&gt;"Activo","REVISAR: conductor no activo",IF(COUNTIFS($A:$A,A96,$C:$C,C96)&gt;1,"REVISAR: conductor asignado dos veces",IF(COUNTIFS($A:$A,A96,$D:$D,D96)&gt;1,"REVISAR: vehículo asignado dos veces","OK"))))))))</f>
        <v/>
      </c>
      <c r="H96" s="9"/>
      <c r="I96" s="9"/>
      <c r="J96" s="14" t="str">
        <f aca="false">IF(OR(H96="",H96=0),"",I96/H96)</f>
        <v/>
      </c>
      <c r="K96" s="9"/>
      <c r="L96" s="9"/>
      <c r="M96" s="24"/>
      <c r="N96" s="9"/>
      <c r="O96" s="9" t="str">
        <f aca="false">IF(AND(OR(K96="En riesgo",K96="Atrasada"),L96=""),"Falta código de motivo",IF(AND(L96="OTR",N96=""),"Explica OTR en las notas",IF(AND(K96="Finalizada",I96&lt;H96,L96=""),"Falta código de motivo","")))</f>
        <v/>
      </c>
      <c r="P96" s="9" t="str">
        <f aca="false">IF(OR(D96="",A96=""),"",IF(COUNTIFS(Revision_previa!$B:$B,D96,Revision_previa!$A:$A,"&gt;="&amp;A96,Revision_previa!$A:$A,"&lt;"&amp;(A96+1))=0,"Sin revisión",IF(COUNTIFS(Revision_previa!$B:$B,D96,Revision_previa!$A:$A,"&gt;="&amp;A96,Revision_previa!$A:$A,"&lt;"&amp;(A96+1),Revision_previa!$D:$D,"Falla")+COUNTIFS(Revision_previa!$B:$B,D96,Revision_previa!$A:$A,"&gt;="&amp;A96,Revision_previa!$A:$A,"&lt;"&amp;(A96+1),Revision_previa!$E:$E,"Falla")+COUNTIFS(Revision_previa!$B:$B,D96,Revision_previa!$A:$A,"&gt;="&amp;A96,Revision_previa!$A:$A,"&lt;"&amp;(A96+1),Revision_previa!$F:$F,"Falla")+COUNTIFS(Revision_previa!$B:$B,D96,Revision_previa!$A:$A,"&gt;="&amp;A96,Revision_previa!$A:$A,"&lt;"&amp;(A96+1),Revision_previa!$H:$H,"Encendido")&gt;0,"No apto","Apto")))</f>
        <v/>
      </c>
    </row>
    <row r="97" customFormat="false" ht="15" hidden="false" customHeight="false" outlineLevel="0" collapsed="false">
      <c r="A97" s="23"/>
      <c r="B97" s="9"/>
      <c r="C97" s="9"/>
      <c r="D97" s="9"/>
      <c r="E97" s="9" t="str">
        <f aca="false">IF(C97="","",IFERROR(INDEX(Conductores!$B:$B,MATCH(C97,Conductores!$A:$A,0)),"ID no encontrado"))</f>
        <v/>
      </c>
      <c r="F97" s="9" t="str">
        <f aca="false">IF(B97="","",IFERROR(INDEX(Rutas!$B:$B,MATCH(B97,Rutas!$A:$A,0)),"ID no encontrado"))</f>
        <v/>
      </c>
      <c r="G97" s="9" t="str">
        <f aca="false">IF(OR(B97="",C97="",D97=""),"",IF(OR(ISNA(MATCH(B97,Rutas!$A:$A,0)),ISNA(MATCH(C97,Conductores!$A:$A,0)),ISNA(MATCH(D97,Vehículos!$A:$A,0))),"REVISAR: ID no encontrado",IF(INDEX(Rutas!$C:$C,MATCH(B97,Rutas!$A:$A,0))&lt;&gt;INDEX(Vehículos!$B:$B,MATCH(D97,Vehículos!$A:$A,0)),"REVISAR: el vehículo no corresponde a la ruta",IF(INDEX(Rutas!$C:$C,MATCH(B97,Rutas!$A:$A,0))&lt;&gt;INDEX(Conductores!$D:$D,MATCH(C97,Conductores!$A:$A,0)),"REVISAR: el conductor no corresponde a la ruta",IF(OR(INDEX(Vehículos!$E:$E,MATCH(D97,Vehículos!$A:$A,0))="Taller",INDEX(Vehículos!$E:$E,MATCH(D97,Vehículos!$A:$A,0))="Fuera de servicio"),"REVISAR: vehículo no disponible",IF(INDEX(Conductores!$G:$G,MATCH(C97,Conductores!$A:$A,0))&lt;&gt;"Activo","REVISAR: conductor no activo",IF(COUNTIFS($A:$A,A97,$C:$C,C97)&gt;1,"REVISAR: conductor asignado dos veces",IF(COUNTIFS($A:$A,A97,$D:$D,D97)&gt;1,"REVISAR: vehículo asignado dos veces","OK"))))))))</f>
        <v/>
      </c>
      <c r="H97" s="9"/>
      <c r="I97" s="9"/>
      <c r="J97" s="14" t="str">
        <f aca="false">IF(OR(H97="",H97=0),"",I97/H97)</f>
        <v/>
      </c>
      <c r="K97" s="9"/>
      <c r="L97" s="9"/>
      <c r="M97" s="24"/>
      <c r="N97" s="9"/>
      <c r="O97" s="9" t="str">
        <f aca="false">IF(AND(OR(K97="En riesgo",K97="Atrasada"),L97=""),"Falta código de motivo",IF(AND(L97="OTR",N97=""),"Explica OTR en las notas",IF(AND(K97="Finalizada",I97&lt;H97,L97=""),"Falta código de motivo","")))</f>
        <v/>
      </c>
      <c r="P97" s="9" t="str">
        <f aca="false">IF(OR(D97="",A97=""),"",IF(COUNTIFS(Revision_previa!$B:$B,D97,Revision_previa!$A:$A,"&gt;="&amp;A97,Revision_previa!$A:$A,"&lt;"&amp;(A97+1))=0,"Sin revisión",IF(COUNTIFS(Revision_previa!$B:$B,D97,Revision_previa!$A:$A,"&gt;="&amp;A97,Revision_previa!$A:$A,"&lt;"&amp;(A97+1),Revision_previa!$D:$D,"Falla")+COUNTIFS(Revision_previa!$B:$B,D97,Revision_previa!$A:$A,"&gt;="&amp;A97,Revision_previa!$A:$A,"&lt;"&amp;(A97+1),Revision_previa!$E:$E,"Falla")+COUNTIFS(Revision_previa!$B:$B,D97,Revision_previa!$A:$A,"&gt;="&amp;A97,Revision_previa!$A:$A,"&lt;"&amp;(A97+1),Revision_previa!$F:$F,"Falla")+COUNTIFS(Revision_previa!$B:$B,D97,Revision_previa!$A:$A,"&gt;="&amp;A97,Revision_previa!$A:$A,"&lt;"&amp;(A97+1),Revision_previa!$H:$H,"Encendido")&gt;0,"No apto","Apto")))</f>
        <v/>
      </c>
    </row>
    <row r="98" customFormat="false" ht="15" hidden="false" customHeight="false" outlineLevel="0" collapsed="false">
      <c r="A98" s="23"/>
      <c r="B98" s="9"/>
      <c r="C98" s="9"/>
      <c r="D98" s="9"/>
      <c r="E98" s="9" t="str">
        <f aca="false">IF(C98="","",IFERROR(INDEX(Conductores!$B:$B,MATCH(C98,Conductores!$A:$A,0)),"ID no encontrado"))</f>
        <v/>
      </c>
      <c r="F98" s="9" t="str">
        <f aca="false">IF(B98="","",IFERROR(INDEX(Rutas!$B:$B,MATCH(B98,Rutas!$A:$A,0)),"ID no encontrado"))</f>
        <v/>
      </c>
      <c r="G98" s="9" t="str">
        <f aca="false">IF(OR(B98="",C98="",D98=""),"",IF(OR(ISNA(MATCH(B98,Rutas!$A:$A,0)),ISNA(MATCH(C98,Conductores!$A:$A,0)),ISNA(MATCH(D98,Vehículos!$A:$A,0))),"REVISAR: ID no encontrado",IF(INDEX(Rutas!$C:$C,MATCH(B98,Rutas!$A:$A,0))&lt;&gt;INDEX(Vehículos!$B:$B,MATCH(D98,Vehículos!$A:$A,0)),"REVISAR: el vehículo no corresponde a la ruta",IF(INDEX(Rutas!$C:$C,MATCH(B98,Rutas!$A:$A,0))&lt;&gt;INDEX(Conductores!$D:$D,MATCH(C98,Conductores!$A:$A,0)),"REVISAR: el conductor no corresponde a la ruta",IF(OR(INDEX(Vehículos!$E:$E,MATCH(D98,Vehículos!$A:$A,0))="Taller",INDEX(Vehículos!$E:$E,MATCH(D98,Vehículos!$A:$A,0))="Fuera de servicio"),"REVISAR: vehículo no disponible",IF(INDEX(Conductores!$G:$G,MATCH(C98,Conductores!$A:$A,0))&lt;&gt;"Activo","REVISAR: conductor no activo",IF(COUNTIFS($A:$A,A98,$C:$C,C98)&gt;1,"REVISAR: conductor asignado dos veces",IF(COUNTIFS($A:$A,A98,$D:$D,D98)&gt;1,"REVISAR: vehículo asignado dos veces","OK"))))))))</f>
        <v/>
      </c>
      <c r="H98" s="9"/>
      <c r="I98" s="9"/>
      <c r="J98" s="14" t="str">
        <f aca="false">IF(OR(H98="",H98=0),"",I98/H98)</f>
        <v/>
      </c>
      <c r="K98" s="9"/>
      <c r="L98" s="9"/>
      <c r="M98" s="24"/>
      <c r="N98" s="9"/>
      <c r="O98" s="9" t="str">
        <f aca="false">IF(AND(OR(K98="En riesgo",K98="Atrasada"),L98=""),"Falta código de motivo",IF(AND(L98="OTR",N98=""),"Explica OTR en las notas",IF(AND(K98="Finalizada",I98&lt;H98,L98=""),"Falta código de motivo","")))</f>
        <v/>
      </c>
      <c r="P98" s="9" t="str">
        <f aca="false">IF(OR(D98="",A98=""),"",IF(COUNTIFS(Revision_previa!$B:$B,D98,Revision_previa!$A:$A,"&gt;="&amp;A98,Revision_previa!$A:$A,"&lt;"&amp;(A98+1))=0,"Sin revisión",IF(COUNTIFS(Revision_previa!$B:$B,D98,Revision_previa!$A:$A,"&gt;="&amp;A98,Revision_previa!$A:$A,"&lt;"&amp;(A98+1),Revision_previa!$D:$D,"Falla")+COUNTIFS(Revision_previa!$B:$B,D98,Revision_previa!$A:$A,"&gt;="&amp;A98,Revision_previa!$A:$A,"&lt;"&amp;(A98+1),Revision_previa!$E:$E,"Falla")+COUNTIFS(Revision_previa!$B:$B,D98,Revision_previa!$A:$A,"&gt;="&amp;A98,Revision_previa!$A:$A,"&lt;"&amp;(A98+1),Revision_previa!$F:$F,"Falla")+COUNTIFS(Revision_previa!$B:$B,D98,Revision_previa!$A:$A,"&gt;="&amp;A98,Revision_previa!$A:$A,"&lt;"&amp;(A98+1),Revision_previa!$H:$H,"Encendido")&gt;0,"No apto","Apto")))</f>
        <v/>
      </c>
    </row>
    <row r="99" customFormat="false" ht="15" hidden="false" customHeight="false" outlineLevel="0" collapsed="false">
      <c r="A99" s="23"/>
      <c r="B99" s="9"/>
      <c r="C99" s="9"/>
      <c r="D99" s="9"/>
      <c r="E99" s="9" t="str">
        <f aca="false">IF(C99="","",IFERROR(INDEX(Conductores!$B:$B,MATCH(C99,Conductores!$A:$A,0)),"ID no encontrado"))</f>
        <v/>
      </c>
      <c r="F99" s="9" t="str">
        <f aca="false">IF(B99="","",IFERROR(INDEX(Rutas!$B:$B,MATCH(B99,Rutas!$A:$A,0)),"ID no encontrado"))</f>
        <v/>
      </c>
      <c r="G99" s="9" t="str">
        <f aca="false">IF(OR(B99="",C99="",D99=""),"",IF(OR(ISNA(MATCH(B99,Rutas!$A:$A,0)),ISNA(MATCH(C99,Conductores!$A:$A,0)),ISNA(MATCH(D99,Vehículos!$A:$A,0))),"REVISAR: ID no encontrado",IF(INDEX(Rutas!$C:$C,MATCH(B99,Rutas!$A:$A,0))&lt;&gt;INDEX(Vehículos!$B:$B,MATCH(D99,Vehículos!$A:$A,0)),"REVISAR: el vehículo no corresponde a la ruta",IF(INDEX(Rutas!$C:$C,MATCH(B99,Rutas!$A:$A,0))&lt;&gt;INDEX(Conductores!$D:$D,MATCH(C99,Conductores!$A:$A,0)),"REVISAR: el conductor no corresponde a la ruta",IF(OR(INDEX(Vehículos!$E:$E,MATCH(D99,Vehículos!$A:$A,0))="Taller",INDEX(Vehículos!$E:$E,MATCH(D99,Vehículos!$A:$A,0))="Fuera de servicio"),"REVISAR: vehículo no disponible",IF(INDEX(Conductores!$G:$G,MATCH(C99,Conductores!$A:$A,0))&lt;&gt;"Activo","REVISAR: conductor no activo",IF(COUNTIFS($A:$A,A99,$C:$C,C99)&gt;1,"REVISAR: conductor asignado dos veces",IF(COUNTIFS($A:$A,A99,$D:$D,D99)&gt;1,"REVISAR: vehículo asignado dos veces","OK"))))))))</f>
        <v/>
      </c>
      <c r="H99" s="9"/>
      <c r="I99" s="9"/>
      <c r="J99" s="14" t="str">
        <f aca="false">IF(OR(H99="",H99=0),"",I99/H99)</f>
        <v/>
      </c>
      <c r="K99" s="9"/>
      <c r="L99" s="9"/>
      <c r="M99" s="24"/>
      <c r="N99" s="9"/>
      <c r="O99" s="9" t="str">
        <f aca="false">IF(AND(OR(K99="En riesgo",K99="Atrasada"),L99=""),"Falta código de motivo",IF(AND(L99="OTR",N99=""),"Explica OTR en las notas",IF(AND(K99="Finalizada",I99&lt;H99,L99=""),"Falta código de motivo","")))</f>
        <v/>
      </c>
      <c r="P99" s="9" t="str">
        <f aca="false">IF(OR(D99="",A99=""),"",IF(COUNTIFS(Revision_previa!$B:$B,D99,Revision_previa!$A:$A,"&gt;="&amp;A99,Revision_previa!$A:$A,"&lt;"&amp;(A99+1))=0,"Sin revisión",IF(COUNTIFS(Revision_previa!$B:$B,D99,Revision_previa!$A:$A,"&gt;="&amp;A99,Revision_previa!$A:$A,"&lt;"&amp;(A99+1),Revision_previa!$D:$D,"Falla")+COUNTIFS(Revision_previa!$B:$B,D99,Revision_previa!$A:$A,"&gt;="&amp;A99,Revision_previa!$A:$A,"&lt;"&amp;(A99+1),Revision_previa!$E:$E,"Falla")+COUNTIFS(Revision_previa!$B:$B,D99,Revision_previa!$A:$A,"&gt;="&amp;A99,Revision_previa!$A:$A,"&lt;"&amp;(A99+1),Revision_previa!$F:$F,"Falla")+COUNTIFS(Revision_previa!$B:$B,D99,Revision_previa!$A:$A,"&gt;="&amp;A99,Revision_previa!$A:$A,"&lt;"&amp;(A99+1),Revision_previa!$H:$H,"Encendido")&gt;0,"No apto","Apto")))</f>
        <v/>
      </c>
    </row>
    <row r="100" customFormat="false" ht="15" hidden="false" customHeight="false" outlineLevel="0" collapsed="false">
      <c r="A100" s="23"/>
      <c r="B100" s="9"/>
      <c r="C100" s="9"/>
      <c r="D100" s="9"/>
      <c r="E100" s="9" t="str">
        <f aca="false">IF(C100="","",IFERROR(INDEX(Conductores!$B:$B,MATCH(C100,Conductores!$A:$A,0)),"ID no encontrado"))</f>
        <v/>
      </c>
      <c r="F100" s="9" t="str">
        <f aca="false">IF(B100="","",IFERROR(INDEX(Rutas!$B:$B,MATCH(B100,Rutas!$A:$A,0)),"ID no encontrado"))</f>
        <v/>
      </c>
      <c r="G100" s="9" t="str">
        <f aca="false">IF(OR(B100="",C100="",D100=""),"",IF(OR(ISNA(MATCH(B100,Rutas!$A:$A,0)),ISNA(MATCH(C100,Conductores!$A:$A,0)),ISNA(MATCH(D100,Vehículos!$A:$A,0))),"REVISAR: ID no encontrado",IF(INDEX(Rutas!$C:$C,MATCH(B100,Rutas!$A:$A,0))&lt;&gt;INDEX(Vehículos!$B:$B,MATCH(D100,Vehículos!$A:$A,0)),"REVISAR: el vehículo no corresponde a la ruta",IF(INDEX(Rutas!$C:$C,MATCH(B100,Rutas!$A:$A,0))&lt;&gt;INDEX(Conductores!$D:$D,MATCH(C100,Conductores!$A:$A,0)),"REVISAR: el conductor no corresponde a la ruta",IF(OR(INDEX(Vehículos!$E:$E,MATCH(D100,Vehículos!$A:$A,0))="Taller",INDEX(Vehículos!$E:$E,MATCH(D100,Vehículos!$A:$A,0))="Fuera de servicio"),"REVISAR: vehículo no disponible",IF(INDEX(Conductores!$G:$G,MATCH(C100,Conductores!$A:$A,0))&lt;&gt;"Activo","REVISAR: conductor no activo",IF(COUNTIFS($A:$A,A100,$C:$C,C100)&gt;1,"REVISAR: conductor asignado dos veces",IF(COUNTIFS($A:$A,A100,$D:$D,D100)&gt;1,"REVISAR: vehículo asignado dos veces","OK"))))))))</f>
        <v/>
      </c>
      <c r="H100" s="9"/>
      <c r="I100" s="9"/>
      <c r="J100" s="14" t="str">
        <f aca="false">IF(OR(H100="",H100=0),"",I100/H100)</f>
        <v/>
      </c>
      <c r="K100" s="9"/>
      <c r="L100" s="9"/>
      <c r="M100" s="24"/>
      <c r="N100" s="9"/>
      <c r="O100" s="9" t="str">
        <f aca="false">IF(AND(OR(K100="En riesgo",K100="Atrasada"),L100=""),"Falta código de motivo",IF(AND(L100="OTR",N100=""),"Explica OTR en las notas",IF(AND(K100="Finalizada",I100&lt;H100,L100=""),"Falta código de motivo","")))</f>
        <v/>
      </c>
      <c r="P100" s="9" t="str">
        <f aca="false">IF(OR(D100="",A100=""),"",IF(COUNTIFS(Revision_previa!$B:$B,D100,Revision_previa!$A:$A,"&gt;="&amp;A100,Revision_previa!$A:$A,"&lt;"&amp;(A100+1))=0,"Sin revisión",IF(COUNTIFS(Revision_previa!$B:$B,D100,Revision_previa!$A:$A,"&gt;="&amp;A100,Revision_previa!$A:$A,"&lt;"&amp;(A100+1),Revision_previa!$D:$D,"Falla")+COUNTIFS(Revision_previa!$B:$B,D100,Revision_previa!$A:$A,"&gt;="&amp;A100,Revision_previa!$A:$A,"&lt;"&amp;(A100+1),Revision_previa!$E:$E,"Falla")+COUNTIFS(Revision_previa!$B:$B,D100,Revision_previa!$A:$A,"&gt;="&amp;A100,Revision_previa!$A:$A,"&lt;"&amp;(A100+1),Revision_previa!$F:$F,"Falla")+COUNTIFS(Revision_previa!$B:$B,D100,Revision_previa!$A:$A,"&gt;="&amp;A100,Revision_previa!$A:$A,"&lt;"&amp;(A100+1),Revision_previa!$H:$H,"Encendido")&gt;0,"No apto","Apto")))</f>
        <v/>
      </c>
    </row>
    <row r="101" customFormat="false" ht="15" hidden="false" customHeight="false" outlineLevel="0" collapsed="false">
      <c r="A101" s="23"/>
      <c r="B101" s="9"/>
      <c r="C101" s="9"/>
      <c r="D101" s="9"/>
      <c r="E101" s="9" t="str">
        <f aca="false">IF(C101="","",IFERROR(INDEX(Conductores!$B:$B,MATCH(C101,Conductores!$A:$A,0)),"ID no encontrado"))</f>
        <v/>
      </c>
      <c r="F101" s="9" t="str">
        <f aca="false">IF(B101="","",IFERROR(INDEX(Rutas!$B:$B,MATCH(B101,Rutas!$A:$A,0)),"ID no encontrado"))</f>
        <v/>
      </c>
      <c r="G101" s="9" t="str">
        <f aca="false">IF(OR(B101="",C101="",D101=""),"",IF(OR(ISNA(MATCH(B101,Rutas!$A:$A,0)),ISNA(MATCH(C101,Conductores!$A:$A,0)),ISNA(MATCH(D101,Vehículos!$A:$A,0))),"REVISAR: ID no encontrado",IF(INDEX(Rutas!$C:$C,MATCH(B101,Rutas!$A:$A,0))&lt;&gt;INDEX(Vehículos!$B:$B,MATCH(D101,Vehículos!$A:$A,0)),"REVISAR: el vehículo no corresponde a la ruta",IF(INDEX(Rutas!$C:$C,MATCH(B101,Rutas!$A:$A,0))&lt;&gt;INDEX(Conductores!$D:$D,MATCH(C101,Conductores!$A:$A,0)),"REVISAR: el conductor no corresponde a la ruta",IF(OR(INDEX(Vehículos!$E:$E,MATCH(D101,Vehículos!$A:$A,0))="Taller",INDEX(Vehículos!$E:$E,MATCH(D101,Vehículos!$A:$A,0))="Fuera de servicio"),"REVISAR: vehículo no disponible",IF(INDEX(Conductores!$G:$G,MATCH(C101,Conductores!$A:$A,0))&lt;&gt;"Activo","REVISAR: conductor no activo",IF(COUNTIFS($A:$A,A101,$C:$C,C101)&gt;1,"REVISAR: conductor asignado dos veces",IF(COUNTIFS($A:$A,A101,$D:$D,D101)&gt;1,"REVISAR: vehículo asignado dos veces","OK"))))))))</f>
        <v/>
      </c>
      <c r="H101" s="9"/>
      <c r="I101" s="9"/>
      <c r="J101" s="14" t="str">
        <f aca="false">IF(OR(H101="",H101=0),"",I101/H101)</f>
        <v/>
      </c>
      <c r="K101" s="9"/>
      <c r="L101" s="9"/>
      <c r="M101" s="24"/>
      <c r="N101" s="9"/>
      <c r="O101" s="9" t="str">
        <f aca="false">IF(AND(OR(K101="En riesgo",K101="Atrasada"),L101=""),"Falta código de motivo",IF(AND(L101="OTR",N101=""),"Explica OTR en las notas",IF(AND(K101="Finalizada",I101&lt;H101,L101=""),"Falta código de motivo","")))</f>
        <v/>
      </c>
      <c r="P101" s="9" t="str">
        <f aca="false">IF(OR(D101="",A101=""),"",IF(COUNTIFS(Revision_previa!$B:$B,D101,Revision_previa!$A:$A,"&gt;="&amp;A101,Revision_previa!$A:$A,"&lt;"&amp;(A101+1))=0,"Sin revisión",IF(COUNTIFS(Revision_previa!$B:$B,D101,Revision_previa!$A:$A,"&gt;="&amp;A101,Revision_previa!$A:$A,"&lt;"&amp;(A101+1),Revision_previa!$D:$D,"Falla")+COUNTIFS(Revision_previa!$B:$B,D101,Revision_previa!$A:$A,"&gt;="&amp;A101,Revision_previa!$A:$A,"&lt;"&amp;(A101+1),Revision_previa!$E:$E,"Falla")+COUNTIFS(Revision_previa!$B:$B,D101,Revision_previa!$A:$A,"&gt;="&amp;A101,Revision_previa!$A:$A,"&lt;"&amp;(A101+1),Revision_previa!$F:$F,"Falla")+COUNTIFS(Revision_previa!$B:$B,D101,Revision_previa!$A:$A,"&gt;="&amp;A101,Revision_previa!$A:$A,"&lt;"&amp;(A101+1),Revision_previa!$H:$H,"Encendido")&gt;0,"No apto","Apto")))</f>
        <v/>
      </c>
    </row>
    <row r="102" customFormat="false" ht="15" hidden="false" customHeight="false" outlineLevel="0" collapsed="false">
      <c r="A102" s="23"/>
      <c r="B102" s="9"/>
      <c r="C102" s="9"/>
      <c r="D102" s="9"/>
      <c r="E102" s="9" t="str">
        <f aca="false">IF(C102="","",IFERROR(INDEX(Conductores!$B:$B,MATCH(C102,Conductores!$A:$A,0)),"ID no encontrado"))</f>
        <v/>
      </c>
      <c r="F102" s="9" t="str">
        <f aca="false">IF(B102="","",IFERROR(INDEX(Rutas!$B:$B,MATCH(B102,Rutas!$A:$A,0)),"ID no encontrado"))</f>
        <v/>
      </c>
      <c r="G102" s="9" t="str">
        <f aca="false">IF(OR(B102="",C102="",D102=""),"",IF(OR(ISNA(MATCH(B102,Rutas!$A:$A,0)),ISNA(MATCH(C102,Conductores!$A:$A,0)),ISNA(MATCH(D102,Vehículos!$A:$A,0))),"REVISAR: ID no encontrado",IF(INDEX(Rutas!$C:$C,MATCH(B102,Rutas!$A:$A,0))&lt;&gt;INDEX(Vehículos!$B:$B,MATCH(D102,Vehículos!$A:$A,0)),"REVISAR: el vehículo no corresponde a la ruta",IF(INDEX(Rutas!$C:$C,MATCH(B102,Rutas!$A:$A,0))&lt;&gt;INDEX(Conductores!$D:$D,MATCH(C102,Conductores!$A:$A,0)),"REVISAR: el conductor no corresponde a la ruta",IF(OR(INDEX(Vehículos!$E:$E,MATCH(D102,Vehículos!$A:$A,0))="Taller",INDEX(Vehículos!$E:$E,MATCH(D102,Vehículos!$A:$A,0))="Fuera de servicio"),"REVISAR: vehículo no disponible",IF(INDEX(Conductores!$G:$G,MATCH(C102,Conductores!$A:$A,0))&lt;&gt;"Activo","REVISAR: conductor no activo",IF(COUNTIFS($A:$A,A102,$C:$C,C102)&gt;1,"REVISAR: conductor asignado dos veces",IF(COUNTIFS($A:$A,A102,$D:$D,D102)&gt;1,"REVISAR: vehículo asignado dos veces","OK"))))))))</f>
        <v/>
      </c>
      <c r="H102" s="9"/>
      <c r="I102" s="9"/>
      <c r="J102" s="14" t="str">
        <f aca="false">IF(OR(H102="",H102=0),"",I102/H102)</f>
        <v/>
      </c>
      <c r="K102" s="9"/>
      <c r="L102" s="9"/>
      <c r="M102" s="24"/>
      <c r="N102" s="9"/>
      <c r="O102" s="9" t="str">
        <f aca="false">IF(AND(OR(K102="En riesgo",K102="Atrasada"),L102=""),"Falta código de motivo",IF(AND(L102="OTR",N102=""),"Explica OTR en las notas",IF(AND(K102="Finalizada",I102&lt;H102,L102=""),"Falta código de motivo","")))</f>
        <v/>
      </c>
      <c r="P102" s="9" t="str">
        <f aca="false">IF(OR(D102="",A102=""),"",IF(COUNTIFS(Revision_previa!$B:$B,D102,Revision_previa!$A:$A,"&gt;="&amp;A102,Revision_previa!$A:$A,"&lt;"&amp;(A102+1))=0,"Sin revisión",IF(COUNTIFS(Revision_previa!$B:$B,D102,Revision_previa!$A:$A,"&gt;="&amp;A102,Revision_previa!$A:$A,"&lt;"&amp;(A102+1),Revision_previa!$D:$D,"Falla")+COUNTIFS(Revision_previa!$B:$B,D102,Revision_previa!$A:$A,"&gt;="&amp;A102,Revision_previa!$A:$A,"&lt;"&amp;(A102+1),Revision_previa!$E:$E,"Falla")+COUNTIFS(Revision_previa!$B:$B,D102,Revision_previa!$A:$A,"&gt;="&amp;A102,Revision_previa!$A:$A,"&lt;"&amp;(A102+1),Revision_previa!$F:$F,"Falla")+COUNTIFS(Revision_previa!$B:$B,D102,Revision_previa!$A:$A,"&gt;="&amp;A102,Revision_previa!$A:$A,"&lt;"&amp;(A102+1),Revision_previa!$H:$H,"Encendido")&gt;0,"No apto","Apto")))</f>
        <v/>
      </c>
    </row>
    <row r="103" customFormat="false" ht="15" hidden="false" customHeight="false" outlineLevel="0" collapsed="false">
      <c r="A103" s="23"/>
      <c r="B103" s="9"/>
      <c r="C103" s="9"/>
      <c r="D103" s="9"/>
      <c r="E103" s="9" t="str">
        <f aca="false">IF(C103="","",IFERROR(INDEX(Conductores!$B:$B,MATCH(C103,Conductores!$A:$A,0)),"ID no encontrado"))</f>
        <v/>
      </c>
      <c r="F103" s="9" t="str">
        <f aca="false">IF(B103="","",IFERROR(INDEX(Rutas!$B:$B,MATCH(B103,Rutas!$A:$A,0)),"ID no encontrado"))</f>
        <v/>
      </c>
      <c r="G103" s="9" t="str">
        <f aca="false">IF(OR(B103="",C103="",D103=""),"",IF(OR(ISNA(MATCH(B103,Rutas!$A:$A,0)),ISNA(MATCH(C103,Conductores!$A:$A,0)),ISNA(MATCH(D103,Vehículos!$A:$A,0))),"REVISAR: ID no encontrado",IF(INDEX(Rutas!$C:$C,MATCH(B103,Rutas!$A:$A,0))&lt;&gt;INDEX(Vehículos!$B:$B,MATCH(D103,Vehículos!$A:$A,0)),"REVISAR: el vehículo no corresponde a la ruta",IF(INDEX(Rutas!$C:$C,MATCH(B103,Rutas!$A:$A,0))&lt;&gt;INDEX(Conductores!$D:$D,MATCH(C103,Conductores!$A:$A,0)),"REVISAR: el conductor no corresponde a la ruta",IF(OR(INDEX(Vehículos!$E:$E,MATCH(D103,Vehículos!$A:$A,0))="Taller",INDEX(Vehículos!$E:$E,MATCH(D103,Vehículos!$A:$A,0))="Fuera de servicio"),"REVISAR: vehículo no disponible",IF(INDEX(Conductores!$G:$G,MATCH(C103,Conductores!$A:$A,0))&lt;&gt;"Activo","REVISAR: conductor no activo",IF(COUNTIFS($A:$A,A103,$C:$C,C103)&gt;1,"REVISAR: conductor asignado dos veces",IF(COUNTIFS($A:$A,A103,$D:$D,D103)&gt;1,"REVISAR: vehículo asignado dos veces","OK"))))))))</f>
        <v/>
      </c>
      <c r="H103" s="9"/>
      <c r="I103" s="9"/>
      <c r="J103" s="14" t="str">
        <f aca="false">IF(OR(H103="",H103=0),"",I103/H103)</f>
        <v/>
      </c>
      <c r="K103" s="9"/>
      <c r="L103" s="9"/>
      <c r="M103" s="24"/>
      <c r="N103" s="9"/>
      <c r="O103" s="9" t="str">
        <f aca="false">IF(AND(OR(K103="En riesgo",K103="Atrasada"),L103=""),"Falta código de motivo",IF(AND(L103="OTR",N103=""),"Explica OTR en las notas",IF(AND(K103="Finalizada",I103&lt;H103,L103=""),"Falta código de motivo","")))</f>
        <v/>
      </c>
      <c r="P103" s="9" t="str">
        <f aca="false">IF(OR(D103="",A103=""),"",IF(COUNTIFS(Revision_previa!$B:$B,D103,Revision_previa!$A:$A,"&gt;="&amp;A103,Revision_previa!$A:$A,"&lt;"&amp;(A103+1))=0,"Sin revisión",IF(COUNTIFS(Revision_previa!$B:$B,D103,Revision_previa!$A:$A,"&gt;="&amp;A103,Revision_previa!$A:$A,"&lt;"&amp;(A103+1),Revision_previa!$D:$D,"Falla")+COUNTIFS(Revision_previa!$B:$B,D103,Revision_previa!$A:$A,"&gt;="&amp;A103,Revision_previa!$A:$A,"&lt;"&amp;(A103+1),Revision_previa!$E:$E,"Falla")+COUNTIFS(Revision_previa!$B:$B,D103,Revision_previa!$A:$A,"&gt;="&amp;A103,Revision_previa!$A:$A,"&lt;"&amp;(A103+1),Revision_previa!$F:$F,"Falla")+COUNTIFS(Revision_previa!$B:$B,D103,Revision_previa!$A:$A,"&gt;="&amp;A103,Revision_previa!$A:$A,"&lt;"&amp;(A103+1),Revision_previa!$H:$H,"Encendido")&gt;0,"No apto","Apto")))</f>
        <v/>
      </c>
    </row>
    <row r="104" customFormat="false" ht="15" hidden="false" customHeight="false" outlineLevel="0" collapsed="false">
      <c r="A104" s="23"/>
      <c r="B104" s="9"/>
      <c r="C104" s="9"/>
      <c r="D104" s="9"/>
      <c r="E104" s="9" t="str">
        <f aca="false">IF(C104="","",IFERROR(INDEX(Conductores!$B:$B,MATCH(C104,Conductores!$A:$A,0)),"ID no encontrado"))</f>
        <v/>
      </c>
      <c r="F104" s="9" t="str">
        <f aca="false">IF(B104="","",IFERROR(INDEX(Rutas!$B:$B,MATCH(B104,Rutas!$A:$A,0)),"ID no encontrado"))</f>
        <v/>
      </c>
      <c r="G104" s="9" t="str">
        <f aca="false">IF(OR(B104="",C104="",D104=""),"",IF(OR(ISNA(MATCH(B104,Rutas!$A:$A,0)),ISNA(MATCH(C104,Conductores!$A:$A,0)),ISNA(MATCH(D104,Vehículos!$A:$A,0))),"REVISAR: ID no encontrado",IF(INDEX(Rutas!$C:$C,MATCH(B104,Rutas!$A:$A,0))&lt;&gt;INDEX(Vehículos!$B:$B,MATCH(D104,Vehículos!$A:$A,0)),"REVISAR: el vehículo no corresponde a la ruta",IF(INDEX(Rutas!$C:$C,MATCH(B104,Rutas!$A:$A,0))&lt;&gt;INDEX(Conductores!$D:$D,MATCH(C104,Conductores!$A:$A,0)),"REVISAR: el conductor no corresponde a la ruta",IF(OR(INDEX(Vehículos!$E:$E,MATCH(D104,Vehículos!$A:$A,0))="Taller",INDEX(Vehículos!$E:$E,MATCH(D104,Vehículos!$A:$A,0))="Fuera de servicio"),"REVISAR: vehículo no disponible",IF(INDEX(Conductores!$G:$G,MATCH(C104,Conductores!$A:$A,0))&lt;&gt;"Activo","REVISAR: conductor no activo",IF(COUNTIFS($A:$A,A104,$C:$C,C104)&gt;1,"REVISAR: conductor asignado dos veces",IF(COUNTIFS($A:$A,A104,$D:$D,D104)&gt;1,"REVISAR: vehículo asignado dos veces","OK"))))))))</f>
        <v/>
      </c>
      <c r="H104" s="9"/>
      <c r="I104" s="9"/>
      <c r="J104" s="14" t="str">
        <f aca="false">IF(OR(H104="",H104=0),"",I104/H104)</f>
        <v/>
      </c>
      <c r="K104" s="9"/>
      <c r="L104" s="9"/>
      <c r="M104" s="24"/>
      <c r="N104" s="9"/>
      <c r="O104" s="9" t="str">
        <f aca="false">IF(AND(OR(K104="En riesgo",K104="Atrasada"),L104=""),"Falta código de motivo",IF(AND(L104="OTR",N104=""),"Explica OTR en las notas",IF(AND(K104="Finalizada",I104&lt;H104,L104=""),"Falta código de motivo","")))</f>
        <v/>
      </c>
      <c r="P104" s="9" t="str">
        <f aca="false">IF(OR(D104="",A104=""),"",IF(COUNTIFS(Revision_previa!$B:$B,D104,Revision_previa!$A:$A,"&gt;="&amp;A104,Revision_previa!$A:$A,"&lt;"&amp;(A104+1))=0,"Sin revisión",IF(COUNTIFS(Revision_previa!$B:$B,D104,Revision_previa!$A:$A,"&gt;="&amp;A104,Revision_previa!$A:$A,"&lt;"&amp;(A104+1),Revision_previa!$D:$D,"Falla")+COUNTIFS(Revision_previa!$B:$B,D104,Revision_previa!$A:$A,"&gt;="&amp;A104,Revision_previa!$A:$A,"&lt;"&amp;(A104+1),Revision_previa!$E:$E,"Falla")+COUNTIFS(Revision_previa!$B:$B,D104,Revision_previa!$A:$A,"&gt;="&amp;A104,Revision_previa!$A:$A,"&lt;"&amp;(A104+1),Revision_previa!$F:$F,"Falla")+COUNTIFS(Revision_previa!$B:$B,D104,Revision_previa!$A:$A,"&gt;="&amp;A104,Revision_previa!$A:$A,"&lt;"&amp;(A104+1),Revision_previa!$H:$H,"Encendido")&gt;0,"No apto","Apto")))</f>
        <v/>
      </c>
    </row>
    <row r="105" customFormat="false" ht="15" hidden="false" customHeight="false" outlineLevel="0" collapsed="false">
      <c r="A105" s="23"/>
      <c r="B105" s="9"/>
      <c r="C105" s="9"/>
      <c r="D105" s="9"/>
      <c r="E105" s="9" t="str">
        <f aca="false">IF(C105="","",IFERROR(INDEX(Conductores!$B:$B,MATCH(C105,Conductores!$A:$A,0)),"ID no encontrado"))</f>
        <v/>
      </c>
      <c r="F105" s="9" t="str">
        <f aca="false">IF(B105="","",IFERROR(INDEX(Rutas!$B:$B,MATCH(B105,Rutas!$A:$A,0)),"ID no encontrado"))</f>
        <v/>
      </c>
      <c r="G105" s="9" t="str">
        <f aca="false">IF(OR(B105="",C105="",D105=""),"",IF(OR(ISNA(MATCH(B105,Rutas!$A:$A,0)),ISNA(MATCH(C105,Conductores!$A:$A,0)),ISNA(MATCH(D105,Vehículos!$A:$A,0))),"REVISAR: ID no encontrado",IF(INDEX(Rutas!$C:$C,MATCH(B105,Rutas!$A:$A,0))&lt;&gt;INDEX(Vehículos!$B:$B,MATCH(D105,Vehículos!$A:$A,0)),"REVISAR: el vehículo no corresponde a la ruta",IF(INDEX(Rutas!$C:$C,MATCH(B105,Rutas!$A:$A,0))&lt;&gt;INDEX(Conductores!$D:$D,MATCH(C105,Conductores!$A:$A,0)),"REVISAR: el conductor no corresponde a la ruta",IF(OR(INDEX(Vehículos!$E:$E,MATCH(D105,Vehículos!$A:$A,0))="Taller",INDEX(Vehículos!$E:$E,MATCH(D105,Vehículos!$A:$A,0))="Fuera de servicio"),"REVISAR: vehículo no disponible",IF(INDEX(Conductores!$G:$G,MATCH(C105,Conductores!$A:$A,0))&lt;&gt;"Activo","REVISAR: conductor no activo",IF(COUNTIFS($A:$A,A105,$C:$C,C105)&gt;1,"REVISAR: conductor asignado dos veces",IF(COUNTIFS($A:$A,A105,$D:$D,D105)&gt;1,"REVISAR: vehículo asignado dos veces","OK"))))))))</f>
        <v/>
      </c>
      <c r="H105" s="9"/>
      <c r="I105" s="9"/>
      <c r="J105" s="14" t="str">
        <f aca="false">IF(OR(H105="",H105=0),"",I105/H105)</f>
        <v/>
      </c>
      <c r="K105" s="9"/>
      <c r="L105" s="9"/>
      <c r="M105" s="24"/>
      <c r="N105" s="9"/>
      <c r="O105" s="9" t="str">
        <f aca="false">IF(AND(OR(K105="En riesgo",K105="Atrasada"),L105=""),"Falta código de motivo",IF(AND(L105="OTR",N105=""),"Explica OTR en las notas",IF(AND(K105="Finalizada",I105&lt;H105,L105=""),"Falta código de motivo","")))</f>
        <v/>
      </c>
      <c r="P105" s="9" t="str">
        <f aca="false">IF(OR(D105="",A105=""),"",IF(COUNTIFS(Revision_previa!$B:$B,D105,Revision_previa!$A:$A,"&gt;="&amp;A105,Revision_previa!$A:$A,"&lt;"&amp;(A105+1))=0,"Sin revisión",IF(COUNTIFS(Revision_previa!$B:$B,D105,Revision_previa!$A:$A,"&gt;="&amp;A105,Revision_previa!$A:$A,"&lt;"&amp;(A105+1),Revision_previa!$D:$D,"Falla")+COUNTIFS(Revision_previa!$B:$B,D105,Revision_previa!$A:$A,"&gt;="&amp;A105,Revision_previa!$A:$A,"&lt;"&amp;(A105+1),Revision_previa!$E:$E,"Falla")+COUNTIFS(Revision_previa!$B:$B,D105,Revision_previa!$A:$A,"&gt;="&amp;A105,Revision_previa!$A:$A,"&lt;"&amp;(A105+1),Revision_previa!$F:$F,"Falla")+COUNTIFS(Revision_previa!$B:$B,D105,Revision_previa!$A:$A,"&gt;="&amp;A105,Revision_previa!$A:$A,"&lt;"&amp;(A105+1),Revision_previa!$H:$H,"Encendido")&gt;0,"No apto","Apto")))</f>
        <v/>
      </c>
    </row>
    <row r="106" customFormat="false" ht="15" hidden="false" customHeight="false" outlineLevel="0" collapsed="false">
      <c r="A106" s="23"/>
      <c r="B106" s="9"/>
      <c r="C106" s="9"/>
      <c r="D106" s="9"/>
      <c r="E106" s="9" t="str">
        <f aca="false">IF(C106="","",IFERROR(INDEX(Conductores!$B:$B,MATCH(C106,Conductores!$A:$A,0)),"ID no encontrado"))</f>
        <v/>
      </c>
      <c r="F106" s="9" t="str">
        <f aca="false">IF(B106="","",IFERROR(INDEX(Rutas!$B:$B,MATCH(B106,Rutas!$A:$A,0)),"ID no encontrado"))</f>
        <v/>
      </c>
      <c r="G106" s="9" t="str">
        <f aca="false">IF(OR(B106="",C106="",D106=""),"",IF(OR(ISNA(MATCH(B106,Rutas!$A:$A,0)),ISNA(MATCH(C106,Conductores!$A:$A,0)),ISNA(MATCH(D106,Vehículos!$A:$A,0))),"REVISAR: ID no encontrado",IF(INDEX(Rutas!$C:$C,MATCH(B106,Rutas!$A:$A,0))&lt;&gt;INDEX(Vehículos!$B:$B,MATCH(D106,Vehículos!$A:$A,0)),"REVISAR: el vehículo no corresponde a la ruta",IF(INDEX(Rutas!$C:$C,MATCH(B106,Rutas!$A:$A,0))&lt;&gt;INDEX(Conductores!$D:$D,MATCH(C106,Conductores!$A:$A,0)),"REVISAR: el conductor no corresponde a la ruta",IF(OR(INDEX(Vehículos!$E:$E,MATCH(D106,Vehículos!$A:$A,0))="Taller",INDEX(Vehículos!$E:$E,MATCH(D106,Vehículos!$A:$A,0))="Fuera de servicio"),"REVISAR: vehículo no disponible",IF(INDEX(Conductores!$G:$G,MATCH(C106,Conductores!$A:$A,0))&lt;&gt;"Activo","REVISAR: conductor no activo",IF(COUNTIFS($A:$A,A106,$C:$C,C106)&gt;1,"REVISAR: conductor asignado dos veces",IF(COUNTIFS($A:$A,A106,$D:$D,D106)&gt;1,"REVISAR: vehículo asignado dos veces","OK"))))))))</f>
        <v/>
      </c>
      <c r="H106" s="9"/>
      <c r="I106" s="9"/>
      <c r="J106" s="14" t="str">
        <f aca="false">IF(OR(H106="",H106=0),"",I106/H106)</f>
        <v/>
      </c>
      <c r="K106" s="9"/>
      <c r="L106" s="9"/>
      <c r="M106" s="24"/>
      <c r="N106" s="9"/>
      <c r="O106" s="9" t="str">
        <f aca="false">IF(AND(OR(K106="En riesgo",K106="Atrasada"),L106=""),"Falta código de motivo",IF(AND(L106="OTR",N106=""),"Explica OTR en las notas",IF(AND(K106="Finalizada",I106&lt;H106,L106=""),"Falta código de motivo","")))</f>
        <v/>
      </c>
      <c r="P106" s="9" t="str">
        <f aca="false">IF(OR(D106="",A106=""),"",IF(COUNTIFS(Revision_previa!$B:$B,D106,Revision_previa!$A:$A,"&gt;="&amp;A106,Revision_previa!$A:$A,"&lt;"&amp;(A106+1))=0,"Sin revisión",IF(COUNTIFS(Revision_previa!$B:$B,D106,Revision_previa!$A:$A,"&gt;="&amp;A106,Revision_previa!$A:$A,"&lt;"&amp;(A106+1),Revision_previa!$D:$D,"Falla")+COUNTIFS(Revision_previa!$B:$B,D106,Revision_previa!$A:$A,"&gt;="&amp;A106,Revision_previa!$A:$A,"&lt;"&amp;(A106+1),Revision_previa!$E:$E,"Falla")+COUNTIFS(Revision_previa!$B:$B,D106,Revision_previa!$A:$A,"&gt;="&amp;A106,Revision_previa!$A:$A,"&lt;"&amp;(A106+1),Revision_previa!$F:$F,"Falla")+COUNTIFS(Revision_previa!$B:$B,D106,Revision_previa!$A:$A,"&gt;="&amp;A106,Revision_previa!$A:$A,"&lt;"&amp;(A106+1),Revision_previa!$H:$H,"Encendido")&gt;0,"No apto","Apto")))</f>
        <v/>
      </c>
    </row>
    <row r="107" customFormat="false" ht="15" hidden="false" customHeight="false" outlineLevel="0" collapsed="false">
      <c r="A107" s="23"/>
      <c r="B107" s="9"/>
      <c r="C107" s="9"/>
      <c r="D107" s="9"/>
      <c r="E107" s="9" t="str">
        <f aca="false">IF(C107="","",IFERROR(INDEX(Conductores!$B:$B,MATCH(C107,Conductores!$A:$A,0)),"ID no encontrado"))</f>
        <v/>
      </c>
      <c r="F107" s="9" t="str">
        <f aca="false">IF(B107="","",IFERROR(INDEX(Rutas!$B:$B,MATCH(B107,Rutas!$A:$A,0)),"ID no encontrado"))</f>
        <v/>
      </c>
      <c r="G107" s="9" t="str">
        <f aca="false">IF(OR(B107="",C107="",D107=""),"",IF(OR(ISNA(MATCH(B107,Rutas!$A:$A,0)),ISNA(MATCH(C107,Conductores!$A:$A,0)),ISNA(MATCH(D107,Vehículos!$A:$A,0))),"REVISAR: ID no encontrado",IF(INDEX(Rutas!$C:$C,MATCH(B107,Rutas!$A:$A,0))&lt;&gt;INDEX(Vehículos!$B:$B,MATCH(D107,Vehículos!$A:$A,0)),"REVISAR: el vehículo no corresponde a la ruta",IF(INDEX(Rutas!$C:$C,MATCH(B107,Rutas!$A:$A,0))&lt;&gt;INDEX(Conductores!$D:$D,MATCH(C107,Conductores!$A:$A,0)),"REVISAR: el conductor no corresponde a la ruta",IF(OR(INDEX(Vehículos!$E:$E,MATCH(D107,Vehículos!$A:$A,0))="Taller",INDEX(Vehículos!$E:$E,MATCH(D107,Vehículos!$A:$A,0))="Fuera de servicio"),"REVISAR: vehículo no disponible",IF(INDEX(Conductores!$G:$G,MATCH(C107,Conductores!$A:$A,0))&lt;&gt;"Activo","REVISAR: conductor no activo",IF(COUNTIFS($A:$A,A107,$C:$C,C107)&gt;1,"REVISAR: conductor asignado dos veces",IF(COUNTIFS($A:$A,A107,$D:$D,D107)&gt;1,"REVISAR: vehículo asignado dos veces","OK"))))))))</f>
        <v/>
      </c>
      <c r="H107" s="9"/>
      <c r="I107" s="9"/>
      <c r="J107" s="14" t="str">
        <f aca="false">IF(OR(H107="",H107=0),"",I107/H107)</f>
        <v/>
      </c>
      <c r="K107" s="9"/>
      <c r="L107" s="9"/>
      <c r="M107" s="24"/>
      <c r="N107" s="9"/>
      <c r="O107" s="9" t="str">
        <f aca="false">IF(AND(OR(K107="En riesgo",K107="Atrasada"),L107=""),"Falta código de motivo",IF(AND(L107="OTR",N107=""),"Explica OTR en las notas",IF(AND(K107="Finalizada",I107&lt;H107,L107=""),"Falta código de motivo","")))</f>
        <v/>
      </c>
      <c r="P107" s="9" t="str">
        <f aca="false">IF(OR(D107="",A107=""),"",IF(COUNTIFS(Revision_previa!$B:$B,D107,Revision_previa!$A:$A,"&gt;="&amp;A107,Revision_previa!$A:$A,"&lt;"&amp;(A107+1))=0,"Sin revisión",IF(COUNTIFS(Revision_previa!$B:$B,D107,Revision_previa!$A:$A,"&gt;="&amp;A107,Revision_previa!$A:$A,"&lt;"&amp;(A107+1),Revision_previa!$D:$D,"Falla")+COUNTIFS(Revision_previa!$B:$B,D107,Revision_previa!$A:$A,"&gt;="&amp;A107,Revision_previa!$A:$A,"&lt;"&amp;(A107+1),Revision_previa!$E:$E,"Falla")+COUNTIFS(Revision_previa!$B:$B,D107,Revision_previa!$A:$A,"&gt;="&amp;A107,Revision_previa!$A:$A,"&lt;"&amp;(A107+1),Revision_previa!$F:$F,"Falla")+COUNTIFS(Revision_previa!$B:$B,D107,Revision_previa!$A:$A,"&gt;="&amp;A107,Revision_previa!$A:$A,"&lt;"&amp;(A107+1),Revision_previa!$H:$H,"Encendido")&gt;0,"No apto","Apto")))</f>
        <v/>
      </c>
    </row>
    <row r="108" customFormat="false" ht="15" hidden="false" customHeight="false" outlineLevel="0" collapsed="false">
      <c r="A108" s="23"/>
      <c r="B108" s="9"/>
      <c r="C108" s="9"/>
      <c r="D108" s="9"/>
      <c r="E108" s="9" t="str">
        <f aca="false">IF(C108="","",IFERROR(INDEX(Conductores!$B:$B,MATCH(C108,Conductores!$A:$A,0)),"ID no encontrado"))</f>
        <v/>
      </c>
      <c r="F108" s="9" t="str">
        <f aca="false">IF(B108="","",IFERROR(INDEX(Rutas!$B:$B,MATCH(B108,Rutas!$A:$A,0)),"ID no encontrado"))</f>
        <v/>
      </c>
      <c r="G108" s="9" t="str">
        <f aca="false">IF(OR(B108="",C108="",D108=""),"",IF(OR(ISNA(MATCH(B108,Rutas!$A:$A,0)),ISNA(MATCH(C108,Conductores!$A:$A,0)),ISNA(MATCH(D108,Vehículos!$A:$A,0))),"REVISAR: ID no encontrado",IF(INDEX(Rutas!$C:$C,MATCH(B108,Rutas!$A:$A,0))&lt;&gt;INDEX(Vehículos!$B:$B,MATCH(D108,Vehículos!$A:$A,0)),"REVISAR: el vehículo no corresponde a la ruta",IF(INDEX(Rutas!$C:$C,MATCH(B108,Rutas!$A:$A,0))&lt;&gt;INDEX(Conductores!$D:$D,MATCH(C108,Conductores!$A:$A,0)),"REVISAR: el conductor no corresponde a la ruta",IF(OR(INDEX(Vehículos!$E:$E,MATCH(D108,Vehículos!$A:$A,0))="Taller",INDEX(Vehículos!$E:$E,MATCH(D108,Vehículos!$A:$A,0))="Fuera de servicio"),"REVISAR: vehículo no disponible",IF(INDEX(Conductores!$G:$G,MATCH(C108,Conductores!$A:$A,0))&lt;&gt;"Activo","REVISAR: conductor no activo",IF(COUNTIFS($A:$A,A108,$C:$C,C108)&gt;1,"REVISAR: conductor asignado dos veces",IF(COUNTIFS($A:$A,A108,$D:$D,D108)&gt;1,"REVISAR: vehículo asignado dos veces","OK"))))))))</f>
        <v/>
      </c>
      <c r="H108" s="9"/>
      <c r="I108" s="9"/>
      <c r="J108" s="14" t="str">
        <f aca="false">IF(OR(H108="",H108=0),"",I108/H108)</f>
        <v/>
      </c>
      <c r="K108" s="9"/>
      <c r="L108" s="9"/>
      <c r="M108" s="24"/>
      <c r="N108" s="9"/>
      <c r="O108" s="9" t="str">
        <f aca="false">IF(AND(OR(K108="En riesgo",K108="Atrasada"),L108=""),"Falta código de motivo",IF(AND(L108="OTR",N108=""),"Explica OTR en las notas",IF(AND(K108="Finalizada",I108&lt;H108,L108=""),"Falta código de motivo","")))</f>
        <v/>
      </c>
      <c r="P108" s="9" t="str">
        <f aca="false">IF(OR(D108="",A108=""),"",IF(COUNTIFS(Revision_previa!$B:$B,D108,Revision_previa!$A:$A,"&gt;="&amp;A108,Revision_previa!$A:$A,"&lt;"&amp;(A108+1))=0,"Sin revisión",IF(COUNTIFS(Revision_previa!$B:$B,D108,Revision_previa!$A:$A,"&gt;="&amp;A108,Revision_previa!$A:$A,"&lt;"&amp;(A108+1),Revision_previa!$D:$D,"Falla")+COUNTIFS(Revision_previa!$B:$B,D108,Revision_previa!$A:$A,"&gt;="&amp;A108,Revision_previa!$A:$A,"&lt;"&amp;(A108+1),Revision_previa!$E:$E,"Falla")+COUNTIFS(Revision_previa!$B:$B,D108,Revision_previa!$A:$A,"&gt;="&amp;A108,Revision_previa!$A:$A,"&lt;"&amp;(A108+1),Revision_previa!$F:$F,"Falla")+COUNTIFS(Revision_previa!$B:$B,D108,Revision_previa!$A:$A,"&gt;="&amp;A108,Revision_previa!$A:$A,"&lt;"&amp;(A108+1),Revision_previa!$H:$H,"Encendido")&gt;0,"No apto","Apto")))</f>
        <v/>
      </c>
    </row>
    <row r="109" customFormat="false" ht="15" hidden="false" customHeight="false" outlineLevel="0" collapsed="false">
      <c r="A109" s="23"/>
      <c r="B109" s="9"/>
      <c r="C109" s="9"/>
      <c r="D109" s="9"/>
      <c r="E109" s="9" t="str">
        <f aca="false">IF(C109="","",IFERROR(INDEX(Conductores!$B:$B,MATCH(C109,Conductores!$A:$A,0)),"ID no encontrado"))</f>
        <v/>
      </c>
      <c r="F109" s="9" t="str">
        <f aca="false">IF(B109="","",IFERROR(INDEX(Rutas!$B:$B,MATCH(B109,Rutas!$A:$A,0)),"ID no encontrado"))</f>
        <v/>
      </c>
      <c r="G109" s="9" t="str">
        <f aca="false">IF(OR(B109="",C109="",D109=""),"",IF(OR(ISNA(MATCH(B109,Rutas!$A:$A,0)),ISNA(MATCH(C109,Conductores!$A:$A,0)),ISNA(MATCH(D109,Vehículos!$A:$A,0))),"REVISAR: ID no encontrado",IF(INDEX(Rutas!$C:$C,MATCH(B109,Rutas!$A:$A,0))&lt;&gt;INDEX(Vehículos!$B:$B,MATCH(D109,Vehículos!$A:$A,0)),"REVISAR: el vehículo no corresponde a la ruta",IF(INDEX(Rutas!$C:$C,MATCH(B109,Rutas!$A:$A,0))&lt;&gt;INDEX(Conductores!$D:$D,MATCH(C109,Conductores!$A:$A,0)),"REVISAR: el conductor no corresponde a la ruta",IF(OR(INDEX(Vehículos!$E:$E,MATCH(D109,Vehículos!$A:$A,0))="Taller",INDEX(Vehículos!$E:$E,MATCH(D109,Vehículos!$A:$A,0))="Fuera de servicio"),"REVISAR: vehículo no disponible",IF(INDEX(Conductores!$G:$G,MATCH(C109,Conductores!$A:$A,0))&lt;&gt;"Activo","REVISAR: conductor no activo",IF(COUNTIFS($A:$A,A109,$C:$C,C109)&gt;1,"REVISAR: conductor asignado dos veces",IF(COUNTIFS($A:$A,A109,$D:$D,D109)&gt;1,"REVISAR: vehículo asignado dos veces","OK"))))))))</f>
        <v/>
      </c>
      <c r="H109" s="9"/>
      <c r="I109" s="9"/>
      <c r="J109" s="14" t="str">
        <f aca="false">IF(OR(H109="",H109=0),"",I109/H109)</f>
        <v/>
      </c>
      <c r="K109" s="9"/>
      <c r="L109" s="9"/>
      <c r="M109" s="24"/>
      <c r="N109" s="9"/>
      <c r="O109" s="9" t="str">
        <f aca="false">IF(AND(OR(K109="En riesgo",K109="Atrasada"),L109=""),"Falta código de motivo",IF(AND(L109="OTR",N109=""),"Explica OTR en las notas",IF(AND(K109="Finalizada",I109&lt;H109,L109=""),"Falta código de motivo","")))</f>
        <v/>
      </c>
      <c r="P109" s="9" t="str">
        <f aca="false">IF(OR(D109="",A109=""),"",IF(COUNTIFS(Revision_previa!$B:$B,D109,Revision_previa!$A:$A,"&gt;="&amp;A109,Revision_previa!$A:$A,"&lt;"&amp;(A109+1))=0,"Sin revisión",IF(COUNTIFS(Revision_previa!$B:$B,D109,Revision_previa!$A:$A,"&gt;="&amp;A109,Revision_previa!$A:$A,"&lt;"&amp;(A109+1),Revision_previa!$D:$D,"Falla")+COUNTIFS(Revision_previa!$B:$B,D109,Revision_previa!$A:$A,"&gt;="&amp;A109,Revision_previa!$A:$A,"&lt;"&amp;(A109+1),Revision_previa!$E:$E,"Falla")+COUNTIFS(Revision_previa!$B:$B,D109,Revision_previa!$A:$A,"&gt;="&amp;A109,Revision_previa!$A:$A,"&lt;"&amp;(A109+1),Revision_previa!$F:$F,"Falla")+COUNTIFS(Revision_previa!$B:$B,D109,Revision_previa!$A:$A,"&gt;="&amp;A109,Revision_previa!$A:$A,"&lt;"&amp;(A109+1),Revision_previa!$H:$H,"Encendido")&gt;0,"No apto","Apto")))</f>
        <v/>
      </c>
    </row>
    <row r="110" customFormat="false" ht="15" hidden="false" customHeight="false" outlineLevel="0" collapsed="false">
      <c r="A110" s="23"/>
      <c r="B110" s="9"/>
      <c r="C110" s="9"/>
      <c r="D110" s="9"/>
      <c r="E110" s="9" t="str">
        <f aca="false">IF(C110="","",IFERROR(INDEX(Conductores!$B:$B,MATCH(C110,Conductores!$A:$A,0)),"ID no encontrado"))</f>
        <v/>
      </c>
      <c r="F110" s="9" t="str">
        <f aca="false">IF(B110="","",IFERROR(INDEX(Rutas!$B:$B,MATCH(B110,Rutas!$A:$A,0)),"ID no encontrado"))</f>
        <v/>
      </c>
      <c r="G110" s="9" t="str">
        <f aca="false">IF(OR(B110="",C110="",D110=""),"",IF(OR(ISNA(MATCH(B110,Rutas!$A:$A,0)),ISNA(MATCH(C110,Conductores!$A:$A,0)),ISNA(MATCH(D110,Vehículos!$A:$A,0))),"REVISAR: ID no encontrado",IF(INDEX(Rutas!$C:$C,MATCH(B110,Rutas!$A:$A,0))&lt;&gt;INDEX(Vehículos!$B:$B,MATCH(D110,Vehículos!$A:$A,0)),"REVISAR: el vehículo no corresponde a la ruta",IF(INDEX(Rutas!$C:$C,MATCH(B110,Rutas!$A:$A,0))&lt;&gt;INDEX(Conductores!$D:$D,MATCH(C110,Conductores!$A:$A,0)),"REVISAR: el conductor no corresponde a la ruta",IF(OR(INDEX(Vehículos!$E:$E,MATCH(D110,Vehículos!$A:$A,0))="Taller",INDEX(Vehículos!$E:$E,MATCH(D110,Vehículos!$A:$A,0))="Fuera de servicio"),"REVISAR: vehículo no disponible",IF(INDEX(Conductores!$G:$G,MATCH(C110,Conductores!$A:$A,0))&lt;&gt;"Activo","REVISAR: conductor no activo",IF(COUNTIFS($A:$A,A110,$C:$C,C110)&gt;1,"REVISAR: conductor asignado dos veces",IF(COUNTIFS($A:$A,A110,$D:$D,D110)&gt;1,"REVISAR: vehículo asignado dos veces","OK"))))))))</f>
        <v/>
      </c>
      <c r="H110" s="9"/>
      <c r="I110" s="9"/>
      <c r="J110" s="14" t="str">
        <f aca="false">IF(OR(H110="",H110=0),"",I110/H110)</f>
        <v/>
      </c>
      <c r="K110" s="9"/>
      <c r="L110" s="9"/>
      <c r="M110" s="24"/>
      <c r="N110" s="9"/>
      <c r="O110" s="9" t="str">
        <f aca="false">IF(AND(OR(K110="En riesgo",K110="Atrasada"),L110=""),"Falta código de motivo",IF(AND(L110="OTR",N110=""),"Explica OTR en las notas",IF(AND(K110="Finalizada",I110&lt;H110,L110=""),"Falta código de motivo","")))</f>
        <v/>
      </c>
      <c r="P110" s="9" t="str">
        <f aca="false">IF(OR(D110="",A110=""),"",IF(COUNTIFS(Revision_previa!$B:$B,D110,Revision_previa!$A:$A,"&gt;="&amp;A110,Revision_previa!$A:$A,"&lt;"&amp;(A110+1))=0,"Sin revisión",IF(COUNTIFS(Revision_previa!$B:$B,D110,Revision_previa!$A:$A,"&gt;="&amp;A110,Revision_previa!$A:$A,"&lt;"&amp;(A110+1),Revision_previa!$D:$D,"Falla")+COUNTIFS(Revision_previa!$B:$B,D110,Revision_previa!$A:$A,"&gt;="&amp;A110,Revision_previa!$A:$A,"&lt;"&amp;(A110+1),Revision_previa!$E:$E,"Falla")+COUNTIFS(Revision_previa!$B:$B,D110,Revision_previa!$A:$A,"&gt;="&amp;A110,Revision_previa!$A:$A,"&lt;"&amp;(A110+1),Revision_previa!$F:$F,"Falla")+COUNTIFS(Revision_previa!$B:$B,D110,Revision_previa!$A:$A,"&gt;="&amp;A110,Revision_previa!$A:$A,"&lt;"&amp;(A110+1),Revision_previa!$H:$H,"Encendido")&gt;0,"No apto","Apto")))</f>
        <v/>
      </c>
    </row>
    <row r="111" customFormat="false" ht="15" hidden="false" customHeight="false" outlineLevel="0" collapsed="false">
      <c r="A111" s="23"/>
      <c r="B111" s="9"/>
      <c r="C111" s="9"/>
      <c r="D111" s="9"/>
      <c r="E111" s="9" t="str">
        <f aca="false">IF(C111="","",IFERROR(INDEX(Conductores!$B:$B,MATCH(C111,Conductores!$A:$A,0)),"ID no encontrado"))</f>
        <v/>
      </c>
      <c r="F111" s="9" t="str">
        <f aca="false">IF(B111="","",IFERROR(INDEX(Rutas!$B:$B,MATCH(B111,Rutas!$A:$A,0)),"ID no encontrado"))</f>
        <v/>
      </c>
      <c r="G111" s="9" t="str">
        <f aca="false">IF(OR(B111="",C111="",D111=""),"",IF(OR(ISNA(MATCH(B111,Rutas!$A:$A,0)),ISNA(MATCH(C111,Conductores!$A:$A,0)),ISNA(MATCH(D111,Vehículos!$A:$A,0))),"REVISAR: ID no encontrado",IF(INDEX(Rutas!$C:$C,MATCH(B111,Rutas!$A:$A,0))&lt;&gt;INDEX(Vehículos!$B:$B,MATCH(D111,Vehículos!$A:$A,0)),"REVISAR: el vehículo no corresponde a la ruta",IF(INDEX(Rutas!$C:$C,MATCH(B111,Rutas!$A:$A,0))&lt;&gt;INDEX(Conductores!$D:$D,MATCH(C111,Conductores!$A:$A,0)),"REVISAR: el conductor no corresponde a la ruta",IF(OR(INDEX(Vehículos!$E:$E,MATCH(D111,Vehículos!$A:$A,0))="Taller",INDEX(Vehículos!$E:$E,MATCH(D111,Vehículos!$A:$A,0))="Fuera de servicio"),"REVISAR: vehículo no disponible",IF(INDEX(Conductores!$G:$G,MATCH(C111,Conductores!$A:$A,0))&lt;&gt;"Activo","REVISAR: conductor no activo",IF(COUNTIFS($A:$A,A111,$C:$C,C111)&gt;1,"REVISAR: conductor asignado dos veces",IF(COUNTIFS($A:$A,A111,$D:$D,D111)&gt;1,"REVISAR: vehículo asignado dos veces","OK"))))))))</f>
        <v/>
      </c>
      <c r="H111" s="9"/>
      <c r="I111" s="9"/>
      <c r="J111" s="14" t="str">
        <f aca="false">IF(OR(H111="",H111=0),"",I111/H111)</f>
        <v/>
      </c>
      <c r="K111" s="9"/>
      <c r="L111" s="9"/>
      <c r="M111" s="24"/>
      <c r="N111" s="9"/>
      <c r="O111" s="9" t="str">
        <f aca="false">IF(AND(OR(K111="En riesgo",K111="Atrasada"),L111=""),"Falta código de motivo",IF(AND(L111="OTR",N111=""),"Explica OTR en las notas",IF(AND(K111="Finalizada",I111&lt;H111,L111=""),"Falta código de motivo","")))</f>
        <v/>
      </c>
      <c r="P111" s="9" t="str">
        <f aca="false">IF(OR(D111="",A111=""),"",IF(COUNTIFS(Revision_previa!$B:$B,D111,Revision_previa!$A:$A,"&gt;="&amp;A111,Revision_previa!$A:$A,"&lt;"&amp;(A111+1))=0,"Sin revisión",IF(COUNTIFS(Revision_previa!$B:$B,D111,Revision_previa!$A:$A,"&gt;="&amp;A111,Revision_previa!$A:$A,"&lt;"&amp;(A111+1),Revision_previa!$D:$D,"Falla")+COUNTIFS(Revision_previa!$B:$B,D111,Revision_previa!$A:$A,"&gt;="&amp;A111,Revision_previa!$A:$A,"&lt;"&amp;(A111+1),Revision_previa!$E:$E,"Falla")+COUNTIFS(Revision_previa!$B:$B,D111,Revision_previa!$A:$A,"&gt;="&amp;A111,Revision_previa!$A:$A,"&lt;"&amp;(A111+1),Revision_previa!$F:$F,"Falla")+COUNTIFS(Revision_previa!$B:$B,D111,Revision_previa!$A:$A,"&gt;="&amp;A111,Revision_previa!$A:$A,"&lt;"&amp;(A111+1),Revision_previa!$H:$H,"Encendido")&gt;0,"No apto","Apto")))</f>
        <v/>
      </c>
    </row>
    <row r="112" customFormat="false" ht="15" hidden="false" customHeight="false" outlineLevel="0" collapsed="false">
      <c r="A112" s="23"/>
      <c r="B112" s="9"/>
      <c r="C112" s="9"/>
      <c r="D112" s="9"/>
      <c r="E112" s="9" t="str">
        <f aca="false">IF(C112="","",IFERROR(INDEX(Conductores!$B:$B,MATCH(C112,Conductores!$A:$A,0)),"ID no encontrado"))</f>
        <v/>
      </c>
      <c r="F112" s="9" t="str">
        <f aca="false">IF(B112="","",IFERROR(INDEX(Rutas!$B:$B,MATCH(B112,Rutas!$A:$A,0)),"ID no encontrado"))</f>
        <v/>
      </c>
      <c r="G112" s="9" t="str">
        <f aca="false">IF(OR(B112="",C112="",D112=""),"",IF(OR(ISNA(MATCH(B112,Rutas!$A:$A,0)),ISNA(MATCH(C112,Conductores!$A:$A,0)),ISNA(MATCH(D112,Vehículos!$A:$A,0))),"REVISAR: ID no encontrado",IF(INDEX(Rutas!$C:$C,MATCH(B112,Rutas!$A:$A,0))&lt;&gt;INDEX(Vehículos!$B:$B,MATCH(D112,Vehículos!$A:$A,0)),"REVISAR: el vehículo no corresponde a la ruta",IF(INDEX(Rutas!$C:$C,MATCH(B112,Rutas!$A:$A,0))&lt;&gt;INDEX(Conductores!$D:$D,MATCH(C112,Conductores!$A:$A,0)),"REVISAR: el conductor no corresponde a la ruta",IF(OR(INDEX(Vehículos!$E:$E,MATCH(D112,Vehículos!$A:$A,0))="Taller",INDEX(Vehículos!$E:$E,MATCH(D112,Vehículos!$A:$A,0))="Fuera de servicio"),"REVISAR: vehículo no disponible",IF(INDEX(Conductores!$G:$G,MATCH(C112,Conductores!$A:$A,0))&lt;&gt;"Activo","REVISAR: conductor no activo",IF(COUNTIFS($A:$A,A112,$C:$C,C112)&gt;1,"REVISAR: conductor asignado dos veces",IF(COUNTIFS($A:$A,A112,$D:$D,D112)&gt;1,"REVISAR: vehículo asignado dos veces","OK"))))))))</f>
        <v/>
      </c>
      <c r="H112" s="9"/>
      <c r="I112" s="9"/>
      <c r="J112" s="14" t="str">
        <f aca="false">IF(OR(H112="",H112=0),"",I112/H112)</f>
        <v/>
      </c>
      <c r="K112" s="9"/>
      <c r="L112" s="9"/>
      <c r="M112" s="24"/>
      <c r="N112" s="9"/>
      <c r="O112" s="9" t="str">
        <f aca="false">IF(AND(OR(K112="En riesgo",K112="Atrasada"),L112=""),"Falta código de motivo",IF(AND(L112="OTR",N112=""),"Explica OTR en las notas",IF(AND(K112="Finalizada",I112&lt;H112,L112=""),"Falta código de motivo","")))</f>
        <v/>
      </c>
      <c r="P112" s="9" t="str">
        <f aca="false">IF(OR(D112="",A112=""),"",IF(COUNTIFS(Revision_previa!$B:$B,D112,Revision_previa!$A:$A,"&gt;="&amp;A112,Revision_previa!$A:$A,"&lt;"&amp;(A112+1))=0,"Sin revisión",IF(COUNTIFS(Revision_previa!$B:$B,D112,Revision_previa!$A:$A,"&gt;="&amp;A112,Revision_previa!$A:$A,"&lt;"&amp;(A112+1),Revision_previa!$D:$D,"Falla")+COUNTIFS(Revision_previa!$B:$B,D112,Revision_previa!$A:$A,"&gt;="&amp;A112,Revision_previa!$A:$A,"&lt;"&amp;(A112+1),Revision_previa!$E:$E,"Falla")+COUNTIFS(Revision_previa!$B:$B,D112,Revision_previa!$A:$A,"&gt;="&amp;A112,Revision_previa!$A:$A,"&lt;"&amp;(A112+1),Revision_previa!$F:$F,"Falla")+COUNTIFS(Revision_previa!$B:$B,D112,Revision_previa!$A:$A,"&gt;="&amp;A112,Revision_previa!$A:$A,"&lt;"&amp;(A112+1),Revision_previa!$H:$H,"Encendido")&gt;0,"No apto","Apto")))</f>
        <v/>
      </c>
    </row>
    <row r="113" customFormat="false" ht="15" hidden="false" customHeight="false" outlineLevel="0" collapsed="false">
      <c r="A113" s="23"/>
      <c r="B113" s="9"/>
      <c r="C113" s="9"/>
      <c r="D113" s="9"/>
      <c r="E113" s="9" t="str">
        <f aca="false">IF(C113="","",IFERROR(INDEX(Conductores!$B:$B,MATCH(C113,Conductores!$A:$A,0)),"ID no encontrado"))</f>
        <v/>
      </c>
      <c r="F113" s="9" t="str">
        <f aca="false">IF(B113="","",IFERROR(INDEX(Rutas!$B:$B,MATCH(B113,Rutas!$A:$A,0)),"ID no encontrado"))</f>
        <v/>
      </c>
      <c r="G113" s="9" t="str">
        <f aca="false">IF(OR(B113="",C113="",D113=""),"",IF(OR(ISNA(MATCH(B113,Rutas!$A:$A,0)),ISNA(MATCH(C113,Conductores!$A:$A,0)),ISNA(MATCH(D113,Vehículos!$A:$A,0))),"REVISAR: ID no encontrado",IF(INDEX(Rutas!$C:$C,MATCH(B113,Rutas!$A:$A,0))&lt;&gt;INDEX(Vehículos!$B:$B,MATCH(D113,Vehículos!$A:$A,0)),"REVISAR: el vehículo no corresponde a la ruta",IF(INDEX(Rutas!$C:$C,MATCH(B113,Rutas!$A:$A,0))&lt;&gt;INDEX(Conductores!$D:$D,MATCH(C113,Conductores!$A:$A,0)),"REVISAR: el conductor no corresponde a la ruta",IF(OR(INDEX(Vehículos!$E:$E,MATCH(D113,Vehículos!$A:$A,0))="Taller",INDEX(Vehículos!$E:$E,MATCH(D113,Vehículos!$A:$A,0))="Fuera de servicio"),"REVISAR: vehículo no disponible",IF(INDEX(Conductores!$G:$G,MATCH(C113,Conductores!$A:$A,0))&lt;&gt;"Activo","REVISAR: conductor no activo",IF(COUNTIFS($A:$A,A113,$C:$C,C113)&gt;1,"REVISAR: conductor asignado dos veces",IF(COUNTIFS($A:$A,A113,$D:$D,D113)&gt;1,"REVISAR: vehículo asignado dos veces","OK"))))))))</f>
        <v/>
      </c>
      <c r="H113" s="9"/>
      <c r="I113" s="9"/>
      <c r="J113" s="14" t="str">
        <f aca="false">IF(OR(H113="",H113=0),"",I113/H113)</f>
        <v/>
      </c>
      <c r="K113" s="9"/>
      <c r="L113" s="9"/>
      <c r="M113" s="24"/>
      <c r="N113" s="9"/>
      <c r="O113" s="9" t="str">
        <f aca="false">IF(AND(OR(K113="En riesgo",K113="Atrasada"),L113=""),"Falta código de motivo",IF(AND(L113="OTR",N113=""),"Explica OTR en las notas",IF(AND(K113="Finalizada",I113&lt;H113,L113=""),"Falta código de motivo","")))</f>
        <v/>
      </c>
      <c r="P113" s="9" t="str">
        <f aca="false">IF(OR(D113="",A113=""),"",IF(COUNTIFS(Revision_previa!$B:$B,D113,Revision_previa!$A:$A,"&gt;="&amp;A113,Revision_previa!$A:$A,"&lt;"&amp;(A113+1))=0,"Sin revisión",IF(COUNTIFS(Revision_previa!$B:$B,D113,Revision_previa!$A:$A,"&gt;="&amp;A113,Revision_previa!$A:$A,"&lt;"&amp;(A113+1),Revision_previa!$D:$D,"Falla")+COUNTIFS(Revision_previa!$B:$B,D113,Revision_previa!$A:$A,"&gt;="&amp;A113,Revision_previa!$A:$A,"&lt;"&amp;(A113+1),Revision_previa!$E:$E,"Falla")+COUNTIFS(Revision_previa!$B:$B,D113,Revision_previa!$A:$A,"&gt;="&amp;A113,Revision_previa!$A:$A,"&lt;"&amp;(A113+1),Revision_previa!$F:$F,"Falla")+COUNTIFS(Revision_previa!$B:$B,D113,Revision_previa!$A:$A,"&gt;="&amp;A113,Revision_previa!$A:$A,"&lt;"&amp;(A113+1),Revision_previa!$H:$H,"Encendido")&gt;0,"No apto","Apto")))</f>
        <v/>
      </c>
    </row>
    <row r="114" customFormat="false" ht="15" hidden="false" customHeight="false" outlineLevel="0" collapsed="false">
      <c r="A114" s="23"/>
      <c r="B114" s="9"/>
      <c r="C114" s="9"/>
      <c r="D114" s="9"/>
      <c r="E114" s="9" t="str">
        <f aca="false">IF(C114="","",IFERROR(INDEX(Conductores!$B:$B,MATCH(C114,Conductores!$A:$A,0)),"ID no encontrado"))</f>
        <v/>
      </c>
      <c r="F114" s="9" t="str">
        <f aca="false">IF(B114="","",IFERROR(INDEX(Rutas!$B:$B,MATCH(B114,Rutas!$A:$A,0)),"ID no encontrado"))</f>
        <v/>
      </c>
      <c r="G114" s="9" t="str">
        <f aca="false">IF(OR(B114="",C114="",D114=""),"",IF(OR(ISNA(MATCH(B114,Rutas!$A:$A,0)),ISNA(MATCH(C114,Conductores!$A:$A,0)),ISNA(MATCH(D114,Vehículos!$A:$A,0))),"REVISAR: ID no encontrado",IF(INDEX(Rutas!$C:$C,MATCH(B114,Rutas!$A:$A,0))&lt;&gt;INDEX(Vehículos!$B:$B,MATCH(D114,Vehículos!$A:$A,0)),"REVISAR: el vehículo no corresponde a la ruta",IF(INDEX(Rutas!$C:$C,MATCH(B114,Rutas!$A:$A,0))&lt;&gt;INDEX(Conductores!$D:$D,MATCH(C114,Conductores!$A:$A,0)),"REVISAR: el conductor no corresponde a la ruta",IF(OR(INDEX(Vehículos!$E:$E,MATCH(D114,Vehículos!$A:$A,0))="Taller",INDEX(Vehículos!$E:$E,MATCH(D114,Vehículos!$A:$A,0))="Fuera de servicio"),"REVISAR: vehículo no disponible",IF(INDEX(Conductores!$G:$G,MATCH(C114,Conductores!$A:$A,0))&lt;&gt;"Activo","REVISAR: conductor no activo",IF(COUNTIFS($A:$A,A114,$C:$C,C114)&gt;1,"REVISAR: conductor asignado dos veces",IF(COUNTIFS($A:$A,A114,$D:$D,D114)&gt;1,"REVISAR: vehículo asignado dos veces","OK"))))))))</f>
        <v/>
      </c>
      <c r="H114" s="9"/>
      <c r="I114" s="9"/>
      <c r="J114" s="14" t="str">
        <f aca="false">IF(OR(H114="",H114=0),"",I114/H114)</f>
        <v/>
      </c>
      <c r="K114" s="9"/>
      <c r="L114" s="9"/>
      <c r="M114" s="24"/>
      <c r="N114" s="9"/>
      <c r="O114" s="9" t="str">
        <f aca="false">IF(AND(OR(K114="En riesgo",K114="Atrasada"),L114=""),"Falta código de motivo",IF(AND(L114="OTR",N114=""),"Explica OTR en las notas",IF(AND(K114="Finalizada",I114&lt;H114,L114=""),"Falta código de motivo","")))</f>
        <v/>
      </c>
      <c r="P114" s="9" t="str">
        <f aca="false">IF(OR(D114="",A114=""),"",IF(COUNTIFS(Revision_previa!$B:$B,D114,Revision_previa!$A:$A,"&gt;="&amp;A114,Revision_previa!$A:$A,"&lt;"&amp;(A114+1))=0,"Sin revisión",IF(COUNTIFS(Revision_previa!$B:$B,D114,Revision_previa!$A:$A,"&gt;="&amp;A114,Revision_previa!$A:$A,"&lt;"&amp;(A114+1),Revision_previa!$D:$D,"Falla")+COUNTIFS(Revision_previa!$B:$B,D114,Revision_previa!$A:$A,"&gt;="&amp;A114,Revision_previa!$A:$A,"&lt;"&amp;(A114+1),Revision_previa!$E:$E,"Falla")+COUNTIFS(Revision_previa!$B:$B,D114,Revision_previa!$A:$A,"&gt;="&amp;A114,Revision_previa!$A:$A,"&lt;"&amp;(A114+1),Revision_previa!$F:$F,"Falla")+COUNTIFS(Revision_previa!$B:$B,D114,Revision_previa!$A:$A,"&gt;="&amp;A114,Revision_previa!$A:$A,"&lt;"&amp;(A114+1),Revision_previa!$H:$H,"Encendido")&gt;0,"No apto","Apto")))</f>
        <v/>
      </c>
    </row>
    <row r="115" customFormat="false" ht="15" hidden="false" customHeight="false" outlineLevel="0" collapsed="false">
      <c r="A115" s="23"/>
      <c r="B115" s="9"/>
      <c r="C115" s="9"/>
      <c r="D115" s="9"/>
      <c r="E115" s="9" t="str">
        <f aca="false">IF(C115="","",IFERROR(INDEX(Conductores!$B:$B,MATCH(C115,Conductores!$A:$A,0)),"ID no encontrado"))</f>
        <v/>
      </c>
      <c r="F115" s="9" t="str">
        <f aca="false">IF(B115="","",IFERROR(INDEX(Rutas!$B:$B,MATCH(B115,Rutas!$A:$A,0)),"ID no encontrado"))</f>
        <v/>
      </c>
      <c r="G115" s="9" t="str">
        <f aca="false">IF(OR(B115="",C115="",D115=""),"",IF(OR(ISNA(MATCH(B115,Rutas!$A:$A,0)),ISNA(MATCH(C115,Conductores!$A:$A,0)),ISNA(MATCH(D115,Vehículos!$A:$A,0))),"REVISAR: ID no encontrado",IF(INDEX(Rutas!$C:$C,MATCH(B115,Rutas!$A:$A,0))&lt;&gt;INDEX(Vehículos!$B:$B,MATCH(D115,Vehículos!$A:$A,0)),"REVISAR: el vehículo no corresponde a la ruta",IF(INDEX(Rutas!$C:$C,MATCH(B115,Rutas!$A:$A,0))&lt;&gt;INDEX(Conductores!$D:$D,MATCH(C115,Conductores!$A:$A,0)),"REVISAR: el conductor no corresponde a la ruta",IF(OR(INDEX(Vehículos!$E:$E,MATCH(D115,Vehículos!$A:$A,0))="Taller",INDEX(Vehículos!$E:$E,MATCH(D115,Vehículos!$A:$A,0))="Fuera de servicio"),"REVISAR: vehículo no disponible",IF(INDEX(Conductores!$G:$G,MATCH(C115,Conductores!$A:$A,0))&lt;&gt;"Activo","REVISAR: conductor no activo",IF(COUNTIFS($A:$A,A115,$C:$C,C115)&gt;1,"REVISAR: conductor asignado dos veces",IF(COUNTIFS($A:$A,A115,$D:$D,D115)&gt;1,"REVISAR: vehículo asignado dos veces","OK"))))))))</f>
        <v/>
      </c>
      <c r="H115" s="9"/>
      <c r="I115" s="9"/>
      <c r="J115" s="14" t="str">
        <f aca="false">IF(OR(H115="",H115=0),"",I115/H115)</f>
        <v/>
      </c>
      <c r="K115" s="9"/>
      <c r="L115" s="9"/>
      <c r="M115" s="24"/>
      <c r="N115" s="9"/>
      <c r="O115" s="9" t="str">
        <f aca="false">IF(AND(OR(K115="En riesgo",K115="Atrasada"),L115=""),"Falta código de motivo",IF(AND(L115="OTR",N115=""),"Explica OTR en las notas",IF(AND(K115="Finalizada",I115&lt;H115,L115=""),"Falta código de motivo","")))</f>
        <v/>
      </c>
      <c r="P115" s="9" t="str">
        <f aca="false">IF(OR(D115="",A115=""),"",IF(COUNTIFS(Revision_previa!$B:$B,D115,Revision_previa!$A:$A,"&gt;="&amp;A115,Revision_previa!$A:$A,"&lt;"&amp;(A115+1))=0,"Sin revisión",IF(COUNTIFS(Revision_previa!$B:$B,D115,Revision_previa!$A:$A,"&gt;="&amp;A115,Revision_previa!$A:$A,"&lt;"&amp;(A115+1),Revision_previa!$D:$D,"Falla")+COUNTIFS(Revision_previa!$B:$B,D115,Revision_previa!$A:$A,"&gt;="&amp;A115,Revision_previa!$A:$A,"&lt;"&amp;(A115+1),Revision_previa!$E:$E,"Falla")+COUNTIFS(Revision_previa!$B:$B,D115,Revision_previa!$A:$A,"&gt;="&amp;A115,Revision_previa!$A:$A,"&lt;"&amp;(A115+1),Revision_previa!$F:$F,"Falla")+COUNTIFS(Revision_previa!$B:$B,D115,Revision_previa!$A:$A,"&gt;="&amp;A115,Revision_previa!$A:$A,"&lt;"&amp;(A115+1),Revision_previa!$H:$H,"Encendido")&gt;0,"No apto","Apto")))</f>
        <v/>
      </c>
    </row>
    <row r="116" customFormat="false" ht="15" hidden="false" customHeight="false" outlineLevel="0" collapsed="false">
      <c r="A116" s="23"/>
      <c r="B116" s="9"/>
      <c r="C116" s="9"/>
      <c r="D116" s="9"/>
      <c r="E116" s="9" t="str">
        <f aca="false">IF(C116="","",IFERROR(INDEX(Conductores!$B:$B,MATCH(C116,Conductores!$A:$A,0)),"ID no encontrado"))</f>
        <v/>
      </c>
      <c r="F116" s="9" t="str">
        <f aca="false">IF(B116="","",IFERROR(INDEX(Rutas!$B:$B,MATCH(B116,Rutas!$A:$A,0)),"ID no encontrado"))</f>
        <v/>
      </c>
      <c r="G116" s="9" t="str">
        <f aca="false">IF(OR(B116="",C116="",D116=""),"",IF(OR(ISNA(MATCH(B116,Rutas!$A:$A,0)),ISNA(MATCH(C116,Conductores!$A:$A,0)),ISNA(MATCH(D116,Vehículos!$A:$A,0))),"REVISAR: ID no encontrado",IF(INDEX(Rutas!$C:$C,MATCH(B116,Rutas!$A:$A,0))&lt;&gt;INDEX(Vehículos!$B:$B,MATCH(D116,Vehículos!$A:$A,0)),"REVISAR: el vehículo no corresponde a la ruta",IF(INDEX(Rutas!$C:$C,MATCH(B116,Rutas!$A:$A,0))&lt;&gt;INDEX(Conductores!$D:$D,MATCH(C116,Conductores!$A:$A,0)),"REVISAR: el conductor no corresponde a la ruta",IF(OR(INDEX(Vehículos!$E:$E,MATCH(D116,Vehículos!$A:$A,0))="Taller",INDEX(Vehículos!$E:$E,MATCH(D116,Vehículos!$A:$A,0))="Fuera de servicio"),"REVISAR: vehículo no disponible",IF(INDEX(Conductores!$G:$G,MATCH(C116,Conductores!$A:$A,0))&lt;&gt;"Activo","REVISAR: conductor no activo",IF(COUNTIFS($A:$A,A116,$C:$C,C116)&gt;1,"REVISAR: conductor asignado dos veces",IF(COUNTIFS($A:$A,A116,$D:$D,D116)&gt;1,"REVISAR: vehículo asignado dos veces","OK"))))))))</f>
        <v/>
      </c>
      <c r="H116" s="9"/>
      <c r="I116" s="9"/>
      <c r="J116" s="14" t="str">
        <f aca="false">IF(OR(H116="",H116=0),"",I116/H116)</f>
        <v/>
      </c>
      <c r="K116" s="9"/>
      <c r="L116" s="9"/>
      <c r="M116" s="24"/>
      <c r="N116" s="9"/>
      <c r="O116" s="9" t="str">
        <f aca="false">IF(AND(OR(K116="En riesgo",K116="Atrasada"),L116=""),"Falta código de motivo",IF(AND(L116="OTR",N116=""),"Explica OTR en las notas",IF(AND(K116="Finalizada",I116&lt;H116,L116=""),"Falta código de motivo","")))</f>
        <v/>
      </c>
      <c r="P116" s="9" t="str">
        <f aca="false">IF(OR(D116="",A116=""),"",IF(COUNTIFS(Revision_previa!$B:$B,D116,Revision_previa!$A:$A,"&gt;="&amp;A116,Revision_previa!$A:$A,"&lt;"&amp;(A116+1))=0,"Sin revisión",IF(COUNTIFS(Revision_previa!$B:$B,D116,Revision_previa!$A:$A,"&gt;="&amp;A116,Revision_previa!$A:$A,"&lt;"&amp;(A116+1),Revision_previa!$D:$D,"Falla")+COUNTIFS(Revision_previa!$B:$B,D116,Revision_previa!$A:$A,"&gt;="&amp;A116,Revision_previa!$A:$A,"&lt;"&amp;(A116+1),Revision_previa!$E:$E,"Falla")+COUNTIFS(Revision_previa!$B:$B,D116,Revision_previa!$A:$A,"&gt;="&amp;A116,Revision_previa!$A:$A,"&lt;"&amp;(A116+1),Revision_previa!$F:$F,"Falla")+COUNTIFS(Revision_previa!$B:$B,D116,Revision_previa!$A:$A,"&gt;="&amp;A116,Revision_previa!$A:$A,"&lt;"&amp;(A116+1),Revision_previa!$H:$H,"Encendido")&gt;0,"No apto","Apto")))</f>
        <v/>
      </c>
    </row>
    <row r="117" customFormat="false" ht="15" hidden="false" customHeight="false" outlineLevel="0" collapsed="false">
      <c r="A117" s="23"/>
      <c r="B117" s="9"/>
      <c r="C117" s="9"/>
      <c r="D117" s="9"/>
      <c r="E117" s="9" t="str">
        <f aca="false">IF(C117="","",IFERROR(INDEX(Conductores!$B:$B,MATCH(C117,Conductores!$A:$A,0)),"ID no encontrado"))</f>
        <v/>
      </c>
      <c r="F117" s="9" t="str">
        <f aca="false">IF(B117="","",IFERROR(INDEX(Rutas!$B:$B,MATCH(B117,Rutas!$A:$A,0)),"ID no encontrado"))</f>
        <v/>
      </c>
      <c r="G117" s="9" t="str">
        <f aca="false">IF(OR(B117="",C117="",D117=""),"",IF(OR(ISNA(MATCH(B117,Rutas!$A:$A,0)),ISNA(MATCH(C117,Conductores!$A:$A,0)),ISNA(MATCH(D117,Vehículos!$A:$A,0))),"REVISAR: ID no encontrado",IF(INDEX(Rutas!$C:$C,MATCH(B117,Rutas!$A:$A,0))&lt;&gt;INDEX(Vehículos!$B:$B,MATCH(D117,Vehículos!$A:$A,0)),"REVISAR: el vehículo no corresponde a la ruta",IF(INDEX(Rutas!$C:$C,MATCH(B117,Rutas!$A:$A,0))&lt;&gt;INDEX(Conductores!$D:$D,MATCH(C117,Conductores!$A:$A,0)),"REVISAR: el conductor no corresponde a la ruta",IF(OR(INDEX(Vehículos!$E:$E,MATCH(D117,Vehículos!$A:$A,0))="Taller",INDEX(Vehículos!$E:$E,MATCH(D117,Vehículos!$A:$A,0))="Fuera de servicio"),"REVISAR: vehículo no disponible",IF(INDEX(Conductores!$G:$G,MATCH(C117,Conductores!$A:$A,0))&lt;&gt;"Activo","REVISAR: conductor no activo",IF(COUNTIFS($A:$A,A117,$C:$C,C117)&gt;1,"REVISAR: conductor asignado dos veces",IF(COUNTIFS($A:$A,A117,$D:$D,D117)&gt;1,"REVISAR: vehículo asignado dos veces","OK"))))))))</f>
        <v/>
      </c>
      <c r="H117" s="9"/>
      <c r="I117" s="9"/>
      <c r="J117" s="14" t="str">
        <f aca="false">IF(OR(H117="",H117=0),"",I117/H117)</f>
        <v/>
      </c>
      <c r="K117" s="9"/>
      <c r="L117" s="9"/>
      <c r="M117" s="24"/>
      <c r="N117" s="9"/>
      <c r="O117" s="9" t="str">
        <f aca="false">IF(AND(OR(K117="En riesgo",K117="Atrasada"),L117=""),"Falta código de motivo",IF(AND(L117="OTR",N117=""),"Explica OTR en las notas",IF(AND(K117="Finalizada",I117&lt;H117,L117=""),"Falta código de motivo","")))</f>
        <v/>
      </c>
      <c r="P117" s="9" t="str">
        <f aca="false">IF(OR(D117="",A117=""),"",IF(COUNTIFS(Revision_previa!$B:$B,D117,Revision_previa!$A:$A,"&gt;="&amp;A117,Revision_previa!$A:$A,"&lt;"&amp;(A117+1))=0,"Sin revisión",IF(COUNTIFS(Revision_previa!$B:$B,D117,Revision_previa!$A:$A,"&gt;="&amp;A117,Revision_previa!$A:$A,"&lt;"&amp;(A117+1),Revision_previa!$D:$D,"Falla")+COUNTIFS(Revision_previa!$B:$B,D117,Revision_previa!$A:$A,"&gt;="&amp;A117,Revision_previa!$A:$A,"&lt;"&amp;(A117+1),Revision_previa!$E:$E,"Falla")+COUNTIFS(Revision_previa!$B:$B,D117,Revision_previa!$A:$A,"&gt;="&amp;A117,Revision_previa!$A:$A,"&lt;"&amp;(A117+1),Revision_previa!$F:$F,"Falla")+COUNTIFS(Revision_previa!$B:$B,D117,Revision_previa!$A:$A,"&gt;="&amp;A117,Revision_previa!$A:$A,"&lt;"&amp;(A117+1),Revision_previa!$H:$H,"Encendido")&gt;0,"No apto","Apto")))</f>
        <v/>
      </c>
    </row>
    <row r="118" customFormat="false" ht="15" hidden="false" customHeight="false" outlineLevel="0" collapsed="false">
      <c r="A118" s="23"/>
      <c r="B118" s="9"/>
      <c r="C118" s="9"/>
      <c r="D118" s="9"/>
      <c r="E118" s="9" t="str">
        <f aca="false">IF(C118="","",IFERROR(INDEX(Conductores!$B:$B,MATCH(C118,Conductores!$A:$A,0)),"ID no encontrado"))</f>
        <v/>
      </c>
      <c r="F118" s="9" t="str">
        <f aca="false">IF(B118="","",IFERROR(INDEX(Rutas!$B:$B,MATCH(B118,Rutas!$A:$A,0)),"ID no encontrado"))</f>
        <v/>
      </c>
      <c r="G118" s="9" t="str">
        <f aca="false">IF(OR(B118="",C118="",D118=""),"",IF(OR(ISNA(MATCH(B118,Rutas!$A:$A,0)),ISNA(MATCH(C118,Conductores!$A:$A,0)),ISNA(MATCH(D118,Vehículos!$A:$A,0))),"REVISAR: ID no encontrado",IF(INDEX(Rutas!$C:$C,MATCH(B118,Rutas!$A:$A,0))&lt;&gt;INDEX(Vehículos!$B:$B,MATCH(D118,Vehículos!$A:$A,0)),"REVISAR: el vehículo no corresponde a la ruta",IF(INDEX(Rutas!$C:$C,MATCH(B118,Rutas!$A:$A,0))&lt;&gt;INDEX(Conductores!$D:$D,MATCH(C118,Conductores!$A:$A,0)),"REVISAR: el conductor no corresponde a la ruta",IF(OR(INDEX(Vehículos!$E:$E,MATCH(D118,Vehículos!$A:$A,0))="Taller",INDEX(Vehículos!$E:$E,MATCH(D118,Vehículos!$A:$A,0))="Fuera de servicio"),"REVISAR: vehículo no disponible",IF(INDEX(Conductores!$G:$G,MATCH(C118,Conductores!$A:$A,0))&lt;&gt;"Activo","REVISAR: conductor no activo",IF(COUNTIFS($A:$A,A118,$C:$C,C118)&gt;1,"REVISAR: conductor asignado dos veces",IF(COUNTIFS($A:$A,A118,$D:$D,D118)&gt;1,"REVISAR: vehículo asignado dos veces","OK"))))))))</f>
        <v/>
      </c>
      <c r="H118" s="9"/>
      <c r="I118" s="9"/>
      <c r="J118" s="14" t="str">
        <f aca="false">IF(OR(H118="",H118=0),"",I118/H118)</f>
        <v/>
      </c>
      <c r="K118" s="9"/>
      <c r="L118" s="9"/>
      <c r="M118" s="24"/>
      <c r="N118" s="9"/>
      <c r="O118" s="9" t="str">
        <f aca="false">IF(AND(OR(K118="En riesgo",K118="Atrasada"),L118=""),"Falta código de motivo",IF(AND(L118="OTR",N118=""),"Explica OTR en las notas",IF(AND(K118="Finalizada",I118&lt;H118,L118=""),"Falta código de motivo","")))</f>
        <v/>
      </c>
      <c r="P118" s="9" t="str">
        <f aca="false">IF(OR(D118="",A118=""),"",IF(COUNTIFS(Revision_previa!$B:$B,D118,Revision_previa!$A:$A,"&gt;="&amp;A118,Revision_previa!$A:$A,"&lt;"&amp;(A118+1))=0,"Sin revisión",IF(COUNTIFS(Revision_previa!$B:$B,D118,Revision_previa!$A:$A,"&gt;="&amp;A118,Revision_previa!$A:$A,"&lt;"&amp;(A118+1),Revision_previa!$D:$D,"Falla")+COUNTIFS(Revision_previa!$B:$B,D118,Revision_previa!$A:$A,"&gt;="&amp;A118,Revision_previa!$A:$A,"&lt;"&amp;(A118+1),Revision_previa!$E:$E,"Falla")+COUNTIFS(Revision_previa!$B:$B,D118,Revision_previa!$A:$A,"&gt;="&amp;A118,Revision_previa!$A:$A,"&lt;"&amp;(A118+1),Revision_previa!$F:$F,"Falla")+COUNTIFS(Revision_previa!$B:$B,D118,Revision_previa!$A:$A,"&gt;="&amp;A118,Revision_previa!$A:$A,"&lt;"&amp;(A118+1),Revision_previa!$H:$H,"Encendido")&gt;0,"No apto","Apto")))</f>
        <v/>
      </c>
    </row>
    <row r="119" customFormat="false" ht="15" hidden="false" customHeight="false" outlineLevel="0" collapsed="false">
      <c r="A119" s="23"/>
      <c r="B119" s="9"/>
      <c r="C119" s="9"/>
      <c r="D119" s="9"/>
      <c r="E119" s="9" t="str">
        <f aca="false">IF(C119="","",IFERROR(INDEX(Conductores!$B:$B,MATCH(C119,Conductores!$A:$A,0)),"ID no encontrado"))</f>
        <v/>
      </c>
      <c r="F119" s="9" t="str">
        <f aca="false">IF(B119="","",IFERROR(INDEX(Rutas!$B:$B,MATCH(B119,Rutas!$A:$A,0)),"ID no encontrado"))</f>
        <v/>
      </c>
      <c r="G119" s="9" t="str">
        <f aca="false">IF(OR(B119="",C119="",D119=""),"",IF(OR(ISNA(MATCH(B119,Rutas!$A:$A,0)),ISNA(MATCH(C119,Conductores!$A:$A,0)),ISNA(MATCH(D119,Vehículos!$A:$A,0))),"REVISAR: ID no encontrado",IF(INDEX(Rutas!$C:$C,MATCH(B119,Rutas!$A:$A,0))&lt;&gt;INDEX(Vehículos!$B:$B,MATCH(D119,Vehículos!$A:$A,0)),"REVISAR: el vehículo no corresponde a la ruta",IF(INDEX(Rutas!$C:$C,MATCH(B119,Rutas!$A:$A,0))&lt;&gt;INDEX(Conductores!$D:$D,MATCH(C119,Conductores!$A:$A,0)),"REVISAR: el conductor no corresponde a la ruta",IF(OR(INDEX(Vehículos!$E:$E,MATCH(D119,Vehículos!$A:$A,0))="Taller",INDEX(Vehículos!$E:$E,MATCH(D119,Vehículos!$A:$A,0))="Fuera de servicio"),"REVISAR: vehículo no disponible",IF(INDEX(Conductores!$G:$G,MATCH(C119,Conductores!$A:$A,0))&lt;&gt;"Activo","REVISAR: conductor no activo",IF(COUNTIFS($A:$A,A119,$C:$C,C119)&gt;1,"REVISAR: conductor asignado dos veces",IF(COUNTIFS($A:$A,A119,$D:$D,D119)&gt;1,"REVISAR: vehículo asignado dos veces","OK"))))))))</f>
        <v/>
      </c>
      <c r="H119" s="9"/>
      <c r="I119" s="9"/>
      <c r="J119" s="14" t="str">
        <f aca="false">IF(OR(H119="",H119=0),"",I119/H119)</f>
        <v/>
      </c>
      <c r="K119" s="9"/>
      <c r="L119" s="9"/>
      <c r="M119" s="24"/>
      <c r="N119" s="9"/>
      <c r="O119" s="9" t="str">
        <f aca="false">IF(AND(OR(K119="En riesgo",K119="Atrasada"),L119=""),"Falta código de motivo",IF(AND(L119="OTR",N119=""),"Explica OTR en las notas",IF(AND(K119="Finalizada",I119&lt;H119,L119=""),"Falta código de motivo","")))</f>
        <v/>
      </c>
      <c r="P119" s="9" t="str">
        <f aca="false">IF(OR(D119="",A119=""),"",IF(COUNTIFS(Revision_previa!$B:$B,D119,Revision_previa!$A:$A,"&gt;="&amp;A119,Revision_previa!$A:$A,"&lt;"&amp;(A119+1))=0,"Sin revisión",IF(COUNTIFS(Revision_previa!$B:$B,D119,Revision_previa!$A:$A,"&gt;="&amp;A119,Revision_previa!$A:$A,"&lt;"&amp;(A119+1),Revision_previa!$D:$D,"Falla")+COUNTIFS(Revision_previa!$B:$B,D119,Revision_previa!$A:$A,"&gt;="&amp;A119,Revision_previa!$A:$A,"&lt;"&amp;(A119+1),Revision_previa!$E:$E,"Falla")+COUNTIFS(Revision_previa!$B:$B,D119,Revision_previa!$A:$A,"&gt;="&amp;A119,Revision_previa!$A:$A,"&lt;"&amp;(A119+1),Revision_previa!$F:$F,"Falla")+COUNTIFS(Revision_previa!$B:$B,D119,Revision_previa!$A:$A,"&gt;="&amp;A119,Revision_previa!$A:$A,"&lt;"&amp;(A119+1),Revision_previa!$H:$H,"Encendido")&gt;0,"No apto","Apto")))</f>
        <v/>
      </c>
    </row>
    <row r="120" customFormat="false" ht="15" hidden="false" customHeight="false" outlineLevel="0" collapsed="false">
      <c r="A120" s="23"/>
      <c r="B120" s="9"/>
      <c r="C120" s="9"/>
      <c r="D120" s="9"/>
      <c r="E120" s="9" t="str">
        <f aca="false">IF(C120="","",IFERROR(INDEX(Conductores!$B:$B,MATCH(C120,Conductores!$A:$A,0)),"ID no encontrado"))</f>
        <v/>
      </c>
      <c r="F120" s="9" t="str">
        <f aca="false">IF(B120="","",IFERROR(INDEX(Rutas!$B:$B,MATCH(B120,Rutas!$A:$A,0)),"ID no encontrado"))</f>
        <v/>
      </c>
      <c r="G120" s="9" t="str">
        <f aca="false">IF(OR(B120="",C120="",D120=""),"",IF(OR(ISNA(MATCH(B120,Rutas!$A:$A,0)),ISNA(MATCH(C120,Conductores!$A:$A,0)),ISNA(MATCH(D120,Vehículos!$A:$A,0))),"REVISAR: ID no encontrado",IF(INDEX(Rutas!$C:$C,MATCH(B120,Rutas!$A:$A,0))&lt;&gt;INDEX(Vehículos!$B:$B,MATCH(D120,Vehículos!$A:$A,0)),"REVISAR: el vehículo no corresponde a la ruta",IF(INDEX(Rutas!$C:$C,MATCH(B120,Rutas!$A:$A,0))&lt;&gt;INDEX(Conductores!$D:$D,MATCH(C120,Conductores!$A:$A,0)),"REVISAR: el conductor no corresponde a la ruta",IF(OR(INDEX(Vehículos!$E:$E,MATCH(D120,Vehículos!$A:$A,0))="Taller",INDEX(Vehículos!$E:$E,MATCH(D120,Vehículos!$A:$A,0))="Fuera de servicio"),"REVISAR: vehículo no disponible",IF(INDEX(Conductores!$G:$G,MATCH(C120,Conductores!$A:$A,0))&lt;&gt;"Activo","REVISAR: conductor no activo",IF(COUNTIFS($A:$A,A120,$C:$C,C120)&gt;1,"REVISAR: conductor asignado dos veces",IF(COUNTIFS($A:$A,A120,$D:$D,D120)&gt;1,"REVISAR: vehículo asignado dos veces","OK"))))))))</f>
        <v/>
      </c>
      <c r="H120" s="9"/>
      <c r="I120" s="9"/>
      <c r="J120" s="14" t="str">
        <f aca="false">IF(OR(H120="",H120=0),"",I120/H120)</f>
        <v/>
      </c>
      <c r="K120" s="9"/>
      <c r="L120" s="9"/>
      <c r="M120" s="24"/>
      <c r="N120" s="9"/>
      <c r="O120" s="9" t="str">
        <f aca="false">IF(AND(OR(K120="En riesgo",K120="Atrasada"),L120=""),"Falta código de motivo",IF(AND(L120="OTR",N120=""),"Explica OTR en las notas",IF(AND(K120="Finalizada",I120&lt;H120,L120=""),"Falta código de motivo","")))</f>
        <v/>
      </c>
      <c r="P120" s="9" t="str">
        <f aca="false">IF(OR(D120="",A120=""),"",IF(COUNTIFS(Revision_previa!$B:$B,D120,Revision_previa!$A:$A,"&gt;="&amp;A120,Revision_previa!$A:$A,"&lt;"&amp;(A120+1))=0,"Sin revisión",IF(COUNTIFS(Revision_previa!$B:$B,D120,Revision_previa!$A:$A,"&gt;="&amp;A120,Revision_previa!$A:$A,"&lt;"&amp;(A120+1),Revision_previa!$D:$D,"Falla")+COUNTIFS(Revision_previa!$B:$B,D120,Revision_previa!$A:$A,"&gt;="&amp;A120,Revision_previa!$A:$A,"&lt;"&amp;(A120+1),Revision_previa!$E:$E,"Falla")+COUNTIFS(Revision_previa!$B:$B,D120,Revision_previa!$A:$A,"&gt;="&amp;A120,Revision_previa!$A:$A,"&lt;"&amp;(A120+1),Revision_previa!$F:$F,"Falla")+COUNTIFS(Revision_previa!$B:$B,D120,Revision_previa!$A:$A,"&gt;="&amp;A120,Revision_previa!$A:$A,"&lt;"&amp;(A120+1),Revision_previa!$H:$H,"Encendido")&gt;0,"No apto","Apto")))</f>
        <v/>
      </c>
    </row>
    <row r="121" customFormat="false" ht="15" hidden="false" customHeight="false" outlineLevel="0" collapsed="false">
      <c r="A121" s="23"/>
      <c r="B121" s="9"/>
      <c r="C121" s="9"/>
      <c r="D121" s="9"/>
      <c r="E121" s="9" t="str">
        <f aca="false">IF(C121="","",IFERROR(INDEX(Conductores!$B:$B,MATCH(C121,Conductores!$A:$A,0)),"ID no encontrado"))</f>
        <v/>
      </c>
      <c r="F121" s="9" t="str">
        <f aca="false">IF(B121="","",IFERROR(INDEX(Rutas!$B:$B,MATCH(B121,Rutas!$A:$A,0)),"ID no encontrado"))</f>
        <v/>
      </c>
      <c r="G121" s="9" t="str">
        <f aca="false">IF(OR(B121="",C121="",D121=""),"",IF(OR(ISNA(MATCH(B121,Rutas!$A:$A,0)),ISNA(MATCH(C121,Conductores!$A:$A,0)),ISNA(MATCH(D121,Vehículos!$A:$A,0))),"REVISAR: ID no encontrado",IF(INDEX(Rutas!$C:$C,MATCH(B121,Rutas!$A:$A,0))&lt;&gt;INDEX(Vehículos!$B:$B,MATCH(D121,Vehículos!$A:$A,0)),"REVISAR: el vehículo no corresponde a la ruta",IF(INDEX(Rutas!$C:$C,MATCH(B121,Rutas!$A:$A,0))&lt;&gt;INDEX(Conductores!$D:$D,MATCH(C121,Conductores!$A:$A,0)),"REVISAR: el conductor no corresponde a la ruta",IF(OR(INDEX(Vehículos!$E:$E,MATCH(D121,Vehículos!$A:$A,0))="Taller",INDEX(Vehículos!$E:$E,MATCH(D121,Vehículos!$A:$A,0))="Fuera de servicio"),"REVISAR: vehículo no disponible",IF(INDEX(Conductores!$G:$G,MATCH(C121,Conductores!$A:$A,0))&lt;&gt;"Activo","REVISAR: conductor no activo",IF(COUNTIFS($A:$A,A121,$C:$C,C121)&gt;1,"REVISAR: conductor asignado dos veces",IF(COUNTIFS($A:$A,A121,$D:$D,D121)&gt;1,"REVISAR: vehículo asignado dos veces","OK"))))))))</f>
        <v/>
      </c>
      <c r="H121" s="9"/>
      <c r="I121" s="9"/>
      <c r="J121" s="14" t="str">
        <f aca="false">IF(OR(H121="",H121=0),"",I121/H121)</f>
        <v/>
      </c>
      <c r="K121" s="9"/>
      <c r="L121" s="9"/>
      <c r="M121" s="24"/>
      <c r="N121" s="9"/>
      <c r="O121" s="9" t="str">
        <f aca="false">IF(AND(OR(K121="En riesgo",K121="Atrasada"),L121=""),"Falta código de motivo",IF(AND(L121="OTR",N121=""),"Explica OTR en las notas",IF(AND(K121="Finalizada",I121&lt;H121,L121=""),"Falta código de motivo","")))</f>
        <v/>
      </c>
      <c r="P121" s="9" t="str">
        <f aca="false">IF(OR(D121="",A121=""),"",IF(COUNTIFS(Revision_previa!$B:$B,D121,Revision_previa!$A:$A,"&gt;="&amp;A121,Revision_previa!$A:$A,"&lt;"&amp;(A121+1))=0,"Sin revisión",IF(COUNTIFS(Revision_previa!$B:$B,D121,Revision_previa!$A:$A,"&gt;="&amp;A121,Revision_previa!$A:$A,"&lt;"&amp;(A121+1),Revision_previa!$D:$D,"Falla")+COUNTIFS(Revision_previa!$B:$B,D121,Revision_previa!$A:$A,"&gt;="&amp;A121,Revision_previa!$A:$A,"&lt;"&amp;(A121+1),Revision_previa!$E:$E,"Falla")+COUNTIFS(Revision_previa!$B:$B,D121,Revision_previa!$A:$A,"&gt;="&amp;A121,Revision_previa!$A:$A,"&lt;"&amp;(A121+1),Revision_previa!$F:$F,"Falla")+COUNTIFS(Revision_previa!$B:$B,D121,Revision_previa!$A:$A,"&gt;="&amp;A121,Revision_previa!$A:$A,"&lt;"&amp;(A121+1),Revision_previa!$H:$H,"Encendido")&gt;0,"No apto","Apto")))</f>
        <v/>
      </c>
    </row>
    <row r="122" customFormat="false" ht="15" hidden="false" customHeight="false" outlineLevel="0" collapsed="false">
      <c r="A122" s="23"/>
      <c r="B122" s="9"/>
      <c r="C122" s="9"/>
      <c r="D122" s="9"/>
      <c r="E122" s="9" t="str">
        <f aca="false">IF(C122="","",IFERROR(INDEX(Conductores!$B:$B,MATCH(C122,Conductores!$A:$A,0)),"ID no encontrado"))</f>
        <v/>
      </c>
      <c r="F122" s="9" t="str">
        <f aca="false">IF(B122="","",IFERROR(INDEX(Rutas!$B:$B,MATCH(B122,Rutas!$A:$A,0)),"ID no encontrado"))</f>
        <v/>
      </c>
      <c r="G122" s="9" t="str">
        <f aca="false">IF(OR(B122="",C122="",D122=""),"",IF(OR(ISNA(MATCH(B122,Rutas!$A:$A,0)),ISNA(MATCH(C122,Conductores!$A:$A,0)),ISNA(MATCH(D122,Vehículos!$A:$A,0))),"REVISAR: ID no encontrado",IF(INDEX(Rutas!$C:$C,MATCH(B122,Rutas!$A:$A,0))&lt;&gt;INDEX(Vehículos!$B:$B,MATCH(D122,Vehículos!$A:$A,0)),"REVISAR: el vehículo no corresponde a la ruta",IF(INDEX(Rutas!$C:$C,MATCH(B122,Rutas!$A:$A,0))&lt;&gt;INDEX(Conductores!$D:$D,MATCH(C122,Conductores!$A:$A,0)),"REVISAR: el conductor no corresponde a la ruta",IF(OR(INDEX(Vehículos!$E:$E,MATCH(D122,Vehículos!$A:$A,0))="Taller",INDEX(Vehículos!$E:$E,MATCH(D122,Vehículos!$A:$A,0))="Fuera de servicio"),"REVISAR: vehículo no disponible",IF(INDEX(Conductores!$G:$G,MATCH(C122,Conductores!$A:$A,0))&lt;&gt;"Activo","REVISAR: conductor no activo",IF(COUNTIFS($A:$A,A122,$C:$C,C122)&gt;1,"REVISAR: conductor asignado dos veces",IF(COUNTIFS($A:$A,A122,$D:$D,D122)&gt;1,"REVISAR: vehículo asignado dos veces","OK"))))))))</f>
        <v/>
      </c>
      <c r="H122" s="9"/>
      <c r="I122" s="9"/>
      <c r="J122" s="14" t="str">
        <f aca="false">IF(OR(H122="",H122=0),"",I122/H122)</f>
        <v/>
      </c>
      <c r="K122" s="9"/>
      <c r="L122" s="9"/>
      <c r="M122" s="24"/>
      <c r="N122" s="9"/>
      <c r="O122" s="9" t="str">
        <f aca="false">IF(AND(OR(K122="En riesgo",K122="Atrasada"),L122=""),"Falta código de motivo",IF(AND(L122="OTR",N122=""),"Explica OTR en las notas",IF(AND(K122="Finalizada",I122&lt;H122,L122=""),"Falta código de motivo","")))</f>
        <v/>
      </c>
      <c r="P122" s="9" t="str">
        <f aca="false">IF(OR(D122="",A122=""),"",IF(COUNTIFS(Revision_previa!$B:$B,D122,Revision_previa!$A:$A,"&gt;="&amp;A122,Revision_previa!$A:$A,"&lt;"&amp;(A122+1))=0,"Sin revisión",IF(COUNTIFS(Revision_previa!$B:$B,D122,Revision_previa!$A:$A,"&gt;="&amp;A122,Revision_previa!$A:$A,"&lt;"&amp;(A122+1),Revision_previa!$D:$D,"Falla")+COUNTIFS(Revision_previa!$B:$B,D122,Revision_previa!$A:$A,"&gt;="&amp;A122,Revision_previa!$A:$A,"&lt;"&amp;(A122+1),Revision_previa!$E:$E,"Falla")+COUNTIFS(Revision_previa!$B:$B,D122,Revision_previa!$A:$A,"&gt;="&amp;A122,Revision_previa!$A:$A,"&lt;"&amp;(A122+1),Revision_previa!$F:$F,"Falla")+COUNTIFS(Revision_previa!$B:$B,D122,Revision_previa!$A:$A,"&gt;="&amp;A122,Revision_previa!$A:$A,"&lt;"&amp;(A122+1),Revision_previa!$H:$H,"Encendido")&gt;0,"No apto","Apto")))</f>
        <v/>
      </c>
    </row>
    <row r="123" customFormat="false" ht="15" hidden="false" customHeight="false" outlineLevel="0" collapsed="false">
      <c r="A123" s="23"/>
      <c r="B123" s="9"/>
      <c r="C123" s="9"/>
      <c r="D123" s="9"/>
      <c r="E123" s="9" t="str">
        <f aca="false">IF(C123="","",IFERROR(INDEX(Conductores!$B:$B,MATCH(C123,Conductores!$A:$A,0)),"ID no encontrado"))</f>
        <v/>
      </c>
      <c r="F123" s="9" t="str">
        <f aca="false">IF(B123="","",IFERROR(INDEX(Rutas!$B:$B,MATCH(B123,Rutas!$A:$A,0)),"ID no encontrado"))</f>
        <v/>
      </c>
      <c r="G123" s="9" t="str">
        <f aca="false">IF(OR(B123="",C123="",D123=""),"",IF(OR(ISNA(MATCH(B123,Rutas!$A:$A,0)),ISNA(MATCH(C123,Conductores!$A:$A,0)),ISNA(MATCH(D123,Vehículos!$A:$A,0))),"REVISAR: ID no encontrado",IF(INDEX(Rutas!$C:$C,MATCH(B123,Rutas!$A:$A,0))&lt;&gt;INDEX(Vehículos!$B:$B,MATCH(D123,Vehículos!$A:$A,0)),"REVISAR: el vehículo no corresponde a la ruta",IF(INDEX(Rutas!$C:$C,MATCH(B123,Rutas!$A:$A,0))&lt;&gt;INDEX(Conductores!$D:$D,MATCH(C123,Conductores!$A:$A,0)),"REVISAR: el conductor no corresponde a la ruta",IF(OR(INDEX(Vehículos!$E:$E,MATCH(D123,Vehículos!$A:$A,0))="Taller",INDEX(Vehículos!$E:$E,MATCH(D123,Vehículos!$A:$A,0))="Fuera de servicio"),"REVISAR: vehículo no disponible",IF(INDEX(Conductores!$G:$G,MATCH(C123,Conductores!$A:$A,0))&lt;&gt;"Activo","REVISAR: conductor no activo",IF(COUNTIFS($A:$A,A123,$C:$C,C123)&gt;1,"REVISAR: conductor asignado dos veces",IF(COUNTIFS($A:$A,A123,$D:$D,D123)&gt;1,"REVISAR: vehículo asignado dos veces","OK"))))))))</f>
        <v/>
      </c>
      <c r="H123" s="9"/>
      <c r="I123" s="9"/>
      <c r="J123" s="14" t="str">
        <f aca="false">IF(OR(H123="",H123=0),"",I123/H123)</f>
        <v/>
      </c>
      <c r="K123" s="9"/>
      <c r="L123" s="9"/>
      <c r="M123" s="24"/>
      <c r="N123" s="9"/>
      <c r="O123" s="9" t="str">
        <f aca="false">IF(AND(OR(K123="En riesgo",K123="Atrasada"),L123=""),"Falta código de motivo",IF(AND(L123="OTR",N123=""),"Explica OTR en las notas",IF(AND(K123="Finalizada",I123&lt;H123,L123=""),"Falta código de motivo","")))</f>
        <v/>
      </c>
      <c r="P123" s="9" t="str">
        <f aca="false">IF(OR(D123="",A123=""),"",IF(COUNTIFS(Revision_previa!$B:$B,D123,Revision_previa!$A:$A,"&gt;="&amp;A123,Revision_previa!$A:$A,"&lt;"&amp;(A123+1))=0,"Sin revisión",IF(COUNTIFS(Revision_previa!$B:$B,D123,Revision_previa!$A:$A,"&gt;="&amp;A123,Revision_previa!$A:$A,"&lt;"&amp;(A123+1),Revision_previa!$D:$D,"Falla")+COUNTIFS(Revision_previa!$B:$B,D123,Revision_previa!$A:$A,"&gt;="&amp;A123,Revision_previa!$A:$A,"&lt;"&amp;(A123+1),Revision_previa!$E:$E,"Falla")+COUNTIFS(Revision_previa!$B:$B,D123,Revision_previa!$A:$A,"&gt;="&amp;A123,Revision_previa!$A:$A,"&lt;"&amp;(A123+1),Revision_previa!$F:$F,"Falla")+COUNTIFS(Revision_previa!$B:$B,D123,Revision_previa!$A:$A,"&gt;="&amp;A123,Revision_previa!$A:$A,"&lt;"&amp;(A123+1),Revision_previa!$H:$H,"Encendido")&gt;0,"No apto","Apto")))</f>
        <v/>
      </c>
    </row>
    <row r="124" customFormat="false" ht="15" hidden="false" customHeight="false" outlineLevel="0" collapsed="false">
      <c r="A124" s="23"/>
      <c r="B124" s="9"/>
      <c r="C124" s="9"/>
      <c r="D124" s="9"/>
      <c r="E124" s="9" t="str">
        <f aca="false">IF(C124="","",IFERROR(INDEX(Conductores!$B:$B,MATCH(C124,Conductores!$A:$A,0)),"ID no encontrado"))</f>
        <v/>
      </c>
      <c r="F124" s="9" t="str">
        <f aca="false">IF(B124="","",IFERROR(INDEX(Rutas!$B:$B,MATCH(B124,Rutas!$A:$A,0)),"ID no encontrado"))</f>
        <v/>
      </c>
      <c r="G124" s="9" t="str">
        <f aca="false">IF(OR(B124="",C124="",D124=""),"",IF(OR(ISNA(MATCH(B124,Rutas!$A:$A,0)),ISNA(MATCH(C124,Conductores!$A:$A,0)),ISNA(MATCH(D124,Vehículos!$A:$A,0))),"REVISAR: ID no encontrado",IF(INDEX(Rutas!$C:$C,MATCH(B124,Rutas!$A:$A,0))&lt;&gt;INDEX(Vehículos!$B:$B,MATCH(D124,Vehículos!$A:$A,0)),"REVISAR: el vehículo no corresponde a la ruta",IF(INDEX(Rutas!$C:$C,MATCH(B124,Rutas!$A:$A,0))&lt;&gt;INDEX(Conductores!$D:$D,MATCH(C124,Conductores!$A:$A,0)),"REVISAR: el conductor no corresponde a la ruta",IF(OR(INDEX(Vehículos!$E:$E,MATCH(D124,Vehículos!$A:$A,0))="Taller",INDEX(Vehículos!$E:$E,MATCH(D124,Vehículos!$A:$A,0))="Fuera de servicio"),"REVISAR: vehículo no disponible",IF(INDEX(Conductores!$G:$G,MATCH(C124,Conductores!$A:$A,0))&lt;&gt;"Activo","REVISAR: conductor no activo",IF(COUNTIFS($A:$A,A124,$C:$C,C124)&gt;1,"REVISAR: conductor asignado dos veces",IF(COUNTIFS($A:$A,A124,$D:$D,D124)&gt;1,"REVISAR: vehículo asignado dos veces","OK"))))))))</f>
        <v/>
      </c>
      <c r="H124" s="9"/>
      <c r="I124" s="9"/>
      <c r="J124" s="14" t="str">
        <f aca="false">IF(OR(H124="",H124=0),"",I124/H124)</f>
        <v/>
      </c>
      <c r="K124" s="9"/>
      <c r="L124" s="9"/>
      <c r="M124" s="24"/>
      <c r="N124" s="9"/>
      <c r="O124" s="9" t="str">
        <f aca="false">IF(AND(OR(K124="En riesgo",K124="Atrasada"),L124=""),"Falta código de motivo",IF(AND(L124="OTR",N124=""),"Explica OTR en las notas",IF(AND(K124="Finalizada",I124&lt;H124,L124=""),"Falta código de motivo","")))</f>
        <v/>
      </c>
      <c r="P124" s="9" t="str">
        <f aca="false">IF(OR(D124="",A124=""),"",IF(COUNTIFS(Revision_previa!$B:$B,D124,Revision_previa!$A:$A,"&gt;="&amp;A124,Revision_previa!$A:$A,"&lt;"&amp;(A124+1))=0,"Sin revisión",IF(COUNTIFS(Revision_previa!$B:$B,D124,Revision_previa!$A:$A,"&gt;="&amp;A124,Revision_previa!$A:$A,"&lt;"&amp;(A124+1),Revision_previa!$D:$D,"Falla")+COUNTIFS(Revision_previa!$B:$B,D124,Revision_previa!$A:$A,"&gt;="&amp;A124,Revision_previa!$A:$A,"&lt;"&amp;(A124+1),Revision_previa!$E:$E,"Falla")+COUNTIFS(Revision_previa!$B:$B,D124,Revision_previa!$A:$A,"&gt;="&amp;A124,Revision_previa!$A:$A,"&lt;"&amp;(A124+1),Revision_previa!$F:$F,"Falla")+COUNTIFS(Revision_previa!$B:$B,D124,Revision_previa!$A:$A,"&gt;="&amp;A124,Revision_previa!$A:$A,"&lt;"&amp;(A124+1),Revision_previa!$H:$H,"Encendido")&gt;0,"No apto","Apto")))</f>
        <v/>
      </c>
    </row>
    <row r="125" customFormat="false" ht="15" hidden="false" customHeight="false" outlineLevel="0" collapsed="false">
      <c r="A125" s="23"/>
      <c r="B125" s="9"/>
      <c r="C125" s="9"/>
      <c r="D125" s="9"/>
      <c r="E125" s="9" t="str">
        <f aca="false">IF(C125="","",IFERROR(INDEX(Conductores!$B:$B,MATCH(C125,Conductores!$A:$A,0)),"ID no encontrado"))</f>
        <v/>
      </c>
      <c r="F125" s="9" t="str">
        <f aca="false">IF(B125="","",IFERROR(INDEX(Rutas!$B:$B,MATCH(B125,Rutas!$A:$A,0)),"ID no encontrado"))</f>
        <v/>
      </c>
      <c r="G125" s="9" t="str">
        <f aca="false">IF(OR(B125="",C125="",D125=""),"",IF(OR(ISNA(MATCH(B125,Rutas!$A:$A,0)),ISNA(MATCH(C125,Conductores!$A:$A,0)),ISNA(MATCH(D125,Vehículos!$A:$A,0))),"REVISAR: ID no encontrado",IF(INDEX(Rutas!$C:$C,MATCH(B125,Rutas!$A:$A,0))&lt;&gt;INDEX(Vehículos!$B:$B,MATCH(D125,Vehículos!$A:$A,0)),"REVISAR: el vehículo no corresponde a la ruta",IF(INDEX(Rutas!$C:$C,MATCH(B125,Rutas!$A:$A,0))&lt;&gt;INDEX(Conductores!$D:$D,MATCH(C125,Conductores!$A:$A,0)),"REVISAR: el conductor no corresponde a la ruta",IF(OR(INDEX(Vehículos!$E:$E,MATCH(D125,Vehículos!$A:$A,0))="Taller",INDEX(Vehículos!$E:$E,MATCH(D125,Vehículos!$A:$A,0))="Fuera de servicio"),"REVISAR: vehículo no disponible",IF(INDEX(Conductores!$G:$G,MATCH(C125,Conductores!$A:$A,0))&lt;&gt;"Activo","REVISAR: conductor no activo",IF(COUNTIFS($A:$A,A125,$C:$C,C125)&gt;1,"REVISAR: conductor asignado dos veces",IF(COUNTIFS($A:$A,A125,$D:$D,D125)&gt;1,"REVISAR: vehículo asignado dos veces","OK"))))))))</f>
        <v/>
      </c>
      <c r="H125" s="9"/>
      <c r="I125" s="9"/>
      <c r="J125" s="14" t="str">
        <f aca="false">IF(OR(H125="",H125=0),"",I125/H125)</f>
        <v/>
      </c>
      <c r="K125" s="9"/>
      <c r="L125" s="9"/>
      <c r="M125" s="24"/>
      <c r="N125" s="9"/>
      <c r="O125" s="9" t="str">
        <f aca="false">IF(AND(OR(K125="En riesgo",K125="Atrasada"),L125=""),"Falta código de motivo",IF(AND(L125="OTR",N125=""),"Explica OTR en las notas",IF(AND(K125="Finalizada",I125&lt;H125,L125=""),"Falta código de motivo","")))</f>
        <v/>
      </c>
      <c r="P125" s="9" t="str">
        <f aca="false">IF(OR(D125="",A125=""),"",IF(COUNTIFS(Revision_previa!$B:$B,D125,Revision_previa!$A:$A,"&gt;="&amp;A125,Revision_previa!$A:$A,"&lt;"&amp;(A125+1))=0,"Sin revisión",IF(COUNTIFS(Revision_previa!$B:$B,D125,Revision_previa!$A:$A,"&gt;="&amp;A125,Revision_previa!$A:$A,"&lt;"&amp;(A125+1),Revision_previa!$D:$D,"Falla")+COUNTIFS(Revision_previa!$B:$B,D125,Revision_previa!$A:$A,"&gt;="&amp;A125,Revision_previa!$A:$A,"&lt;"&amp;(A125+1),Revision_previa!$E:$E,"Falla")+COUNTIFS(Revision_previa!$B:$B,D125,Revision_previa!$A:$A,"&gt;="&amp;A125,Revision_previa!$A:$A,"&lt;"&amp;(A125+1),Revision_previa!$F:$F,"Falla")+COUNTIFS(Revision_previa!$B:$B,D125,Revision_previa!$A:$A,"&gt;="&amp;A125,Revision_previa!$A:$A,"&lt;"&amp;(A125+1),Revision_previa!$H:$H,"Encendido")&gt;0,"No apto","Apto")))</f>
        <v/>
      </c>
    </row>
    <row r="126" customFormat="false" ht="15" hidden="false" customHeight="false" outlineLevel="0" collapsed="false">
      <c r="A126" s="23"/>
      <c r="B126" s="9"/>
      <c r="C126" s="9"/>
      <c r="D126" s="9"/>
      <c r="E126" s="9" t="str">
        <f aca="false">IF(C126="","",IFERROR(INDEX(Conductores!$B:$B,MATCH(C126,Conductores!$A:$A,0)),"ID no encontrado"))</f>
        <v/>
      </c>
      <c r="F126" s="9" t="str">
        <f aca="false">IF(B126="","",IFERROR(INDEX(Rutas!$B:$B,MATCH(B126,Rutas!$A:$A,0)),"ID no encontrado"))</f>
        <v/>
      </c>
      <c r="G126" s="9" t="str">
        <f aca="false">IF(OR(B126="",C126="",D126=""),"",IF(OR(ISNA(MATCH(B126,Rutas!$A:$A,0)),ISNA(MATCH(C126,Conductores!$A:$A,0)),ISNA(MATCH(D126,Vehículos!$A:$A,0))),"REVISAR: ID no encontrado",IF(INDEX(Rutas!$C:$C,MATCH(B126,Rutas!$A:$A,0))&lt;&gt;INDEX(Vehículos!$B:$B,MATCH(D126,Vehículos!$A:$A,0)),"REVISAR: el vehículo no corresponde a la ruta",IF(INDEX(Rutas!$C:$C,MATCH(B126,Rutas!$A:$A,0))&lt;&gt;INDEX(Conductores!$D:$D,MATCH(C126,Conductores!$A:$A,0)),"REVISAR: el conductor no corresponde a la ruta",IF(OR(INDEX(Vehículos!$E:$E,MATCH(D126,Vehículos!$A:$A,0))="Taller",INDEX(Vehículos!$E:$E,MATCH(D126,Vehículos!$A:$A,0))="Fuera de servicio"),"REVISAR: vehículo no disponible",IF(INDEX(Conductores!$G:$G,MATCH(C126,Conductores!$A:$A,0))&lt;&gt;"Activo","REVISAR: conductor no activo",IF(COUNTIFS($A:$A,A126,$C:$C,C126)&gt;1,"REVISAR: conductor asignado dos veces",IF(COUNTIFS($A:$A,A126,$D:$D,D126)&gt;1,"REVISAR: vehículo asignado dos veces","OK"))))))))</f>
        <v/>
      </c>
      <c r="H126" s="9"/>
      <c r="I126" s="9"/>
      <c r="J126" s="14" t="str">
        <f aca="false">IF(OR(H126="",H126=0),"",I126/H126)</f>
        <v/>
      </c>
      <c r="K126" s="9"/>
      <c r="L126" s="9"/>
      <c r="M126" s="24"/>
      <c r="N126" s="9"/>
      <c r="O126" s="9" t="str">
        <f aca="false">IF(AND(OR(K126="En riesgo",K126="Atrasada"),L126=""),"Falta código de motivo",IF(AND(L126="OTR",N126=""),"Explica OTR en las notas",IF(AND(K126="Finalizada",I126&lt;H126,L126=""),"Falta código de motivo","")))</f>
        <v/>
      </c>
      <c r="P126" s="9" t="str">
        <f aca="false">IF(OR(D126="",A126=""),"",IF(COUNTIFS(Revision_previa!$B:$B,D126,Revision_previa!$A:$A,"&gt;="&amp;A126,Revision_previa!$A:$A,"&lt;"&amp;(A126+1))=0,"Sin revisión",IF(COUNTIFS(Revision_previa!$B:$B,D126,Revision_previa!$A:$A,"&gt;="&amp;A126,Revision_previa!$A:$A,"&lt;"&amp;(A126+1),Revision_previa!$D:$D,"Falla")+COUNTIFS(Revision_previa!$B:$B,D126,Revision_previa!$A:$A,"&gt;="&amp;A126,Revision_previa!$A:$A,"&lt;"&amp;(A126+1),Revision_previa!$E:$E,"Falla")+COUNTIFS(Revision_previa!$B:$B,D126,Revision_previa!$A:$A,"&gt;="&amp;A126,Revision_previa!$A:$A,"&lt;"&amp;(A126+1),Revision_previa!$F:$F,"Falla")+COUNTIFS(Revision_previa!$B:$B,D126,Revision_previa!$A:$A,"&gt;="&amp;A126,Revision_previa!$A:$A,"&lt;"&amp;(A126+1),Revision_previa!$H:$H,"Encendido")&gt;0,"No apto","Apto")))</f>
        <v/>
      </c>
    </row>
    <row r="127" customFormat="false" ht="15" hidden="false" customHeight="false" outlineLevel="0" collapsed="false">
      <c r="A127" s="23"/>
      <c r="B127" s="9"/>
      <c r="C127" s="9"/>
      <c r="D127" s="9"/>
      <c r="E127" s="9" t="str">
        <f aca="false">IF(C127="","",IFERROR(INDEX(Conductores!$B:$B,MATCH(C127,Conductores!$A:$A,0)),"ID no encontrado"))</f>
        <v/>
      </c>
      <c r="F127" s="9" t="str">
        <f aca="false">IF(B127="","",IFERROR(INDEX(Rutas!$B:$B,MATCH(B127,Rutas!$A:$A,0)),"ID no encontrado"))</f>
        <v/>
      </c>
      <c r="G127" s="9" t="str">
        <f aca="false">IF(OR(B127="",C127="",D127=""),"",IF(OR(ISNA(MATCH(B127,Rutas!$A:$A,0)),ISNA(MATCH(C127,Conductores!$A:$A,0)),ISNA(MATCH(D127,Vehículos!$A:$A,0))),"REVISAR: ID no encontrado",IF(INDEX(Rutas!$C:$C,MATCH(B127,Rutas!$A:$A,0))&lt;&gt;INDEX(Vehículos!$B:$B,MATCH(D127,Vehículos!$A:$A,0)),"REVISAR: el vehículo no corresponde a la ruta",IF(INDEX(Rutas!$C:$C,MATCH(B127,Rutas!$A:$A,0))&lt;&gt;INDEX(Conductores!$D:$D,MATCH(C127,Conductores!$A:$A,0)),"REVISAR: el conductor no corresponde a la ruta",IF(OR(INDEX(Vehículos!$E:$E,MATCH(D127,Vehículos!$A:$A,0))="Taller",INDEX(Vehículos!$E:$E,MATCH(D127,Vehículos!$A:$A,0))="Fuera de servicio"),"REVISAR: vehículo no disponible",IF(INDEX(Conductores!$G:$G,MATCH(C127,Conductores!$A:$A,0))&lt;&gt;"Activo","REVISAR: conductor no activo",IF(COUNTIFS($A:$A,A127,$C:$C,C127)&gt;1,"REVISAR: conductor asignado dos veces",IF(COUNTIFS($A:$A,A127,$D:$D,D127)&gt;1,"REVISAR: vehículo asignado dos veces","OK"))))))))</f>
        <v/>
      </c>
      <c r="H127" s="9"/>
      <c r="I127" s="9"/>
      <c r="J127" s="14" t="str">
        <f aca="false">IF(OR(H127="",H127=0),"",I127/H127)</f>
        <v/>
      </c>
      <c r="K127" s="9"/>
      <c r="L127" s="9"/>
      <c r="M127" s="24"/>
      <c r="N127" s="9"/>
      <c r="O127" s="9" t="str">
        <f aca="false">IF(AND(OR(K127="En riesgo",K127="Atrasada"),L127=""),"Falta código de motivo",IF(AND(L127="OTR",N127=""),"Explica OTR en las notas",IF(AND(K127="Finalizada",I127&lt;H127,L127=""),"Falta código de motivo","")))</f>
        <v/>
      </c>
      <c r="P127" s="9" t="str">
        <f aca="false">IF(OR(D127="",A127=""),"",IF(COUNTIFS(Revision_previa!$B:$B,D127,Revision_previa!$A:$A,"&gt;="&amp;A127,Revision_previa!$A:$A,"&lt;"&amp;(A127+1))=0,"Sin revisión",IF(COUNTIFS(Revision_previa!$B:$B,D127,Revision_previa!$A:$A,"&gt;="&amp;A127,Revision_previa!$A:$A,"&lt;"&amp;(A127+1),Revision_previa!$D:$D,"Falla")+COUNTIFS(Revision_previa!$B:$B,D127,Revision_previa!$A:$A,"&gt;="&amp;A127,Revision_previa!$A:$A,"&lt;"&amp;(A127+1),Revision_previa!$E:$E,"Falla")+COUNTIFS(Revision_previa!$B:$B,D127,Revision_previa!$A:$A,"&gt;="&amp;A127,Revision_previa!$A:$A,"&lt;"&amp;(A127+1),Revision_previa!$F:$F,"Falla")+COUNTIFS(Revision_previa!$B:$B,D127,Revision_previa!$A:$A,"&gt;="&amp;A127,Revision_previa!$A:$A,"&lt;"&amp;(A127+1),Revision_previa!$H:$H,"Encendido")&gt;0,"No apto","Apto")))</f>
        <v/>
      </c>
    </row>
    <row r="128" customFormat="false" ht="15" hidden="false" customHeight="false" outlineLevel="0" collapsed="false">
      <c r="A128" s="23"/>
      <c r="B128" s="9"/>
      <c r="C128" s="9"/>
      <c r="D128" s="9"/>
      <c r="E128" s="9" t="str">
        <f aca="false">IF(C128="","",IFERROR(INDEX(Conductores!$B:$B,MATCH(C128,Conductores!$A:$A,0)),"ID no encontrado"))</f>
        <v/>
      </c>
      <c r="F128" s="9" t="str">
        <f aca="false">IF(B128="","",IFERROR(INDEX(Rutas!$B:$B,MATCH(B128,Rutas!$A:$A,0)),"ID no encontrado"))</f>
        <v/>
      </c>
      <c r="G128" s="9" t="str">
        <f aca="false">IF(OR(B128="",C128="",D128=""),"",IF(OR(ISNA(MATCH(B128,Rutas!$A:$A,0)),ISNA(MATCH(C128,Conductores!$A:$A,0)),ISNA(MATCH(D128,Vehículos!$A:$A,0))),"REVISAR: ID no encontrado",IF(INDEX(Rutas!$C:$C,MATCH(B128,Rutas!$A:$A,0))&lt;&gt;INDEX(Vehículos!$B:$B,MATCH(D128,Vehículos!$A:$A,0)),"REVISAR: el vehículo no corresponde a la ruta",IF(INDEX(Rutas!$C:$C,MATCH(B128,Rutas!$A:$A,0))&lt;&gt;INDEX(Conductores!$D:$D,MATCH(C128,Conductores!$A:$A,0)),"REVISAR: el conductor no corresponde a la ruta",IF(OR(INDEX(Vehículos!$E:$E,MATCH(D128,Vehículos!$A:$A,0))="Taller",INDEX(Vehículos!$E:$E,MATCH(D128,Vehículos!$A:$A,0))="Fuera de servicio"),"REVISAR: vehículo no disponible",IF(INDEX(Conductores!$G:$G,MATCH(C128,Conductores!$A:$A,0))&lt;&gt;"Activo","REVISAR: conductor no activo",IF(COUNTIFS($A:$A,A128,$C:$C,C128)&gt;1,"REVISAR: conductor asignado dos veces",IF(COUNTIFS($A:$A,A128,$D:$D,D128)&gt;1,"REVISAR: vehículo asignado dos veces","OK"))))))))</f>
        <v/>
      </c>
      <c r="H128" s="9"/>
      <c r="I128" s="9"/>
      <c r="J128" s="14" t="str">
        <f aca="false">IF(OR(H128="",H128=0),"",I128/H128)</f>
        <v/>
      </c>
      <c r="K128" s="9"/>
      <c r="L128" s="9"/>
      <c r="M128" s="24"/>
      <c r="N128" s="9"/>
      <c r="O128" s="9" t="str">
        <f aca="false">IF(AND(OR(K128="En riesgo",K128="Atrasada"),L128=""),"Falta código de motivo",IF(AND(L128="OTR",N128=""),"Explica OTR en las notas",IF(AND(K128="Finalizada",I128&lt;H128,L128=""),"Falta código de motivo","")))</f>
        <v/>
      </c>
      <c r="P128" s="9" t="str">
        <f aca="false">IF(OR(D128="",A128=""),"",IF(COUNTIFS(Revision_previa!$B:$B,D128,Revision_previa!$A:$A,"&gt;="&amp;A128,Revision_previa!$A:$A,"&lt;"&amp;(A128+1))=0,"Sin revisión",IF(COUNTIFS(Revision_previa!$B:$B,D128,Revision_previa!$A:$A,"&gt;="&amp;A128,Revision_previa!$A:$A,"&lt;"&amp;(A128+1),Revision_previa!$D:$D,"Falla")+COUNTIFS(Revision_previa!$B:$B,D128,Revision_previa!$A:$A,"&gt;="&amp;A128,Revision_previa!$A:$A,"&lt;"&amp;(A128+1),Revision_previa!$E:$E,"Falla")+COUNTIFS(Revision_previa!$B:$B,D128,Revision_previa!$A:$A,"&gt;="&amp;A128,Revision_previa!$A:$A,"&lt;"&amp;(A128+1),Revision_previa!$F:$F,"Falla")+COUNTIFS(Revision_previa!$B:$B,D128,Revision_previa!$A:$A,"&gt;="&amp;A128,Revision_previa!$A:$A,"&lt;"&amp;(A128+1),Revision_previa!$H:$H,"Encendido")&gt;0,"No apto","Apto")))</f>
        <v/>
      </c>
    </row>
    <row r="129" customFormat="false" ht="15" hidden="false" customHeight="false" outlineLevel="0" collapsed="false">
      <c r="A129" s="23"/>
      <c r="B129" s="9"/>
      <c r="C129" s="9"/>
      <c r="D129" s="9"/>
      <c r="E129" s="9" t="str">
        <f aca="false">IF(C129="","",IFERROR(INDEX(Conductores!$B:$B,MATCH(C129,Conductores!$A:$A,0)),"ID no encontrado"))</f>
        <v/>
      </c>
      <c r="F129" s="9" t="str">
        <f aca="false">IF(B129="","",IFERROR(INDEX(Rutas!$B:$B,MATCH(B129,Rutas!$A:$A,0)),"ID no encontrado"))</f>
        <v/>
      </c>
      <c r="G129" s="9" t="str">
        <f aca="false">IF(OR(B129="",C129="",D129=""),"",IF(OR(ISNA(MATCH(B129,Rutas!$A:$A,0)),ISNA(MATCH(C129,Conductores!$A:$A,0)),ISNA(MATCH(D129,Vehículos!$A:$A,0))),"REVISAR: ID no encontrado",IF(INDEX(Rutas!$C:$C,MATCH(B129,Rutas!$A:$A,0))&lt;&gt;INDEX(Vehículos!$B:$B,MATCH(D129,Vehículos!$A:$A,0)),"REVISAR: el vehículo no corresponde a la ruta",IF(INDEX(Rutas!$C:$C,MATCH(B129,Rutas!$A:$A,0))&lt;&gt;INDEX(Conductores!$D:$D,MATCH(C129,Conductores!$A:$A,0)),"REVISAR: el conductor no corresponde a la ruta",IF(OR(INDEX(Vehículos!$E:$E,MATCH(D129,Vehículos!$A:$A,0))="Taller",INDEX(Vehículos!$E:$E,MATCH(D129,Vehículos!$A:$A,0))="Fuera de servicio"),"REVISAR: vehículo no disponible",IF(INDEX(Conductores!$G:$G,MATCH(C129,Conductores!$A:$A,0))&lt;&gt;"Activo","REVISAR: conductor no activo",IF(COUNTIFS($A:$A,A129,$C:$C,C129)&gt;1,"REVISAR: conductor asignado dos veces",IF(COUNTIFS($A:$A,A129,$D:$D,D129)&gt;1,"REVISAR: vehículo asignado dos veces","OK"))))))))</f>
        <v/>
      </c>
      <c r="H129" s="9"/>
      <c r="I129" s="9"/>
      <c r="J129" s="14" t="str">
        <f aca="false">IF(OR(H129="",H129=0),"",I129/H129)</f>
        <v/>
      </c>
      <c r="K129" s="9"/>
      <c r="L129" s="9"/>
      <c r="M129" s="24"/>
      <c r="N129" s="9"/>
      <c r="O129" s="9" t="str">
        <f aca="false">IF(AND(OR(K129="En riesgo",K129="Atrasada"),L129=""),"Falta código de motivo",IF(AND(L129="OTR",N129=""),"Explica OTR en las notas",IF(AND(K129="Finalizada",I129&lt;H129,L129=""),"Falta código de motivo","")))</f>
        <v/>
      </c>
      <c r="P129" s="9" t="str">
        <f aca="false">IF(OR(D129="",A129=""),"",IF(COUNTIFS(Revision_previa!$B:$B,D129,Revision_previa!$A:$A,"&gt;="&amp;A129,Revision_previa!$A:$A,"&lt;"&amp;(A129+1))=0,"Sin revisión",IF(COUNTIFS(Revision_previa!$B:$B,D129,Revision_previa!$A:$A,"&gt;="&amp;A129,Revision_previa!$A:$A,"&lt;"&amp;(A129+1),Revision_previa!$D:$D,"Falla")+COUNTIFS(Revision_previa!$B:$B,D129,Revision_previa!$A:$A,"&gt;="&amp;A129,Revision_previa!$A:$A,"&lt;"&amp;(A129+1),Revision_previa!$E:$E,"Falla")+COUNTIFS(Revision_previa!$B:$B,D129,Revision_previa!$A:$A,"&gt;="&amp;A129,Revision_previa!$A:$A,"&lt;"&amp;(A129+1),Revision_previa!$F:$F,"Falla")+COUNTIFS(Revision_previa!$B:$B,D129,Revision_previa!$A:$A,"&gt;="&amp;A129,Revision_previa!$A:$A,"&lt;"&amp;(A129+1),Revision_previa!$H:$H,"Encendido")&gt;0,"No apto","Apto")))</f>
        <v/>
      </c>
    </row>
    <row r="130" customFormat="false" ht="15" hidden="false" customHeight="false" outlineLevel="0" collapsed="false">
      <c r="A130" s="23"/>
      <c r="B130" s="9"/>
      <c r="C130" s="9"/>
      <c r="D130" s="9"/>
      <c r="E130" s="9" t="str">
        <f aca="false">IF(C130="","",IFERROR(INDEX(Conductores!$B:$B,MATCH(C130,Conductores!$A:$A,0)),"ID no encontrado"))</f>
        <v/>
      </c>
      <c r="F130" s="9" t="str">
        <f aca="false">IF(B130="","",IFERROR(INDEX(Rutas!$B:$B,MATCH(B130,Rutas!$A:$A,0)),"ID no encontrado"))</f>
        <v/>
      </c>
      <c r="G130" s="9" t="str">
        <f aca="false">IF(OR(B130="",C130="",D130=""),"",IF(OR(ISNA(MATCH(B130,Rutas!$A:$A,0)),ISNA(MATCH(C130,Conductores!$A:$A,0)),ISNA(MATCH(D130,Vehículos!$A:$A,0))),"REVISAR: ID no encontrado",IF(INDEX(Rutas!$C:$C,MATCH(B130,Rutas!$A:$A,0))&lt;&gt;INDEX(Vehículos!$B:$B,MATCH(D130,Vehículos!$A:$A,0)),"REVISAR: el vehículo no corresponde a la ruta",IF(INDEX(Rutas!$C:$C,MATCH(B130,Rutas!$A:$A,0))&lt;&gt;INDEX(Conductores!$D:$D,MATCH(C130,Conductores!$A:$A,0)),"REVISAR: el conductor no corresponde a la ruta",IF(OR(INDEX(Vehículos!$E:$E,MATCH(D130,Vehículos!$A:$A,0))="Taller",INDEX(Vehículos!$E:$E,MATCH(D130,Vehículos!$A:$A,0))="Fuera de servicio"),"REVISAR: vehículo no disponible",IF(INDEX(Conductores!$G:$G,MATCH(C130,Conductores!$A:$A,0))&lt;&gt;"Activo","REVISAR: conductor no activo",IF(COUNTIFS($A:$A,A130,$C:$C,C130)&gt;1,"REVISAR: conductor asignado dos veces",IF(COUNTIFS($A:$A,A130,$D:$D,D130)&gt;1,"REVISAR: vehículo asignado dos veces","OK"))))))))</f>
        <v/>
      </c>
      <c r="H130" s="9"/>
      <c r="I130" s="9"/>
      <c r="J130" s="14" t="str">
        <f aca="false">IF(OR(H130="",H130=0),"",I130/H130)</f>
        <v/>
      </c>
      <c r="K130" s="9"/>
      <c r="L130" s="9"/>
      <c r="M130" s="24"/>
      <c r="N130" s="9"/>
      <c r="O130" s="9" t="str">
        <f aca="false">IF(AND(OR(K130="En riesgo",K130="Atrasada"),L130=""),"Falta código de motivo",IF(AND(L130="OTR",N130=""),"Explica OTR en las notas",IF(AND(K130="Finalizada",I130&lt;H130,L130=""),"Falta código de motivo","")))</f>
        <v/>
      </c>
      <c r="P130" s="9" t="str">
        <f aca="false">IF(OR(D130="",A130=""),"",IF(COUNTIFS(Revision_previa!$B:$B,D130,Revision_previa!$A:$A,"&gt;="&amp;A130,Revision_previa!$A:$A,"&lt;"&amp;(A130+1))=0,"Sin revisión",IF(COUNTIFS(Revision_previa!$B:$B,D130,Revision_previa!$A:$A,"&gt;="&amp;A130,Revision_previa!$A:$A,"&lt;"&amp;(A130+1),Revision_previa!$D:$D,"Falla")+COUNTIFS(Revision_previa!$B:$B,D130,Revision_previa!$A:$A,"&gt;="&amp;A130,Revision_previa!$A:$A,"&lt;"&amp;(A130+1),Revision_previa!$E:$E,"Falla")+COUNTIFS(Revision_previa!$B:$B,D130,Revision_previa!$A:$A,"&gt;="&amp;A130,Revision_previa!$A:$A,"&lt;"&amp;(A130+1),Revision_previa!$F:$F,"Falla")+COUNTIFS(Revision_previa!$B:$B,D130,Revision_previa!$A:$A,"&gt;="&amp;A130,Revision_previa!$A:$A,"&lt;"&amp;(A130+1),Revision_previa!$H:$H,"Encendido")&gt;0,"No apto","Apto")))</f>
        <v/>
      </c>
    </row>
    <row r="131" customFormat="false" ht="15" hidden="false" customHeight="false" outlineLevel="0" collapsed="false">
      <c r="A131" s="23"/>
      <c r="B131" s="9"/>
      <c r="C131" s="9"/>
      <c r="D131" s="9"/>
      <c r="E131" s="9" t="str">
        <f aca="false">IF(C131="","",IFERROR(INDEX(Conductores!$B:$B,MATCH(C131,Conductores!$A:$A,0)),"ID no encontrado"))</f>
        <v/>
      </c>
      <c r="F131" s="9" t="str">
        <f aca="false">IF(B131="","",IFERROR(INDEX(Rutas!$B:$B,MATCH(B131,Rutas!$A:$A,0)),"ID no encontrado"))</f>
        <v/>
      </c>
      <c r="G131" s="9" t="str">
        <f aca="false">IF(OR(B131="",C131="",D131=""),"",IF(OR(ISNA(MATCH(B131,Rutas!$A:$A,0)),ISNA(MATCH(C131,Conductores!$A:$A,0)),ISNA(MATCH(D131,Vehículos!$A:$A,0))),"REVISAR: ID no encontrado",IF(INDEX(Rutas!$C:$C,MATCH(B131,Rutas!$A:$A,0))&lt;&gt;INDEX(Vehículos!$B:$B,MATCH(D131,Vehículos!$A:$A,0)),"REVISAR: el vehículo no corresponde a la ruta",IF(INDEX(Rutas!$C:$C,MATCH(B131,Rutas!$A:$A,0))&lt;&gt;INDEX(Conductores!$D:$D,MATCH(C131,Conductores!$A:$A,0)),"REVISAR: el conductor no corresponde a la ruta",IF(OR(INDEX(Vehículos!$E:$E,MATCH(D131,Vehículos!$A:$A,0))="Taller",INDEX(Vehículos!$E:$E,MATCH(D131,Vehículos!$A:$A,0))="Fuera de servicio"),"REVISAR: vehículo no disponible",IF(INDEX(Conductores!$G:$G,MATCH(C131,Conductores!$A:$A,0))&lt;&gt;"Activo","REVISAR: conductor no activo",IF(COUNTIFS($A:$A,A131,$C:$C,C131)&gt;1,"REVISAR: conductor asignado dos veces",IF(COUNTIFS($A:$A,A131,$D:$D,D131)&gt;1,"REVISAR: vehículo asignado dos veces","OK"))))))))</f>
        <v/>
      </c>
      <c r="H131" s="9"/>
      <c r="I131" s="9"/>
      <c r="J131" s="14" t="str">
        <f aca="false">IF(OR(H131="",H131=0),"",I131/H131)</f>
        <v/>
      </c>
      <c r="K131" s="9"/>
      <c r="L131" s="9"/>
      <c r="M131" s="24"/>
      <c r="N131" s="9"/>
      <c r="O131" s="9" t="str">
        <f aca="false">IF(AND(OR(K131="En riesgo",K131="Atrasada"),L131=""),"Falta código de motivo",IF(AND(L131="OTR",N131=""),"Explica OTR en las notas",IF(AND(K131="Finalizada",I131&lt;H131,L131=""),"Falta código de motivo","")))</f>
        <v/>
      </c>
      <c r="P131" s="9" t="str">
        <f aca="false">IF(OR(D131="",A131=""),"",IF(COUNTIFS(Revision_previa!$B:$B,D131,Revision_previa!$A:$A,"&gt;="&amp;A131,Revision_previa!$A:$A,"&lt;"&amp;(A131+1))=0,"Sin revisión",IF(COUNTIFS(Revision_previa!$B:$B,D131,Revision_previa!$A:$A,"&gt;="&amp;A131,Revision_previa!$A:$A,"&lt;"&amp;(A131+1),Revision_previa!$D:$D,"Falla")+COUNTIFS(Revision_previa!$B:$B,D131,Revision_previa!$A:$A,"&gt;="&amp;A131,Revision_previa!$A:$A,"&lt;"&amp;(A131+1),Revision_previa!$E:$E,"Falla")+COUNTIFS(Revision_previa!$B:$B,D131,Revision_previa!$A:$A,"&gt;="&amp;A131,Revision_previa!$A:$A,"&lt;"&amp;(A131+1),Revision_previa!$F:$F,"Falla")+COUNTIFS(Revision_previa!$B:$B,D131,Revision_previa!$A:$A,"&gt;="&amp;A131,Revision_previa!$A:$A,"&lt;"&amp;(A131+1),Revision_previa!$H:$H,"Encendido")&gt;0,"No apto","Apto")))</f>
        <v/>
      </c>
    </row>
    <row r="132" customFormat="false" ht="15" hidden="false" customHeight="false" outlineLevel="0" collapsed="false">
      <c r="A132" s="23"/>
      <c r="B132" s="9"/>
      <c r="C132" s="9"/>
      <c r="D132" s="9"/>
      <c r="E132" s="9" t="str">
        <f aca="false">IF(C132="","",IFERROR(INDEX(Conductores!$B:$B,MATCH(C132,Conductores!$A:$A,0)),"ID no encontrado"))</f>
        <v/>
      </c>
      <c r="F132" s="9" t="str">
        <f aca="false">IF(B132="","",IFERROR(INDEX(Rutas!$B:$B,MATCH(B132,Rutas!$A:$A,0)),"ID no encontrado"))</f>
        <v/>
      </c>
      <c r="G132" s="9" t="str">
        <f aca="false">IF(OR(B132="",C132="",D132=""),"",IF(OR(ISNA(MATCH(B132,Rutas!$A:$A,0)),ISNA(MATCH(C132,Conductores!$A:$A,0)),ISNA(MATCH(D132,Vehículos!$A:$A,0))),"REVISAR: ID no encontrado",IF(INDEX(Rutas!$C:$C,MATCH(B132,Rutas!$A:$A,0))&lt;&gt;INDEX(Vehículos!$B:$B,MATCH(D132,Vehículos!$A:$A,0)),"REVISAR: el vehículo no corresponde a la ruta",IF(INDEX(Rutas!$C:$C,MATCH(B132,Rutas!$A:$A,0))&lt;&gt;INDEX(Conductores!$D:$D,MATCH(C132,Conductores!$A:$A,0)),"REVISAR: el conductor no corresponde a la ruta",IF(OR(INDEX(Vehículos!$E:$E,MATCH(D132,Vehículos!$A:$A,0))="Taller",INDEX(Vehículos!$E:$E,MATCH(D132,Vehículos!$A:$A,0))="Fuera de servicio"),"REVISAR: vehículo no disponible",IF(INDEX(Conductores!$G:$G,MATCH(C132,Conductores!$A:$A,0))&lt;&gt;"Activo","REVISAR: conductor no activo",IF(COUNTIFS($A:$A,A132,$C:$C,C132)&gt;1,"REVISAR: conductor asignado dos veces",IF(COUNTIFS($A:$A,A132,$D:$D,D132)&gt;1,"REVISAR: vehículo asignado dos veces","OK"))))))))</f>
        <v/>
      </c>
      <c r="H132" s="9"/>
      <c r="I132" s="9"/>
      <c r="J132" s="14" t="str">
        <f aca="false">IF(OR(H132="",H132=0),"",I132/H132)</f>
        <v/>
      </c>
      <c r="K132" s="9"/>
      <c r="L132" s="9"/>
      <c r="M132" s="24"/>
      <c r="N132" s="9"/>
      <c r="O132" s="9" t="str">
        <f aca="false">IF(AND(OR(K132="En riesgo",K132="Atrasada"),L132=""),"Falta código de motivo",IF(AND(L132="OTR",N132=""),"Explica OTR en las notas",IF(AND(K132="Finalizada",I132&lt;H132,L132=""),"Falta código de motivo","")))</f>
        <v/>
      </c>
      <c r="P132" s="9" t="str">
        <f aca="false">IF(OR(D132="",A132=""),"",IF(COUNTIFS(Revision_previa!$B:$B,D132,Revision_previa!$A:$A,"&gt;="&amp;A132,Revision_previa!$A:$A,"&lt;"&amp;(A132+1))=0,"Sin revisión",IF(COUNTIFS(Revision_previa!$B:$B,D132,Revision_previa!$A:$A,"&gt;="&amp;A132,Revision_previa!$A:$A,"&lt;"&amp;(A132+1),Revision_previa!$D:$D,"Falla")+COUNTIFS(Revision_previa!$B:$B,D132,Revision_previa!$A:$A,"&gt;="&amp;A132,Revision_previa!$A:$A,"&lt;"&amp;(A132+1),Revision_previa!$E:$E,"Falla")+COUNTIFS(Revision_previa!$B:$B,D132,Revision_previa!$A:$A,"&gt;="&amp;A132,Revision_previa!$A:$A,"&lt;"&amp;(A132+1),Revision_previa!$F:$F,"Falla")+COUNTIFS(Revision_previa!$B:$B,D132,Revision_previa!$A:$A,"&gt;="&amp;A132,Revision_previa!$A:$A,"&lt;"&amp;(A132+1),Revision_previa!$H:$H,"Encendido")&gt;0,"No apto","Apto")))</f>
        <v/>
      </c>
    </row>
    <row r="133" customFormat="false" ht="15" hidden="false" customHeight="false" outlineLevel="0" collapsed="false">
      <c r="A133" s="23"/>
      <c r="B133" s="9"/>
      <c r="C133" s="9"/>
      <c r="D133" s="9"/>
      <c r="E133" s="9" t="str">
        <f aca="false">IF(C133="","",IFERROR(INDEX(Conductores!$B:$B,MATCH(C133,Conductores!$A:$A,0)),"ID no encontrado"))</f>
        <v/>
      </c>
      <c r="F133" s="9" t="str">
        <f aca="false">IF(B133="","",IFERROR(INDEX(Rutas!$B:$B,MATCH(B133,Rutas!$A:$A,0)),"ID no encontrado"))</f>
        <v/>
      </c>
      <c r="G133" s="9" t="str">
        <f aca="false">IF(OR(B133="",C133="",D133=""),"",IF(OR(ISNA(MATCH(B133,Rutas!$A:$A,0)),ISNA(MATCH(C133,Conductores!$A:$A,0)),ISNA(MATCH(D133,Vehículos!$A:$A,0))),"REVISAR: ID no encontrado",IF(INDEX(Rutas!$C:$C,MATCH(B133,Rutas!$A:$A,0))&lt;&gt;INDEX(Vehículos!$B:$B,MATCH(D133,Vehículos!$A:$A,0)),"REVISAR: el vehículo no corresponde a la ruta",IF(INDEX(Rutas!$C:$C,MATCH(B133,Rutas!$A:$A,0))&lt;&gt;INDEX(Conductores!$D:$D,MATCH(C133,Conductores!$A:$A,0)),"REVISAR: el conductor no corresponde a la ruta",IF(OR(INDEX(Vehículos!$E:$E,MATCH(D133,Vehículos!$A:$A,0))="Taller",INDEX(Vehículos!$E:$E,MATCH(D133,Vehículos!$A:$A,0))="Fuera de servicio"),"REVISAR: vehículo no disponible",IF(INDEX(Conductores!$G:$G,MATCH(C133,Conductores!$A:$A,0))&lt;&gt;"Activo","REVISAR: conductor no activo",IF(COUNTIFS($A:$A,A133,$C:$C,C133)&gt;1,"REVISAR: conductor asignado dos veces",IF(COUNTIFS($A:$A,A133,$D:$D,D133)&gt;1,"REVISAR: vehículo asignado dos veces","OK"))))))))</f>
        <v/>
      </c>
      <c r="H133" s="9"/>
      <c r="I133" s="9"/>
      <c r="J133" s="14" t="str">
        <f aca="false">IF(OR(H133="",H133=0),"",I133/H133)</f>
        <v/>
      </c>
      <c r="K133" s="9"/>
      <c r="L133" s="9"/>
      <c r="M133" s="24"/>
      <c r="N133" s="9"/>
      <c r="O133" s="9" t="str">
        <f aca="false">IF(AND(OR(K133="En riesgo",K133="Atrasada"),L133=""),"Falta código de motivo",IF(AND(L133="OTR",N133=""),"Explica OTR en las notas",IF(AND(K133="Finalizada",I133&lt;H133,L133=""),"Falta código de motivo","")))</f>
        <v/>
      </c>
      <c r="P133" s="9" t="str">
        <f aca="false">IF(OR(D133="",A133=""),"",IF(COUNTIFS(Revision_previa!$B:$B,D133,Revision_previa!$A:$A,"&gt;="&amp;A133,Revision_previa!$A:$A,"&lt;"&amp;(A133+1))=0,"Sin revisión",IF(COUNTIFS(Revision_previa!$B:$B,D133,Revision_previa!$A:$A,"&gt;="&amp;A133,Revision_previa!$A:$A,"&lt;"&amp;(A133+1),Revision_previa!$D:$D,"Falla")+COUNTIFS(Revision_previa!$B:$B,D133,Revision_previa!$A:$A,"&gt;="&amp;A133,Revision_previa!$A:$A,"&lt;"&amp;(A133+1),Revision_previa!$E:$E,"Falla")+COUNTIFS(Revision_previa!$B:$B,D133,Revision_previa!$A:$A,"&gt;="&amp;A133,Revision_previa!$A:$A,"&lt;"&amp;(A133+1),Revision_previa!$F:$F,"Falla")+COUNTIFS(Revision_previa!$B:$B,D133,Revision_previa!$A:$A,"&gt;="&amp;A133,Revision_previa!$A:$A,"&lt;"&amp;(A133+1),Revision_previa!$H:$H,"Encendido")&gt;0,"No apto","Apto")))</f>
        <v/>
      </c>
    </row>
    <row r="134" customFormat="false" ht="15" hidden="false" customHeight="false" outlineLevel="0" collapsed="false">
      <c r="A134" s="23"/>
      <c r="B134" s="9"/>
      <c r="C134" s="9"/>
      <c r="D134" s="9"/>
      <c r="E134" s="9" t="str">
        <f aca="false">IF(C134="","",IFERROR(INDEX(Conductores!$B:$B,MATCH(C134,Conductores!$A:$A,0)),"ID no encontrado"))</f>
        <v/>
      </c>
      <c r="F134" s="9" t="str">
        <f aca="false">IF(B134="","",IFERROR(INDEX(Rutas!$B:$B,MATCH(B134,Rutas!$A:$A,0)),"ID no encontrado"))</f>
        <v/>
      </c>
      <c r="G134" s="9" t="str">
        <f aca="false">IF(OR(B134="",C134="",D134=""),"",IF(OR(ISNA(MATCH(B134,Rutas!$A:$A,0)),ISNA(MATCH(C134,Conductores!$A:$A,0)),ISNA(MATCH(D134,Vehículos!$A:$A,0))),"REVISAR: ID no encontrado",IF(INDEX(Rutas!$C:$C,MATCH(B134,Rutas!$A:$A,0))&lt;&gt;INDEX(Vehículos!$B:$B,MATCH(D134,Vehículos!$A:$A,0)),"REVISAR: el vehículo no corresponde a la ruta",IF(INDEX(Rutas!$C:$C,MATCH(B134,Rutas!$A:$A,0))&lt;&gt;INDEX(Conductores!$D:$D,MATCH(C134,Conductores!$A:$A,0)),"REVISAR: el conductor no corresponde a la ruta",IF(OR(INDEX(Vehículos!$E:$E,MATCH(D134,Vehículos!$A:$A,0))="Taller",INDEX(Vehículos!$E:$E,MATCH(D134,Vehículos!$A:$A,0))="Fuera de servicio"),"REVISAR: vehículo no disponible",IF(INDEX(Conductores!$G:$G,MATCH(C134,Conductores!$A:$A,0))&lt;&gt;"Activo","REVISAR: conductor no activo",IF(COUNTIFS($A:$A,A134,$C:$C,C134)&gt;1,"REVISAR: conductor asignado dos veces",IF(COUNTIFS($A:$A,A134,$D:$D,D134)&gt;1,"REVISAR: vehículo asignado dos veces","OK"))))))))</f>
        <v/>
      </c>
      <c r="H134" s="9"/>
      <c r="I134" s="9"/>
      <c r="J134" s="14" t="str">
        <f aca="false">IF(OR(H134="",H134=0),"",I134/H134)</f>
        <v/>
      </c>
      <c r="K134" s="9"/>
      <c r="L134" s="9"/>
      <c r="M134" s="24"/>
      <c r="N134" s="9"/>
      <c r="O134" s="9" t="str">
        <f aca="false">IF(AND(OR(K134="En riesgo",K134="Atrasada"),L134=""),"Falta código de motivo",IF(AND(L134="OTR",N134=""),"Explica OTR en las notas",IF(AND(K134="Finalizada",I134&lt;H134,L134=""),"Falta código de motivo","")))</f>
        <v/>
      </c>
      <c r="P134" s="9" t="str">
        <f aca="false">IF(OR(D134="",A134=""),"",IF(COUNTIFS(Revision_previa!$B:$B,D134,Revision_previa!$A:$A,"&gt;="&amp;A134,Revision_previa!$A:$A,"&lt;"&amp;(A134+1))=0,"Sin revisión",IF(COUNTIFS(Revision_previa!$B:$B,D134,Revision_previa!$A:$A,"&gt;="&amp;A134,Revision_previa!$A:$A,"&lt;"&amp;(A134+1),Revision_previa!$D:$D,"Falla")+COUNTIFS(Revision_previa!$B:$B,D134,Revision_previa!$A:$A,"&gt;="&amp;A134,Revision_previa!$A:$A,"&lt;"&amp;(A134+1),Revision_previa!$E:$E,"Falla")+COUNTIFS(Revision_previa!$B:$B,D134,Revision_previa!$A:$A,"&gt;="&amp;A134,Revision_previa!$A:$A,"&lt;"&amp;(A134+1),Revision_previa!$F:$F,"Falla")+COUNTIFS(Revision_previa!$B:$B,D134,Revision_previa!$A:$A,"&gt;="&amp;A134,Revision_previa!$A:$A,"&lt;"&amp;(A134+1),Revision_previa!$H:$H,"Encendido")&gt;0,"No apto","Apto")))</f>
        <v/>
      </c>
    </row>
    <row r="135" customFormat="false" ht="15" hidden="false" customHeight="false" outlineLevel="0" collapsed="false">
      <c r="A135" s="23"/>
      <c r="B135" s="9"/>
      <c r="C135" s="9"/>
      <c r="D135" s="9"/>
      <c r="E135" s="9" t="str">
        <f aca="false">IF(C135="","",IFERROR(INDEX(Conductores!$B:$B,MATCH(C135,Conductores!$A:$A,0)),"ID no encontrado"))</f>
        <v/>
      </c>
      <c r="F135" s="9" t="str">
        <f aca="false">IF(B135="","",IFERROR(INDEX(Rutas!$B:$B,MATCH(B135,Rutas!$A:$A,0)),"ID no encontrado"))</f>
        <v/>
      </c>
      <c r="G135" s="9" t="str">
        <f aca="false">IF(OR(B135="",C135="",D135=""),"",IF(OR(ISNA(MATCH(B135,Rutas!$A:$A,0)),ISNA(MATCH(C135,Conductores!$A:$A,0)),ISNA(MATCH(D135,Vehículos!$A:$A,0))),"REVISAR: ID no encontrado",IF(INDEX(Rutas!$C:$C,MATCH(B135,Rutas!$A:$A,0))&lt;&gt;INDEX(Vehículos!$B:$B,MATCH(D135,Vehículos!$A:$A,0)),"REVISAR: el vehículo no corresponde a la ruta",IF(INDEX(Rutas!$C:$C,MATCH(B135,Rutas!$A:$A,0))&lt;&gt;INDEX(Conductores!$D:$D,MATCH(C135,Conductores!$A:$A,0)),"REVISAR: el conductor no corresponde a la ruta",IF(OR(INDEX(Vehículos!$E:$E,MATCH(D135,Vehículos!$A:$A,0))="Taller",INDEX(Vehículos!$E:$E,MATCH(D135,Vehículos!$A:$A,0))="Fuera de servicio"),"REVISAR: vehículo no disponible",IF(INDEX(Conductores!$G:$G,MATCH(C135,Conductores!$A:$A,0))&lt;&gt;"Activo","REVISAR: conductor no activo",IF(COUNTIFS($A:$A,A135,$C:$C,C135)&gt;1,"REVISAR: conductor asignado dos veces",IF(COUNTIFS($A:$A,A135,$D:$D,D135)&gt;1,"REVISAR: vehículo asignado dos veces","OK"))))))))</f>
        <v/>
      </c>
      <c r="H135" s="9"/>
      <c r="I135" s="9"/>
      <c r="J135" s="14" t="str">
        <f aca="false">IF(OR(H135="",H135=0),"",I135/H135)</f>
        <v/>
      </c>
      <c r="K135" s="9"/>
      <c r="L135" s="9"/>
      <c r="M135" s="24"/>
      <c r="N135" s="9"/>
      <c r="O135" s="9" t="str">
        <f aca="false">IF(AND(OR(K135="En riesgo",K135="Atrasada"),L135=""),"Falta código de motivo",IF(AND(L135="OTR",N135=""),"Explica OTR en las notas",IF(AND(K135="Finalizada",I135&lt;H135,L135=""),"Falta código de motivo","")))</f>
        <v/>
      </c>
      <c r="P135" s="9" t="str">
        <f aca="false">IF(OR(D135="",A135=""),"",IF(COUNTIFS(Revision_previa!$B:$B,D135,Revision_previa!$A:$A,"&gt;="&amp;A135,Revision_previa!$A:$A,"&lt;"&amp;(A135+1))=0,"Sin revisión",IF(COUNTIFS(Revision_previa!$B:$B,D135,Revision_previa!$A:$A,"&gt;="&amp;A135,Revision_previa!$A:$A,"&lt;"&amp;(A135+1),Revision_previa!$D:$D,"Falla")+COUNTIFS(Revision_previa!$B:$B,D135,Revision_previa!$A:$A,"&gt;="&amp;A135,Revision_previa!$A:$A,"&lt;"&amp;(A135+1),Revision_previa!$E:$E,"Falla")+COUNTIFS(Revision_previa!$B:$B,D135,Revision_previa!$A:$A,"&gt;="&amp;A135,Revision_previa!$A:$A,"&lt;"&amp;(A135+1),Revision_previa!$F:$F,"Falla")+COUNTIFS(Revision_previa!$B:$B,D135,Revision_previa!$A:$A,"&gt;="&amp;A135,Revision_previa!$A:$A,"&lt;"&amp;(A135+1),Revision_previa!$H:$H,"Encendido")&gt;0,"No apto","Apto")))</f>
        <v/>
      </c>
    </row>
    <row r="136" customFormat="false" ht="15" hidden="false" customHeight="false" outlineLevel="0" collapsed="false">
      <c r="A136" s="23"/>
      <c r="B136" s="9"/>
      <c r="C136" s="9"/>
      <c r="D136" s="9"/>
      <c r="E136" s="9" t="str">
        <f aca="false">IF(C136="","",IFERROR(INDEX(Conductores!$B:$B,MATCH(C136,Conductores!$A:$A,0)),"ID no encontrado"))</f>
        <v/>
      </c>
      <c r="F136" s="9" t="str">
        <f aca="false">IF(B136="","",IFERROR(INDEX(Rutas!$B:$B,MATCH(B136,Rutas!$A:$A,0)),"ID no encontrado"))</f>
        <v/>
      </c>
      <c r="G136" s="9" t="str">
        <f aca="false">IF(OR(B136="",C136="",D136=""),"",IF(OR(ISNA(MATCH(B136,Rutas!$A:$A,0)),ISNA(MATCH(C136,Conductores!$A:$A,0)),ISNA(MATCH(D136,Vehículos!$A:$A,0))),"REVISAR: ID no encontrado",IF(INDEX(Rutas!$C:$C,MATCH(B136,Rutas!$A:$A,0))&lt;&gt;INDEX(Vehículos!$B:$B,MATCH(D136,Vehículos!$A:$A,0)),"REVISAR: el vehículo no corresponde a la ruta",IF(INDEX(Rutas!$C:$C,MATCH(B136,Rutas!$A:$A,0))&lt;&gt;INDEX(Conductores!$D:$D,MATCH(C136,Conductores!$A:$A,0)),"REVISAR: el conductor no corresponde a la ruta",IF(OR(INDEX(Vehículos!$E:$E,MATCH(D136,Vehículos!$A:$A,0))="Taller",INDEX(Vehículos!$E:$E,MATCH(D136,Vehículos!$A:$A,0))="Fuera de servicio"),"REVISAR: vehículo no disponible",IF(INDEX(Conductores!$G:$G,MATCH(C136,Conductores!$A:$A,0))&lt;&gt;"Activo","REVISAR: conductor no activo",IF(COUNTIFS($A:$A,A136,$C:$C,C136)&gt;1,"REVISAR: conductor asignado dos veces",IF(COUNTIFS($A:$A,A136,$D:$D,D136)&gt;1,"REVISAR: vehículo asignado dos veces","OK"))))))))</f>
        <v/>
      </c>
      <c r="H136" s="9"/>
      <c r="I136" s="9"/>
      <c r="J136" s="14" t="str">
        <f aca="false">IF(OR(H136="",H136=0),"",I136/H136)</f>
        <v/>
      </c>
      <c r="K136" s="9"/>
      <c r="L136" s="9"/>
      <c r="M136" s="24"/>
      <c r="N136" s="9"/>
      <c r="O136" s="9" t="str">
        <f aca="false">IF(AND(OR(K136="En riesgo",K136="Atrasada"),L136=""),"Falta código de motivo",IF(AND(L136="OTR",N136=""),"Explica OTR en las notas",IF(AND(K136="Finalizada",I136&lt;H136,L136=""),"Falta código de motivo","")))</f>
        <v/>
      </c>
      <c r="P136" s="9" t="str">
        <f aca="false">IF(OR(D136="",A136=""),"",IF(COUNTIFS(Revision_previa!$B:$B,D136,Revision_previa!$A:$A,"&gt;="&amp;A136,Revision_previa!$A:$A,"&lt;"&amp;(A136+1))=0,"Sin revisión",IF(COUNTIFS(Revision_previa!$B:$B,D136,Revision_previa!$A:$A,"&gt;="&amp;A136,Revision_previa!$A:$A,"&lt;"&amp;(A136+1),Revision_previa!$D:$D,"Falla")+COUNTIFS(Revision_previa!$B:$B,D136,Revision_previa!$A:$A,"&gt;="&amp;A136,Revision_previa!$A:$A,"&lt;"&amp;(A136+1),Revision_previa!$E:$E,"Falla")+COUNTIFS(Revision_previa!$B:$B,D136,Revision_previa!$A:$A,"&gt;="&amp;A136,Revision_previa!$A:$A,"&lt;"&amp;(A136+1),Revision_previa!$F:$F,"Falla")+COUNTIFS(Revision_previa!$B:$B,D136,Revision_previa!$A:$A,"&gt;="&amp;A136,Revision_previa!$A:$A,"&lt;"&amp;(A136+1),Revision_previa!$H:$H,"Encendido")&gt;0,"No apto","Apto")))</f>
        <v/>
      </c>
    </row>
    <row r="137" customFormat="false" ht="15" hidden="false" customHeight="false" outlineLevel="0" collapsed="false">
      <c r="A137" s="23"/>
      <c r="B137" s="9"/>
      <c r="C137" s="9"/>
      <c r="D137" s="9"/>
      <c r="E137" s="9" t="str">
        <f aca="false">IF(C137="","",IFERROR(INDEX(Conductores!$B:$B,MATCH(C137,Conductores!$A:$A,0)),"ID no encontrado"))</f>
        <v/>
      </c>
      <c r="F137" s="9" t="str">
        <f aca="false">IF(B137="","",IFERROR(INDEX(Rutas!$B:$B,MATCH(B137,Rutas!$A:$A,0)),"ID no encontrado"))</f>
        <v/>
      </c>
      <c r="G137" s="9" t="str">
        <f aca="false">IF(OR(B137="",C137="",D137=""),"",IF(OR(ISNA(MATCH(B137,Rutas!$A:$A,0)),ISNA(MATCH(C137,Conductores!$A:$A,0)),ISNA(MATCH(D137,Vehículos!$A:$A,0))),"REVISAR: ID no encontrado",IF(INDEX(Rutas!$C:$C,MATCH(B137,Rutas!$A:$A,0))&lt;&gt;INDEX(Vehículos!$B:$B,MATCH(D137,Vehículos!$A:$A,0)),"REVISAR: el vehículo no corresponde a la ruta",IF(INDEX(Rutas!$C:$C,MATCH(B137,Rutas!$A:$A,0))&lt;&gt;INDEX(Conductores!$D:$D,MATCH(C137,Conductores!$A:$A,0)),"REVISAR: el conductor no corresponde a la ruta",IF(OR(INDEX(Vehículos!$E:$E,MATCH(D137,Vehículos!$A:$A,0))="Taller",INDEX(Vehículos!$E:$E,MATCH(D137,Vehículos!$A:$A,0))="Fuera de servicio"),"REVISAR: vehículo no disponible",IF(INDEX(Conductores!$G:$G,MATCH(C137,Conductores!$A:$A,0))&lt;&gt;"Activo","REVISAR: conductor no activo",IF(COUNTIFS($A:$A,A137,$C:$C,C137)&gt;1,"REVISAR: conductor asignado dos veces",IF(COUNTIFS($A:$A,A137,$D:$D,D137)&gt;1,"REVISAR: vehículo asignado dos veces","OK"))))))))</f>
        <v/>
      </c>
      <c r="H137" s="9"/>
      <c r="I137" s="9"/>
      <c r="J137" s="14" t="str">
        <f aca="false">IF(OR(H137="",H137=0),"",I137/H137)</f>
        <v/>
      </c>
      <c r="K137" s="9"/>
      <c r="L137" s="9"/>
      <c r="M137" s="24"/>
      <c r="N137" s="9"/>
      <c r="O137" s="9" t="str">
        <f aca="false">IF(AND(OR(K137="En riesgo",K137="Atrasada"),L137=""),"Falta código de motivo",IF(AND(L137="OTR",N137=""),"Explica OTR en las notas",IF(AND(K137="Finalizada",I137&lt;H137,L137=""),"Falta código de motivo","")))</f>
        <v/>
      </c>
      <c r="P137" s="9" t="str">
        <f aca="false">IF(OR(D137="",A137=""),"",IF(COUNTIFS(Revision_previa!$B:$B,D137,Revision_previa!$A:$A,"&gt;="&amp;A137,Revision_previa!$A:$A,"&lt;"&amp;(A137+1))=0,"Sin revisión",IF(COUNTIFS(Revision_previa!$B:$B,D137,Revision_previa!$A:$A,"&gt;="&amp;A137,Revision_previa!$A:$A,"&lt;"&amp;(A137+1),Revision_previa!$D:$D,"Falla")+COUNTIFS(Revision_previa!$B:$B,D137,Revision_previa!$A:$A,"&gt;="&amp;A137,Revision_previa!$A:$A,"&lt;"&amp;(A137+1),Revision_previa!$E:$E,"Falla")+COUNTIFS(Revision_previa!$B:$B,D137,Revision_previa!$A:$A,"&gt;="&amp;A137,Revision_previa!$A:$A,"&lt;"&amp;(A137+1),Revision_previa!$F:$F,"Falla")+COUNTIFS(Revision_previa!$B:$B,D137,Revision_previa!$A:$A,"&gt;="&amp;A137,Revision_previa!$A:$A,"&lt;"&amp;(A137+1),Revision_previa!$H:$H,"Encendido")&gt;0,"No apto","Apto")))</f>
        <v/>
      </c>
    </row>
    <row r="138" customFormat="false" ht="15" hidden="false" customHeight="false" outlineLevel="0" collapsed="false">
      <c r="A138" s="23"/>
      <c r="B138" s="9"/>
      <c r="C138" s="9"/>
      <c r="D138" s="9"/>
      <c r="E138" s="9" t="str">
        <f aca="false">IF(C138="","",IFERROR(INDEX(Conductores!$B:$B,MATCH(C138,Conductores!$A:$A,0)),"ID no encontrado"))</f>
        <v/>
      </c>
      <c r="F138" s="9" t="str">
        <f aca="false">IF(B138="","",IFERROR(INDEX(Rutas!$B:$B,MATCH(B138,Rutas!$A:$A,0)),"ID no encontrado"))</f>
        <v/>
      </c>
      <c r="G138" s="9" t="str">
        <f aca="false">IF(OR(B138="",C138="",D138=""),"",IF(OR(ISNA(MATCH(B138,Rutas!$A:$A,0)),ISNA(MATCH(C138,Conductores!$A:$A,0)),ISNA(MATCH(D138,Vehículos!$A:$A,0))),"REVISAR: ID no encontrado",IF(INDEX(Rutas!$C:$C,MATCH(B138,Rutas!$A:$A,0))&lt;&gt;INDEX(Vehículos!$B:$B,MATCH(D138,Vehículos!$A:$A,0)),"REVISAR: el vehículo no corresponde a la ruta",IF(INDEX(Rutas!$C:$C,MATCH(B138,Rutas!$A:$A,0))&lt;&gt;INDEX(Conductores!$D:$D,MATCH(C138,Conductores!$A:$A,0)),"REVISAR: el conductor no corresponde a la ruta",IF(OR(INDEX(Vehículos!$E:$E,MATCH(D138,Vehículos!$A:$A,0))="Taller",INDEX(Vehículos!$E:$E,MATCH(D138,Vehículos!$A:$A,0))="Fuera de servicio"),"REVISAR: vehículo no disponible",IF(INDEX(Conductores!$G:$G,MATCH(C138,Conductores!$A:$A,0))&lt;&gt;"Activo","REVISAR: conductor no activo",IF(COUNTIFS($A:$A,A138,$C:$C,C138)&gt;1,"REVISAR: conductor asignado dos veces",IF(COUNTIFS($A:$A,A138,$D:$D,D138)&gt;1,"REVISAR: vehículo asignado dos veces","OK"))))))))</f>
        <v/>
      </c>
      <c r="H138" s="9"/>
      <c r="I138" s="9"/>
      <c r="J138" s="14" t="str">
        <f aca="false">IF(OR(H138="",H138=0),"",I138/H138)</f>
        <v/>
      </c>
      <c r="K138" s="9"/>
      <c r="L138" s="9"/>
      <c r="M138" s="24"/>
      <c r="N138" s="9"/>
      <c r="O138" s="9" t="str">
        <f aca="false">IF(AND(OR(K138="En riesgo",K138="Atrasada"),L138=""),"Falta código de motivo",IF(AND(L138="OTR",N138=""),"Explica OTR en las notas",IF(AND(K138="Finalizada",I138&lt;H138,L138=""),"Falta código de motivo","")))</f>
        <v/>
      </c>
      <c r="P138" s="9" t="str">
        <f aca="false">IF(OR(D138="",A138=""),"",IF(COUNTIFS(Revision_previa!$B:$B,D138,Revision_previa!$A:$A,"&gt;="&amp;A138,Revision_previa!$A:$A,"&lt;"&amp;(A138+1))=0,"Sin revisión",IF(COUNTIFS(Revision_previa!$B:$B,D138,Revision_previa!$A:$A,"&gt;="&amp;A138,Revision_previa!$A:$A,"&lt;"&amp;(A138+1),Revision_previa!$D:$D,"Falla")+COUNTIFS(Revision_previa!$B:$B,D138,Revision_previa!$A:$A,"&gt;="&amp;A138,Revision_previa!$A:$A,"&lt;"&amp;(A138+1),Revision_previa!$E:$E,"Falla")+COUNTIFS(Revision_previa!$B:$B,D138,Revision_previa!$A:$A,"&gt;="&amp;A138,Revision_previa!$A:$A,"&lt;"&amp;(A138+1),Revision_previa!$F:$F,"Falla")+COUNTIFS(Revision_previa!$B:$B,D138,Revision_previa!$A:$A,"&gt;="&amp;A138,Revision_previa!$A:$A,"&lt;"&amp;(A138+1),Revision_previa!$H:$H,"Encendido")&gt;0,"No apto","Apto")))</f>
        <v/>
      </c>
    </row>
    <row r="139" customFormat="false" ht="15" hidden="false" customHeight="false" outlineLevel="0" collapsed="false">
      <c r="A139" s="23"/>
      <c r="B139" s="9"/>
      <c r="C139" s="9"/>
      <c r="D139" s="9"/>
      <c r="E139" s="9" t="str">
        <f aca="false">IF(C139="","",IFERROR(INDEX(Conductores!$B:$B,MATCH(C139,Conductores!$A:$A,0)),"ID no encontrado"))</f>
        <v/>
      </c>
      <c r="F139" s="9" t="str">
        <f aca="false">IF(B139="","",IFERROR(INDEX(Rutas!$B:$B,MATCH(B139,Rutas!$A:$A,0)),"ID no encontrado"))</f>
        <v/>
      </c>
      <c r="G139" s="9" t="str">
        <f aca="false">IF(OR(B139="",C139="",D139=""),"",IF(OR(ISNA(MATCH(B139,Rutas!$A:$A,0)),ISNA(MATCH(C139,Conductores!$A:$A,0)),ISNA(MATCH(D139,Vehículos!$A:$A,0))),"REVISAR: ID no encontrado",IF(INDEX(Rutas!$C:$C,MATCH(B139,Rutas!$A:$A,0))&lt;&gt;INDEX(Vehículos!$B:$B,MATCH(D139,Vehículos!$A:$A,0)),"REVISAR: el vehículo no corresponde a la ruta",IF(INDEX(Rutas!$C:$C,MATCH(B139,Rutas!$A:$A,0))&lt;&gt;INDEX(Conductores!$D:$D,MATCH(C139,Conductores!$A:$A,0)),"REVISAR: el conductor no corresponde a la ruta",IF(OR(INDEX(Vehículos!$E:$E,MATCH(D139,Vehículos!$A:$A,0))="Taller",INDEX(Vehículos!$E:$E,MATCH(D139,Vehículos!$A:$A,0))="Fuera de servicio"),"REVISAR: vehículo no disponible",IF(INDEX(Conductores!$G:$G,MATCH(C139,Conductores!$A:$A,0))&lt;&gt;"Activo","REVISAR: conductor no activo",IF(COUNTIFS($A:$A,A139,$C:$C,C139)&gt;1,"REVISAR: conductor asignado dos veces",IF(COUNTIFS($A:$A,A139,$D:$D,D139)&gt;1,"REVISAR: vehículo asignado dos veces","OK"))))))))</f>
        <v/>
      </c>
      <c r="H139" s="9"/>
      <c r="I139" s="9"/>
      <c r="J139" s="14" t="str">
        <f aca="false">IF(OR(H139="",H139=0),"",I139/H139)</f>
        <v/>
      </c>
      <c r="K139" s="9"/>
      <c r="L139" s="9"/>
      <c r="M139" s="24"/>
      <c r="N139" s="9"/>
      <c r="O139" s="9" t="str">
        <f aca="false">IF(AND(OR(K139="En riesgo",K139="Atrasada"),L139=""),"Falta código de motivo",IF(AND(L139="OTR",N139=""),"Explica OTR en las notas",IF(AND(K139="Finalizada",I139&lt;H139,L139=""),"Falta código de motivo","")))</f>
        <v/>
      </c>
      <c r="P139" s="9" t="str">
        <f aca="false">IF(OR(D139="",A139=""),"",IF(COUNTIFS(Revision_previa!$B:$B,D139,Revision_previa!$A:$A,"&gt;="&amp;A139,Revision_previa!$A:$A,"&lt;"&amp;(A139+1))=0,"Sin revisión",IF(COUNTIFS(Revision_previa!$B:$B,D139,Revision_previa!$A:$A,"&gt;="&amp;A139,Revision_previa!$A:$A,"&lt;"&amp;(A139+1),Revision_previa!$D:$D,"Falla")+COUNTIFS(Revision_previa!$B:$B,D139,Revision_previa!$A:$A,"&gt;="&amp;A139,Revision_previa!$A:$A,"&lt;"&amp;(A139+1),Revision_previa!$E:$E,"Falla")+COUNTIFS(Revision_previa!$B:$B,D139,Revision_previa!$A:$A,"&gt;="&amp;A139,Revision_previa!$A:$A,"&lt;"&amp;(A139+1),Revision_previa!$F:$F,"Falla")+COUNTIFS(Revision_previa!$B:$B,D139,Revision_previa!$A:$A,"&gt;="&amp;A139,Revision_previa!$A:$A,"&lt;"&amp;(A139+1),Revision_previa!$H:$H,"Encendido")&gt;0,"No apto","Apto")))</f>
        <v/>
      </c>
    </row>
    <row r="140" customFormat="false" ht="15" hidden="false" customHeight="false" outlineLevel="0" collapsed="false">
      <c r="A140" s="23"/>
      <c r="B140" s="9"/>
      <c r="C140" s="9"/>
      <c r="D140" s="9"/>
      <c r="E140" s="9" t="str">
        <f aca="false">IF(C140="","",IFERROR(INDEX(Conductores!$B:$B,MATCH(C140,Conductores!$A:$A,0)),"ID no encontrado"))</f>
        <v/>
      </c>
      <c r="F140" s="9" t="str">
        <f aca="false">IF(B140="","",IFERROR(INDEX(Rutas!$B:$B,MATCH(B140,Rutas!$A:$A,0)),"ID no encontrado"))</f>
        <v/>
      </c>
      <c r="G140" s="9" t="str">
        <f aca="false">IF(OR(B140="",C140="",D140=""),"",IF(OR(ISNA(MATCH(B140,Rutas!$A:$A,0)),ISNA(MATCH(C140,Conductores!$A:$A,0)),ISNA(MATCH(D140,Vehículos!$A:$A,0))),"REVISAR: ID no encontrado",IF(INDEX(Rutas!$C:$C,MATCH(B140,Rutas!$A:$A,0))&lt;&gt;INDEX(Vehículos!$B:$B,MATCH(D140,Vehículos!$A:$A,0)),"REVISAR: el vehículo no corresponde a la ruta",IF(INDEX(Rutas!$C:$C,MATCH(B140,Rutas!$A:$A,0))&lt;&gt;INDEX(Conductores!$D:$D,MATCH(C140,Conductores!$A:$A,0)),"REVISAR: el conductor no corresponde a la ruta",IF(OR(INDEX(Vehículos!$E:$E,MATCH(D140,Vehículos!$A:$A,0))="Taller",INDEX(Vehículos!$E:$E,MATCH(D140,Vehículos!$A:$A,0))="Fuera de servicio"),"REVISAR: vehículo no disponible",IF(INDEX(Conductores!$G:$G,MATCH(C140,Conductores!$A:$A,0))&lt;&gt;"Activo","REVISAR: conductor no activo",IF(COUNTIFS($A:$A,A140,$C:$C,C140)&gt;1,"REVISAR: conductor asignado dos veces",IF(COUNTIFS($A:$A,A140,$D:$D,D140)&gt;1,"REVISAR: vehículo asignado dos veces","OK"))))))))</f>
        <v/>
      </c>
      <c r="H140" s="9"/>
      <c r="I140" s="9"/>
      <c r="J140" s="14" t="str">
        <f aca="false">IF(OR(H140="",H140=0),"",I140/H140)</f>
        <v/>
      </c>
      <c r="K140" s="9"/>
      <c r="L140" s="9"/>
      <c r="M140" s="24"/>
      <c r="N140" s="9"/>
      <c r="O140" s="9" t="str">
        <f aca="false">IF(AND(OR(K140="En riesgo",K140="Atrasada"),L140=""),"Falta código de motivo",IF(AND(L140="OTR",N140=""),"Explica OTR en las notas",IF(AND(K140="Finalizada",I140&lt;H140,L140=""),"Falta código de motivo","")))</f>
        <v/>
      </c>
      <c r="P140" s="9" t="str">
        <f aca="false">IF(OR(D140="",A140=""),"",IF(COUNTIFS(Revision_previa!$B:$B,D140,Revision_previa!$A:$A,"&gt;="&amp;A140,Revision_previa!$A:$A,"&lt;"&amp;(A140+1))=0,"Sin revisión",IF(COUNTIFS(Revision_previa!$B:$B,D140,Revision_previa!$A:$A,"&gt;="&amp;A140,Revision_previa!$A:$A,"&lt;"&amp;(A140+1),Revision_previa!$D:$D,"Falla")+COUNTIFS(Revision_previa!$B:$B,D140,Revision_previa!$A:$A,"&gt;="&amp;A140,Revision_previa!$A:$A,"&lt;"&amp;(A140+1),Revision_previa!$E:$E,"Falla")+COUNTIFS(Revision_previa!$B:$B,D140,Revision_previa!$A:$A,"&gt;="&amp;A140,Revision_previa!$A:$A,"&lt;"&amp;(A140+1),Revision_previa!$F:$F,"Falla")+COUNTIFS(Revision_previa!$B:$B,D140,Revision_previa!$A:$A,"&gt;="&amp;A140,Revision_previa!$A:$A,"&lt;"&amp;(A140+1),Revision_previa!$H:$H,"Encendido")&gt;0,"No apto","Apto")))</f>
        <v/>
      </c>
    </row>
    <row r="141" customFormat="false" ht="15" hidden="false" customHeight="false" outlineLevel="0" collapsed="false">
      <c r="A141" s="23"/>
      <c r="B141" s="9"/>
      <c r="C141" s="9"/>
      <c r="D141" s="9"/>
      <c r="E141" s="9" t="str">
        <f aca="false">IF(C141="","",IFERROR(INDEX(Conductores!$B:$B,MATCH(C141,Conductores!$A:$A,0)),"ID no encontrado"))</f>
        <v/>
      </c>
      <c r="F141" s="9" t="str">
        <f aca="false">IF(B141="","",IFERROR(INDEX(Rutas!$B:$B,MATCH(B141,Rutas!$A:$A,0)),"ID no encontrado"))</f>
        <v/>
      </c>
      <c r="G141" s="9" t="str">
        <f aca="false">IF(OR(B141="",C141="",D141=""),"",IF(OR(ISNA(MATCH(B141,Rutas!$A:$A,0)),ISNA(MATCH(C141,Conductores!$A:$A,0)),ISNA(MATCH(D141,Vehículos!$A:$A,0))),"REVISAR: ID no encontrado",IF(INDEX(Rutas!$C:$C,MATCH(B141,Rutas!$A:$A,0))&lt;&gt;INDEX(Vehículos!$B:$B,MATCH(D141,Vehículos!$A:$A,0)),"REVISAR: el vehículo no corresponde a la ruta",IF(INDEX(Rutas!$C:$C,MATCH(B141,Rutas!$A:$A,0))&lt;&gt;INDEX(Conductores!$D:$D,MATCH(C141,Conductores!$A:$A,0)),"REVISAR: el conductor no corresponde a la ruta",IF(OR(INDEX(Vehículos!$E:$E,MATCH(D141,Vehículos!$A:$A,0))="Taller",INDEX(Vehículos!$E:$E,MATCH(D141,Vehículos!$A:$A,0))="Fuera de servicio"),"REVISAR: vehículo no disponible",IF(INDEX(Conductores!$G:$G,MATCH(C141,Conductores!$A:$A,0))&lt;&gt;"Activo","REVISAR: conductor no activo",IF(COUNTIFS($A:$A,A141,$C:$C,C141)&gt;1,"REVISAR: conductor asignado dos veces",IF(COUNTIFS($A:$A,A141,$D:$D,D141)&gt;1,"REVISAR: vehículo asignado dos veces","OK"))))))))</f>
        <v/>
      </c>
      <c r="H141" s="9"/>
      <c r="I141" s="9"/>
      <c r="J141" s="14" t="str">
        <f aca="false">IF(OR(H141="",H141=0),"",I141/H141)</f>
        <v/>
      </c>
      <c r="K141" s="9"/>
      <c r="L141" s="9"/>
      <c r="M141" s="24"/>
      <c r="N141" s="9"/>
      <c r="O141" s="9" t="str">
        <f aca="false">IF(AND(OR(K141="En riesgo",K141="Atrasada"),L141=""),"Falta código de motivo",IF(AND(L141="OTR",N141=""),"Explica OTR en las notas",IF(AND(K141="Finalizada",I141&lt;H141,L141=""),"Falta código de motivo","")))</f>
        <v/>
      </c>
      <c r="P141" s="9" t="str">
        <f aca="false">IF(OR(D141="",A141=""),"",IF(COUNTIFS(Revision_previa!$B:$B,D141,Revision_previa!$A:$A,"&gt;="&amp;A141,Revision_previa!$A:$A,"&lt;"&amp;(A141+1))=0,"Sin revisión",IF(COUNTIFS(Revision_previa!$B:$B,D141,Revision_previa!$A:$A,"&gt;="&amp;A141,Revision_previa!$A:$A,"&lt;"&amp;(A141+1),Revision_previa!$D:$D,"Falla")+COUNTIFS(Revision_previa!$B:$B,D141,Revision_previa!$A:$A,"&gt;="&amp;A141,Revision_previa!$A:$A,"&lt;"&amp;(A141+1),Revision_previa!$E:$E,"Falla")+COUNTIFS(Revision_previa!$B:$B,D141,Revision_previa!$A:$A,"&gt;="&amp;A141,Revision_previa!$A:$A,"&lt;"&amp;(A141+1),Revision_previa!$F:$F,"Falla")+COUNTIFS(Revision_previa!$B:$B,D141,Revision_previa!$A:$A,"&gt;="&amp;A141,Revision_previa!$A:$A,"&lt;"&amp;(A141+1),Revision_previa!$H:$H,"Encendido")&gt;0,"No apto","Apto")))</f>
        <v/>
      </c>
    </row>
    <row r="142" customFormat="false" ht="15" hidden="false" customHeight="false" outlineLevel="0" collapsed="false">
      <c r="A142" s="23"/>
      <c r="B142" s="9"/>
      <c r="C142" s="9"/>
      <c r="D142" s="9"/>
      <c r="E142" s="9" t="str">
        <f aca="false">IF(C142="","",IFERROR(INDEX(Conductores!$B:$B,MATCH(C142,Conductores!$A:$A,0)),"ID no encontrado"))</f>
        <v/>
      </c>
      <c r="F142" s="9" t="str">
        <f aca="false">IF(B142="","",IFERROR(INDEX(Rutas!$B:$B,MATCH(B142,Rutas!$A:$A,0)),"ID no encontrado"))</f>
        <v/>
      </c>
      <c r="G142" s="9" t="str">
        <f aca="false">IF(OR(B142="",C142="",D142=""),"",IF(OR(ISNA(MATCH(B142,Rutas!$A:$A,0)),ISNA(MATCH(C142,Conductores!$A:$A,0)),ISNA(MATCH(D142,Vehículos!$A:$A,0))),"REVISAR: ID no encontrado",IF(INDEX(Rutas!$C:$C,MATCH(B142,Rutas!$A:$A,0))&lt;&gt;INDEX(Vehículos!$B:$B,MATCH(D142,Vehículos!$A:$A,0)),"REVISAR: el vehículo no corresponde a la ruta",IF(INDEX(Rutas!$C:$C,MATCH(B142,Rutas!$A:$A,0))&lt;&gt;INDEX(Conductores!$D:$D,MATCH(C142,Conductores!$A:$A,0)),"REVISAR: el conductor no corresponde a la ruta",IF(OR(INDEX(Vehículos!$E:$E,MATCH(D142,Vehículos!$A:$A,0))="Taller",INDEX(Vehículos!$E:$E,MATCH(D142,Vehículos!$A:$A,0))="Fuera de servicio"),"REVISAR: vehículo no disponible",IF(INDEX(Conductores!$G:$G,MATCH(C142,Conductores!$A:$A,0))&lt;&gt;"Activo","REVISAR: conductor no activo",IF(COUNTIFS($A:$A,A142,$C:$C,C142)&gt;1,"REVISAR: conductor asignado dos veces",IF(COUNTIFS($A:$A,A142,$D:$D,D142)&gt;1,"REVISAR: vehículo asignado dos veces","OK"))))))))</f>
        <v/>
      </c>
      <c r="H142" s="9"/>
      <c r="I142" s="9"/>
      <c r="J142" s="14" t="str">
        <f aca="false">IF(OR(H142="",H142=0),"",I142/H142)</f>
        <v/>
      </c>
      <c r="K142" s="9"/>
      <c r="L142" s="9"/>
      <c r="M142" s="24"/>
      <c r="N142" s="9"/>
      <c r="O142" s="9" t="str">
        <f aca="false">IF(AND(OR(K142="En riesgo",K142="Atrasada"),L142=""),"Falta código de motivo",IF(AND(L142="OTR",N142=""),"Explica OTR en las notas",IF(AND(K142="Finalizada",I142&lt;H142,L142=""),"Falta código de motivo","")))</f>
        <v/>
      </c>
      <c r="P142" s="9" t="str">
        <f aca="false">IF(OR(D142="",A142=""),"",IF(COUNTIFS(Revision_previa!$B:$B,D142,Revision_previa!$A:$A,"&gt;="&amp;A142,Revision_previa!$A:$A,"&lt;"&amp;(A142+1))=0,"Sin revisión",IF(COUNTIFS(Revision_previa!$B:$B,D142,Revision_previa!$A:$A,"&gt;="&amp;A142,Revision_previa!$A:$A,"&lt;"&amp;(A142+1),Revision_previa!$D:$D,"Falla")+COUNTIFS(Revision_previa!$B:$B,D142,Revision_previa!$A:$A,"&gt;="&amp;A142,Revision_previa!$A:$A,"&lt;"&amp;(A142+1),Revision_previa!$E:$E,"Falla")+COUNTIFS(Revision_previa!$B:$B,D142,Revision_previa!$A:$A,"&gt;="&amp;A142,Revision_previa!$A:$A,"&lt;"&amp;(A142+1),Revision_previa!$F:$F,"Falla")+COUNTIFS(Revision_previa!$B:$B,D142,Revision_previa!$A:$A,"&gt;="&amp;A142,Revision_previa!$A:$A,"&lt;"&amp;(A142+1),Revision_previa!$H:$H,"Encendido")&gt;0,"No apto","Apto")))</f>
        <v/>
      </c>
    </row>
    <row r="143" customFormat="false" ht="15" hidden="false" customHeight="false" outlineLevel="0" collapsed="false">
      <c r="A143" s="23"/>
      <c r="B143" s="9"/>
      <c r="C143" s="9"/>
      <c r="D143" s="9"/>
      <c r="E143" s="9" t="str">
        <f aca="false">IF(C143="","",IFERROR(INDEX(Conductores!$B:$B,MATCH(C143,Conductores!$A:$A,0)),"ID no encontrado"))</f>
        <v/>
      </c>
      <c r="F143" s="9" t="str">
        <f aca="false">IF(B143="","",IFERROR(INDEX(Rutas!$B:$B,MATCH(B143,Rutas!$A:$A,0)),"ID no encontrado"))</f>
        <v/>
      </c>
      <c r="G143" s="9" t="str">
        <f aca="false">IF(OR(B143="",C143="",D143=""),"",IF(OR(ISNA(MATCH(B143,Rutas!$A:$A,0)),ISNA(MATCH(C143,Conductores!$A:$A,0)),ISNA(MATCH(D143,Vehículos!$A:$A,0))),"REVISAR: ID no encontrado",IF(INDEX(Rutas!$C:$C,MATCH(B143,Rutas!$A:$A,0))&lt;&gt;INDEX(Vehículos!$B:$B,MATCH(D143,Vehículos!$A:$A,0)),"REVISAR: el vehículo no corresponde a la ruta",IF(INDEX(Rutas!$C:$C,MATCH(B143,Rutas!$A:$A,0))&lt;&gt;INDEX(Conductores!$D:$D,MATCH(C143,Conductores!$A:$A,0)),"REVISAR: el conductor no corresponde a la ruta",IF(OR(INDEX(Vehículos!$E:$E,MATCH(D143,Vehículos!$A:$A,0))="Taller",INDEX(Vehículos!$E:$E,MATCH(D143,Vehículos!$A:$A,0))="Fuera de servicio"),"REVISAR: vehículo no disponible",IF(INDEX(Conductores!$G:$G,MATCH(C143,Conductores!$A:$A,0))&lt;&gt;"Activo","REVISAR: conductor no activo",IF(COUNTIFS($A:$A,A143,$C:$C,C143)&gt;1,"REVISAR: conductor asignado dos veces",IF(COUNTIFS($A:$A,A143,$D:$D,D143)&gt;1,"REVISAR: vehículo asignado dos veces","OK"))))))))</f>
        <v/>
      </c>
      <c r="H143" s="9"/>
      <c r="I143" s="9"/>
      <c r="J143" s="14" t="str">
        <f aca="false">IF(OR(H143="",H143=0),"",I143/H143)</f>
        <v/>
      </c>
      <c r="K143" s="9"/>
      <c r="L143" s="9"/>
      <c r="M143" s="24"/>
      <c r="N143" s="9"/>
      <c r="O143" s="9" t="str">
        <f aca="false">IF(AND(OR(K143="En riesgo",K143="Atrasada"),L143=""),"Falta código de motivo",IF(AND(L143="OTR",N143=""),"Explica OTR en las notas",IF(AND(K143="Finalizada",I143&lt;H143,L143=""),"Falta código de motivo","")))</f>
        <v/>
      </c>
      <c r="P143" s="9" t="str">
        <f aca="false">IF(OR(D143="",A143=""),"",IF(COUNTIFS(Revision_previa!$B:$B,D143,Revision_previa!$A:$A,"&gt;="&amp;A143,Revision_previa!$A:$A,"&lt;"&amp;(A143+1))=0,"Sin revisión",IF(COUNTIFS(Revision_previa!$B:$B,D143,Revision_previa!$A:$A,"&gt;="&amp;A143,Revision_previa!$A:$A,"&lt;"&amp;(A143+1),Revision_previa!$D:$D,"Falla")+COUNTIFS(Revision_previa!$B:$B,D143,Revision_previa!$A:$A,"&gt;="&amp;A143,Revision_previa!$A:$A,"&lt;"&amp;(A143+1),Revision_previa!$E:$E,"Falla")+COUNTIFS(Revision_previa!$B:$B,D143,Revision_previa!$A:$A,"&gt;="&amp;A143,Revision_previa!$A:$A,"&lt;"&amp;(A143+1),Revision_previa!$F:$F,"Falla")+COUNTIFS(Revision_previa!$B:$B,D143,Revision_previa!$A:$A,"&gt;="&amp;A143,Revision_previa!$A:$A,"&lt;"&amp;(A143+1),Revision_previa!$H:$H,"Encendido")&gt;0,"No apto","Apto")))</f>
        <v/>
      </c>
    </row>
    <row r="144" customFormat="false" ht="15" hidden="false" customHeight="false" outlineLevel="0" collapsed="false">
      <c r="A144" s="23"/>
      <c r="B144" s="9"/>
      <c r="C144" s="9"/>
      <c r="D144" s="9"/>
      <c r="E144" s="9" t="str">
        <f aca="false">IF(C144="","",IFERROR(INDEX(Conductores!$B:$B,MATCH(C144,Conductores!$A:$A,0)),"ID no encontrado"))</f>
        <v/>
      </c>
      <c r="F144" s="9" t="str">
        <f aca="false">IF(B144="","",IFERROR(INDEX(Rutas!$B:$B,MATCH(B144,Rutas!$A:$A,0)),"ID no encontrado"))</f>
        <v/>
      </c>
      <c r="G144" s="9" t="str">
        <f aca="false">IF(OR(B144="",C144="",D144=""),"",IF(OR(ISNA(MATCH(B144,Rutas!$A:$A,0)),ISNA(MATCH(C144,Conductores!$A:$A,0)),ISNA(MATCH(D144,Vehículos!$A:$A,0))),"REVISAR: ID no encontrado",IF(INDEX(Rutas!$C:$C,MATCH(B144,Rutas!$A:$A,0))&lt;&gt;INDEX(Vehículos!$B:$B,MATCH(D144,Vehículos!$A:$A,0)),"REVISAR: el vehículo no corresponde a la ruta",IF(INDEX(Rutas!$C:$C,MATCH(B144,Rutas!$A:$A,0))&lt;&gt;INDEX(Conductores!$D:$D,MATCH(C144,Conductores!$A:$A,0)),"REVISAR: el conductor no corresponde a la ruta",IF(OR(INDEX(Vehículos!$E:$E,MATCH(D144,Vehículos!$A:$A,0))="Taller",INDEX(Vehículos!$E:$E,MATCH(D144,Vehículos!$A:$A,0))="Fuera de servicio"),"REVISAR: vehículo no disponible",IF(INDEX(Conductores!$G:$G,MATCH(C144,Conductores!$A:$A,0))&lt;&gt;"Activo","REVISAR: conductor no activo",IF(COUNTIFS($A:$A,A144,$C:$C,C144)&gt;1,"REVISAR: conductor asignado dos veces",IF(COUNTIFS($A:$A,A144,$D:$D,D144)&gt;1,"REVISAR: vehículo asignado dos veces","OK"))))))))</f>
        <v/>
      </c>
      <c r="H144" s="9"/>
      <c r="I144" s="9"/>
      <c r="J144" s="14" t="str">
        <f aca="false">IF(OR(H144="",H144=0),"",I144/H144)</f>
        <v/>
      </c>
      <c r="K144" s="9"/>
      <c r="L144" s="9"/>
      <c r="M144" s="24"/>
      <c r="N144" s="9"/>
      <c r="O144" s="9" t="str">
        <f aca="false">IF(AND(OR(K144="En riesgo",K144="Atrasada"),L144=""),"Falta código de motivo",IF(AND(L144="OTR",N144=""),"Explica OTR en las notas",IF(AND(K144="Finalizada",I144&lt;H144,L144=""),"Falta código de motivo","")))</f>
        <v/>
      </c>
      <c r="P144" s="9" t="str">
        <f aca="false">IF(OR(D144="",A144=""),"",IF(COUNTIFS(Revision_previa!$B:$B,D144,Revision_previa!$A:$A,"&gt;="&amp;A144,Revision_previa!$A:$A,"&lt;"&amp;(A144+1))=0,"Sin revisión",IF(COUNTIFS(Revision_previa!$B:$B,D144,Revision_previa!$A:$A,"&gt;="&amp;A144,Revision_previa!$A:$A,"&lt;"&amp;(A144+1),Revision_previa!$D:$D,"Falla")+COUNTIFS(Revision_previa!$B:$B,D144,Revision_previa!$A:$A,"&gt;="&amp;A144,Revision_previa!$A:$A,"&lt;"&amp;(A144+1),Revision_previa!$E:$E,"Falla")+COUNTIFS(Revision_previa!$B:$B,D144,Revision_previa!$A:$A,"&gt;="&amp;A144,Revision_previa!$A:$A,"&lt;"&amp;(A144+1),Revision_previa!$F:$F,"Falla")+COUNTIFS(Revision_previa!$B:$B,D144,Revision_previa!$A:$A,"&gt;="&amp;A144,Revision_previa!$A:$A,"&lt;"&amp;(A144+1),Revision_previa!$H:$H,"Encendido")&gt;0,"No apto","Apto")))</f>
        <v/>
      </c>
    </row>
    <row r="145" customFormat="false" ht="15" hidden="false" customHeight="false" outlineLevel="0" collapsed="false">
      <c r="A145" s="23"/>
      <c r="B145" s="9"/>
      <c r="C145" s="9"/>
      <c r="D145" s="9"/>
      <c r="E145" s="9" t="str">
        <f aca="false">IF(C145="","",IFERROR(INDEX(Conductores!$B:$B,MATCH(C145,Conductores!$A:$A,0)),"ID no encontrado"))</f>
        <v/>
      </c>
      <c r="F145" s="9" t="str">
        <f aca="false">IF(B145="","",IFERROR(INDEX(Rutas!$B:$B,MATCH(B145,Rutas!$A:$A,0)),"ID no encontrado"))</f>
        <v/>
      </c>
      <c r="G145" s="9" t="str">
        <f aca="false">IF(OR(B145="",C145="",D145=""),"",IF(OR(ISNA(MATCH(B145,Rutas!$A:$A,0)),ISNA(MATCH(C145,Conductores!$A:$A,0)),ISNA(MATCH(D145,Vehículos!$A:$A,0))),"REVISAR: ID no encontrado",IF(INDEX(Rutas!$C:$C,MATCH(B145,Rutas!$A:$A,0))&lt;&gt;INDEX(Vehículos!$B:$B,MATCH(D145,Vehículos!$A:$A,0)),"REVISAR: el vehículo no corresponde a la ruta",IF(INDEX(Rutas!$C:$C,MATCH(B145,Rutas!$A:$A,0))&lt;&gt;INDEX(Conductores!$D:$D,MATCH(C145,Conductores!$A:$A,0)),"REVISAR: el conductor no corresponde a la ruta",IF(OR(INDEX(Vehículos!$E:$E,MATCH(D145,Vehículos!$A:$A,0))="Taller",INDEX(Vehículos!$E:$E,MATCH(D145,Vehículos!$A:$A,0))="Fuera de servicio"),"REVISAR: vehículo no disponible",IF(INDEX(Conductores!$G:$G,MATCH(C145,Conductores!$A:$A,0))&lt;&gt;"Activo","REVISAR: conductor no activo",IF(COUNTIFS($A:$A,A145,$C:$C,C145)&gt;1,"REVISAR: conductor asignado dos veces",IF(COUNTIFS($A:$A,A145,$D:$D,D145)&gt;1,"REVISAR: vehículo asignado dos veces","OK"))))))))</f>
        <v/>
      </c>
      <c r="H145" s="9"/>
      <c r="I145" s="9"/>
      <c r="J145" s="14" t="str">
        <f aca="false">IF(OR(H145="",H145=0),"",I145/H145)</f>
        <v/>
      </c>
      <c r="K145" s="9"/>
      <c r="L145" s="9"/>
      <c r="M145" s="24"/>
      <c r="N145" s="9"/>
      <c r="O145" s="9" t="str">
        <f aca="false">IF(AND(OR(K145="En riesgo",K145="Atrasada"),L145=""),"Falta código de motivo",IF(AND(L145="OTR",N145=""),"Explica OTR en las notas",IF(AND(K145="Finalizada",I145&lt;H145,L145=""),"Falta código de motivo","")))</f>
        <v/>
      </c>
      <c r="P145" s="9" t="str">
        <f aca="false">IF(OR(D145="",A145=""),"",IF(COUNTIFS(Revision_previa!$B:$B,D145,Revision_previa!$A:$A,"&gt;="&amp;A145,Revision_previa!$A:$A,"&lt;"&amp;(A145+1))=0,"Sin revisión",IF(COUNTIFS(Revision_previa!$B:$B,D145,Revision_previa!$A:$A,"&gt;="&amp;A145,Revision_previa!$A:$A,"&lt;"&amp;(A145+1),Revision_previa!$D:$D,"Falla")+COUNTIFS(Revision_previa!$B:$B,D145,Revision_previa!$A:$A,"&gt;="&amp;A145,Revision_previa!$A:$A,"&lt;"&amp;(A145+1),Revision_previa!$E:$E,"Falla")+COUNTIFS(Revision_previa!$B:$B,D145,Revision_previa!$A:$A,"&gt;="&amp;A145,Revision_previa!$A:$A,"&lt;"&amp;(A145+1),Revision_previa!$F:$F,"Falla")+COUNTIFS(Revision_previa!$B:$B,D145,Revision_previa!$A:$A,"&gt;="&amp;A145,Revision_previa!$A:$A,"&lt;"&amp;(A145+1),Revision_previa!$H:$H,"Encendido")&gt;0,"No apto","Apto")))</f>
        <v/>
      </c>
    </row>
    <row r="146" customFormat="false" ht="15" hidden="false" customHeight="false" outlineLevel="0" collapsed="false">
      <c r="A146" s="23"/>
      <c r="B146" s="9"/>
      <c r="C146" s="9"/>
      <c r="D146" s="9"/>
      <c r="E146" s="9" t="str">
        <f aca="false">IF(C146="","",IFERROR(INDEX(Conductores!$B:$B,MATCH(C146,Conductores!$A:$A,0)),"ID no encontrado"))</f>
        <v/>
      </c>
      <c r="F146" s="9" t="str">
        <f aca="false">IF(B146="","",IFERROR(INDEX(Rutas!$B:$B,MATCH(B146,Rutas!$A:$A,0)),"ID no encontrado"))</f>
        <v/>
      </c>
      <c r="G146" s="9" t="str">
        <f aca="false">IF(OR(B146="",C146="",D146=""),"",IF(OR(ISNA(MATCH(B146,Rutas!$A:$A,0)),ISNA(MATCH(C146,Conductores!$A:$A,0)),ISNA(MATCH(D146,Vehículos!$A:$A,0))),"REVISAR: ID no encontrado",IF(INDEX(Rutas!$C:$C,MATCH(B146,Rutas!$A:$A,0))&lt;&gt;INDEX(Vehículos!$B:$B,MATCH(D146,Vehículos!$A:$A,0)),"REVISAR: el vehículo no corresponde a la ruta",IF(INDEX(Rutas!$C:$C,MATCH(B146,Rutas!$A:$A,0))&lt;&gt;INDEX(Conductores!$D:$D,MATCH(C146,Conductores!$A:$A,0)),"REVISAR: el conductor no corresponde a la ruta",IF(OR(INDEX(Vehículos!$E:$E,MATCH(D146,Vehículos!$A:$A,0))="Taller",INDEX(Vehículos!$E:$E,MATCH(D146,Vehículos!$A:$A,0))="Fuera de servicio"),"REVISAR: vehículo no disponible",IF(INDEX(Conductores!$G:$G,MATCH(C146,Conductores!$A:$A,0))&lt;&gt;"Activo","REVISAR: conductor no activo",IF(COUNTIFS($A:$A,A146,$C:$C,C146)&gt;1,"REVISAR: conductor asignado dos veces",IF(COUNTIFS($A:$A,A146,$D:$D,D146)&gt;1,"REVISAR: vehículo asignado dos veces","OK"))))))))</f>
        <v/>
      </c>
      <c r="H146" s="9"/>
      <c r="I146" s="9"/>
      <c r="J146" s="14" t="str">
        <f aca="false">IF(OR(H146="",H146=0),"",I146/H146)</f>
        <v/>
      </c>
      <c r="K146" s="9"/>
      <c r="L146" s="9"/>
      <c r="M146" s="24"/>
      <c r="N146" s="9"/>
      <c r="O146" s="9" t="str">
        <f aca="false">IF(AND(OR(K146="En riesgo",K146="Atrasada"),L146=""),"Falta código de motivo",IF(AND(L146="OTR",N146=""),"Explica OTR en las notas",IF(AND(K146="Finalizada",I146&lt;H146,L146=""),"Falta código de motivo","")))</f>
        <v/>
      </c>
      <c r="P146" s="9" t="str">
        <f aca="false">IF(OR(D146="",A146=""),"",IF(COUNTIFS(Revision_previa!$B:$B,D146,Revision_previa!$A:$A,"&gt;="&amp;A146,Revision_previa!$A:$A,"&lt;"&amp;(A146+1))=0,"Sin revisión",IF(COUNTIFS(Revision_previa!$B:$B,D146,Revision_previa!$A:$A,"&gt;="&amp;A146,Revision_previa!$A:$A,"&lt;"&amp;(A146+1),Revision_previa!$D:$D,"Falla")+COUNTIFS(Revision_previa!$B:$B,D146,Revision_previa!$A:$A,"&gt;="&amp;A146,Revision_previa!$A:$A,"&lt;"&amp;(A146+1),Revision_previa!$E:$E,"Falla")+COUNTIFS(Revision_previa!$B:$B,D146,Revision_previa!$A:$A,"&gt;="&amp;A146,Revision_previa!$A:$A,"&lt;"&amp;(A146+1),Revision_previa!$F:$F,"Falla")+COUNTIFS(Revision_previa!$B:$B,D146,Revision_previa!$A:$A,"&gt;="&amp;A146,Revision_previa!$A:$A,"&lt;"&amp;(A146+1),Revision_previa!$H:$H,"Encendido")&gt;0,"No apto","Apto")))</f>
        <v/>
      </c>
    </row>
    <row r="147" customFormat="false" ht="15" hidden="false" customHeight="false" outlineLevel="0" collapsed="false">
      <c r="A147" s="23"/>
      <c r="B147" s="9"/>
      <c r="C147" s="9"/>
      <c r="D147" s="9"/>
      <c r="E147" s="9" t="str">
        <f aca="false">IF(C147="","",IFERROR(INDEX(Conductores!$B:$B,MATCH(C147,Conductores!$A:$A,0)),"ID no encontrado"))</f>
        <v/>
      </c>
      <c r="F147" s="9" t="str">
        <f aca="false">IF(B147="","",IFERROR(INDEX(Rutas!$B:$B,MATCH(B147,Rutas!$A:$A,0)),"ID no encontrado"))</f>
        <v/>
      </c>
      <c r="G147" s="9" t="str">
        <f aca="false">IF(OR(B147="",C147="",D147=""),"",IF(OR(ISNA(MATCH(B147,Rutas!$A:$A,0)),ISNA(MATCH(C147,Conductores!$A:$A,0)),ISNA(MATCH(D147,Vehículos!$A:$A,0))),"REVISAR: ID no encontrado",IF(INDEX(Rutas!$C:$C,MATCH(B147,Rutas!$A:$A,0))&lt;&gt;INDEX(Vehículos!$B:$B,MATCH(D147,Vehículos!$A:$A,0)),"REVISAR: el vehículo no corresponde a la ruta",IF(INDEX(Rutas!$C:$C,MATCH(B147,Rutas!$A:$A,0))&lt;&gt;INDEX(Conductores!$D:$D,MATCH(C147,Conductores!$A:$A,0)),"REVISAR: el conductor no corresponde a la ruta",IF(OR(INDEX(Vehículos!$E:$E,MATCH(D147,Vehículos!$A:$A,0))="Taller",INDEX(Vehículos!$E:$E,MATCH(D147,Vehículos!$A:$A,0))="Fuera de servicio"),"REVISAR: vehículo no disponible",IF(INDEX(Conductores!$G:$G,MATCH(C147,Conductores!$A:$A,0))&lt;&gt;"Activo","REVISAR: conductor no activo",IF(COUNTIFS($A:$A,A147,$C:$C,C147)&gt;1,"REVISAR: conductor asignado dos veces",IF(COUNTIFS($A:$A,A147,$D:$D,D147)&gt;1,"REVISAR: vehículo asignado dos veces","OK"))))))))</f>
        <v/>
      </c>
      <c r="H147" s="9"/>
      <c r="I147" s="9"/>
      <c r="J147" s="14" t="str">
        <f aca="false">IF(OR(H147="",H147=0),"",I147/H147)</f>
        <v/>
      </c>
      <c r="K147" s="9"/>
      <c r="L147" s="9"/>
      <c r="M147" s="24"/>
      <c r="N147" s="9"/>
      <c r="O147" s="9" t="str">
        <f aca="false">IF(AND(OR(K147="En riesgo",K147="Atrasada"),L147=""),"Falta código de motivo",IF(AND(L147="OTR",N147=""),"Explica OTR en las notas",IF(AND(K147="Finalizada",I147&lt;H147,L147=""),"Falta código de motivo","")))</f>
        <v/>
      </c>
      <c r="P147" s="9" t="str">
        <f aca="false">IF(OR(D147="",A147=""),"",IF(COUNTIFS(Revision_previa!$B:$B,D147,Revision_previa!$A:$A,"&gt;="&amp;A147,Revision_previa!$A:$A,"&lt;"&amp;(A147+1))=0,"Sin revisión",IF(COUNTIFS(Revision_previa!$B:$B,D147,Revision_previa!$A:$A,"&gt;="&amp;A147,Revision_previa!$A:$A,"&lt;"&amp;(A147+1),Revision_previa!$D:$D,"Falla")+COUNTIFS(Revision_previa!$B:$B,D147,Revision_previa!$A:$A,"&gt;="&amp;A147,Revision_previa!$A:$A,"&lt;"&amp;(A147+1),Revision_previa!$E:$E,"Falla")+COUNTIFS(Revision_previa!$B:$B,D147,Revision_previa!$A:$A,"&gt;="&amp;A147,Revision_previa!$A:$A,"&lt;"&amp;(A147+1),Revision_previa!$F:$F,"Falla")+COUNTIFS(Revision_previa!$B:$B,D147,Revision_previa!$A:$A,"&gt;="&amp;A147,Revision_previa!$A:$A,"&lt;"&amp;(A147+1),Revision_previa!$H:$H,"Encendido")&gt;0,"No apto","Apto")))</f>
        <v/>
      </c>
    </row>
    <row r="148" customFormat="false" ht="15" hidden="false" customHeight="false" outlineLevel="0" collapsed="false">
      <c r="A148" s="23"/>
      <c r="B148" s="9"/>
      <c r="C148" s="9"/>
      <c r="D148" s="9"/>
      <c r="E148" s="9" t="str">
        <f aca="false">IF(C148="","",IFERROR(INDEX(Conductores!$B:$B,MATCH(C148,Conductores!$A:$A,0)),"ID no encontrado"))</f>
        <v/>
      </c>
      <c r="F148" s="9" t="str">
        <f aca="false">IF(B148="","",IFERROR(INDEX(Rutas!$B:$B,MATCH(B148,Rutas!$A:$A,0)),"ID no encontrado"))</f>
        <v/>
      </c>
      <c r="G148" s="9" t="str">
        <f aca="false">IF(OR(B148="",C148="",D148=""),"",IF(OR(ISNA(MATCH(B148,Rutas!$A:$A,0)),ISNA(MATCH(C148,Conductores!$A:$A,0)),ISNA(MATCH(D148,Vehículos!$A:$A,0))),"REVISAR: ID no encontrado",IF(INDEX(Rutas!$C:$C,MATCH(B148,Rutas!$A:$A,0))&lt;&gt;INDEX(Vehículos!$B:$B,MATCH(D148,Vehículos!$A:$A,0)),"REVISAR: el vehículo no corresponde a la ruta",IF(INDEX(Rutas!$C:$C,MATCH(B148,Rutas!$A:$A,0))&lt;&gt;INDEX(Conductores!$D:$D,MATCH(C148,Conductores!$A:$A,0)),"REVISAR: el conductor no corresponde a la ruta",IF(OR(INDEX(Vehículos!$E:$E,MATCH(D148,Vehículos!$A:$A,0))="Taller",INDEX(Vehículos!$E:$E,MATCH(D148,Vehículos!$A:$A,0))="Fuera de servicio"),"REVISAR: vehículo no disponible",IF(INDEX(Conductores!$G:$G,MATCH(C148,Conductores!$A:$A,0))&lt;&gt;"Activo","REVISAR: conductor no activo",IF(COUNTIFS($A:$A,A148,$C:$C,C148)&gt;1,"REVISAR: conductor asignado dos veces",IF(COUNTIFS($A:$A,A148,$D:$D,D148)&gt;1,"REVISAR: vehículo asignado dos veces","OK"))))))))</f>
        <v/>
      </c>
      <c r="H148" s="9"/>
      <c r="I148" s="9"/>
      <c r="J148" s="14" t="str">
        <f aca="false">IF(OR(H148="",H148=0),"",I148/H148)</f>
        <v/>
      </c>
      <c r="K148" s="9"/>
      <c r="L148" s="9"/>
      <c r="M148" s="24"/>
      <c r="N148" s="9"/>
      <c r="O148" s="9" t="str">
        <f aca="false">IF(AND(OR(K148="En riesgo",K148="Atrasada"),L148=""),"Falta código de motivo",IF(AND(L148="OTR",N148=""),"Explica OTR en las notas",IF(AND(K148="Finalizada",I148&lt;H148,L148=""),"Falta código de motivo","")))</f>
        <v/>
      </c>
      <c r="P148" s="9" t="str">
        <f aca="false">IF(OR(D148="",A148=""),"",IF(COUNTIFS(Revision_previa!$B:$B,D148,Revision_previa!$A:$A,"&gt;="&amp;A148,Revision_previa!$A:$A,"&lt;"&amp;(A148+1))=0,"Sin revisión",IF(COUNTIFS(Revision_previa!$B:$B,D148,Revision_previa!$A:$A,"&gt;="&amp;A148,Revision_previa!$A:$A,"&lt;"&amp;(A148+1),Revision_previa!$D:$D,"Falla")+COUNTIFS(Revision_previa!$B:$B,D148,Revision_previa!$A:$A,"&gt;="&amp;A148,Revision_previa!$A:$A,"&lt;"&amp;(A148+1),Revision_previa!$E:$E,"Falla")+COUNTIFS(Revision_previa!$B:$B,D148,Revision_previa!$A:$A,"&gt;="&amp;A148,Revision_previa!$A:$A,"&lt;"&amp;(A148+1),Revision_previa!$F:$F,"Falla")+COUNTIFS(Revision_previa!$B:$B,D148,Revision_previa!$A:$A,"&gt;="&amp;A148,Revision_previa!$A:$A,"&lt;"&amp;(A148+1),Revision_previa!$H:$H,"Encendido")&gt;0,"No apto","Apto")))</f>
        <v/>
      </c>
    </row>
    <row r="149" customFormat="false" ht="15" hidden="false" customHeight="false" outlineLevel="0" collapsed="false">
      <c r="A149" s="23"/>
      <c r="B149" s="9"/>
      <c r="C149" s="9"/>
      <c r="D149" s="9"/>
      <c r="E149" s="9" t="str">
        <f aca="false">IF(C149="","",IFERROR(INDEX(Conductores!$B:$B,MATCH(C149,Conductores!$A:$A,0)),"ID no encontrado"))</f>
        <v/>
      </c>
      <c r="F149" s="9" t="str">
        <f aca="false">IF(B149="","",IFERROR(INDEX(Rutas!$B:$B,MATCH(B149,Rutas!$A:$A,0)),"ID no encontrado"))</f>
        <v/>
      </c>
      <c r="G149" s="9" t="str">
        <f aca="false">IF(OR(B149="",C149="",D149=""),"",IF(OR(ISNA(MATCH(B149,Rutas!$A:$A,0)),ISNA(MATCH(C149,Conductores!$A:$A,0)),ISNA(MATCH(D149,Vehículos!$A:$A,0))),"REVISAR: ID no encontrado",IF(INDEX(Rutas!$C:$C,MATCH(B149,Rutas!$A:$A,0))&lt;&gt;INDEX(Vehículos!$B:$B,MATCH(D149,Vehículos!$A:$A,0)),"REVISAR: el vehículo no corresponde a la ruta",IF(INDEX(Rutas!$C:$C,MATCH(B149,Rutas!$A:$A,0))&lt;&gt;INDEX(Conductores!$D:$D,MATCH(C149,Conductores!$A:$A,0)),"REVISAR: el conductor no corresponde a la ruta",IF(OR(INDEX(Vehículos!$E:$E,MATCH(D149,Vehículos!$A:$A,0))="Taller",INDEX(Vehículos!$E:$E,MATCH(D149,Vehículos!$A:$A,0))="Fuera de servicio"),"REVISAR: vehículo no disponible",IF(INDEX(Conductores!$G:$G,MATCH(C149,Conductores!$A:$A,0))&lt;&gt;"Activo","REVISAR: conductor no activo",IF(COUNTIFS($A:$A,A149,$C:$C,C149)&gt;1,"REVISAR: conductor asignado dos veces",IF(COUNTIFS($A:$A,A149,$D:$D,D149)&gt;1,"REVISAR: vehículo asignado dos veces","OK"))))))))</f>
        <v/>
      </c>
      <c r="H149" s="9"/>
      <c r="I149" s="9"/>
      <c r="J149" s="14" t="str">
        <f aca="false">IF(OR(H149="",H149=0),"",I149/H149)</f>
        <v/>
      </c>
      <c r="K149" s="9"/>
      <c r="L149" s="9"/>
      <c r="M149" s="24"/>
      <c r="N149" s="9"/>
      <c r="O149" s="9" t="str">
        <f aca="false">IF(AND(OR(K149="En riesgo",K149="Atrasada"),L149=""),"Falta código de motivo",IF(AND(L149="OTR",N149=""),"Explica OTR en las notas",IF(AND(K149="Finalizada",I149&lt;H149,L149=""),"Falta código de motivo","")))</f>
        <v/>
      </c>
      <c r="P149" s="9" t="str">
        <f aca="false">IF(OR(D149="",A149=""),"",IF(COUNTIFS(Revision_previa!$B:$B,D149,Revision_previa!$A:$A,"&gt;="&amp;A149,Revision_previa!$A:$A,"&lt;"&amp;(A149+1))=0,"Sin revisión",IF(COUNTIFS(Revision_previa!$B:$B,D149,Revision_previa!$A:$A,"&gt;="&amp;A149,Revision_previa!$A:$A,"&lt;"&amp;(A149+1),Revision_previa!$D:$D,"Falla")+COUNTIFS(Revision_previa!$B:$B,D149,Revision_previa!$A:$A,"&gt;="&amp;A149,Revision_previa!$A:$A,"&lt;"&amp;(A149+1),Revision_previa!$E:$E,"Falla")+COUNTIFS(Revision_previa!$B:$B,D149,Revision_previa!$A:$A,"&gt;="&amp;A149,Revision_previa!$A:$A,"&lt;"&amp;(A149+1),Revision_previa!$F:$F,"Falla")+COUNTIFS(Revision_previa!$B:$B,D149,Revision_previa!$A:$A,"&gt;="&amp;A149,Revision_previa!$A:$A,"&lt;"&amp;(A149+1),Revision_previa!$H:$H,"Encendido")&gt;0,"No apto","Apto")))</f>
        <v/>
      </c>
    </row>
    <row r="150" customFormat="false" ht="15" hidden="false" customHeight="false" outlineLevel="0" collapsed="false">
      <c r="A150" s="23"/>
      <c r="B150" s="9"/>
      <c r="C150" s="9"/>
      <c r="D150" s="9"/>
      <c r="E150" s="9" t="str">
        <f aca="false">IF(C150="","",IFERROR(INDEX(Conductores!$B:$B,MATCH(C150,Conductores!$A:$A,0)),"ID no encontrado"))</f>
        <v/>
      </c>
      <c r="F150" s="9" t="str">
        <f aca="false">IF(B150="","",IFERROR(INDEX(Rutas!$B:$B,MATCH(B150,Rutas!$A:$A,0)),"ID no encontrado"))</f>
        <v/>
      </c>
      <c r="G150" s="9" t="str">
        <f aca="false">IF(OR(B150="",C150="",D150=""),"",IF(OR(ISNA(MATCH(B150,Rutas!$A:$A,0)),ISNA(MATCH(C150,Conductores!$A:$A,0)),ISNA(MATCH(D150,Vehículos!$A:$A,0))),"REVISAR: ID no encontrado",IF(INDEX(Rutas!$C:$C,MATCH(B150,Rutas!$A:$A,0))&lt;&gt;INDEX(Vehículos!$B:$B,MATCH(D150,Vehículos!$A:$A,0)),"REVISAR: el vehículo no corresponde a la ruta",IF(INDEX(Rutas!$C:$C,MATCH(B150,Rutas!$A:$A,0))&lt;&gt;INDEX(Conductores!$D:$D,MATCH(C150,Conductores!$A:$A,0)),"REVISAR: el conductor no corresponde a la ruta",IF(OR(INDEX(Vehículos!$E:$E,MATCH(D150,Vehículos!$A:$A,0))="Taller",INDEX(Vehículos!$E:$E,MATCH(D150,Vehículos!$A:$A,0))="Fuera de servicio"),"REVISAR: vehículo no disponible",IF(INDEX(Conductores!$G:$G,MATCH(C150,Conductores!$A:$A,0))&lt;&gt;"Activo","REVISAR: conductor no activo",IF(COUNTIFS($A:$A,A150,$C:$C,C150)&gt;1,"REVISAR: conductor asignado dos veces",IF(COUNTIFS($A:$A,A150,$D:$D,D150)&gt;1,"REVISAR: vehículo asignado dos veces","OK"))))))))</f>
        <v/>
      </c>
      <c r="H150" s="9"/>
      <c r="I150" s="9"/>
      <c r="J150" s="14" t="str">
        <f aca="false">IF(OR(H150="",H150=0),"",I150/H150)</f>
        <v/>
      </c>
      <c r="K150" s="9"/>
      <c r="L150" s="9"/>
      <c r="M150" s="24"/>
      <c r="N150" s="9"/>
      <c r="O150" s="9" t="str">
        <f aca="false">IF(AND(OR(K150="En riesgo",K150="Atrasada"),L150=""),"Falta código de motivo",IF(AND(L150="OTR",N150=""),"Explica OTR en las notas",IF(AND(K150="Finalizada",I150&lt;H150,L150=""),"Falta código de motivo","")))</f>
        <v/>
      </c>
      <c r="P150" s="9" t="str">
        <f aca="false">IF(OR(D150="",A150=""),"",IF(COUNTIFS(Revision_previa!$B:$B,D150,Revision_previa!$A:$A,"&gt;="&amp;A150,Revision_previa!$A:$A,"&lt;"&amp;(A150+1))=0,"Sin revisión",IF(COUNTIFS(Revision_previa!$B:$B,D150,Revision_previa!$A:$A,"&gt;="&amp;A150,Revision_previa!$A:$A,"&lt;"&amp;(A150+1),Revision_previa!$D:$D,"Falla")+COUNTIFS(Revision_previa!$B:$B,D150,Revision_previa!$A:$A,"&gt;="&amp;A150,Revision_previa!$A:$A,"&lt;"&amp;(A150+1),Revision_previa!$E:$E,"Falla")+COUNTIFS(Revision_previa!$B:$B,D150,Revision_previa!$A:$A,"&gt;="&amp;A150,Revision_previa!$A:$A,"&lt;"&amp;(A150+1),Revision_previa!$F:$F,"Falla")+COUNTIFS(Revision_previa!$B:$B,D150,Revision_previa!$A:$A,"&gt;="&amp;A150,Revision_previa!$A:$A,"&lt;"&amp;(A150+1),Revision_previa!$H:$H,"Encendido")&gt;0,"No apto","Apto")))</f>
        <v/>
      </c>
    </row>
    <row r="151" customFormat="false" ht="15" hidden="false" customHeight="false" outlineLevel="0" collapsed="false">
      <c r="A151" s="23"/>
      <c r="B151" s="9"/>
      <c r="C151" s="9"/>
      <c r="D151" s="9"/>
      <c r="E151" s="9" t="str">
        <f aca="false">IF(C151="","",IFERROR(INDEX(Conductores!$B:$B,MATCH(C151,Conductores!$A:$A,0)),"ID no encontrado"))</f>
        <v/>
      </c>
      <c r="F151" s="9" t="str">
        <f aca="false">IF(B151="","",IFERROR(INDEX(Rutas!$B:$B,MATCH(B151,Rutas!$A:$A,0)),"ID no encontrado"))</f>
        <v/>
      </c>
      <c r="G151" s="9" t="str">
        <f aca="false">IF(OR(B151="",C151="",D151=""),"",IF(OR(ISNA(MATCH(B151,Rutas!$A:$A,0)),ISNA(MATCH(C151,Conductores!$A:$A,0)),ISNA(MATCH(D151,Vehículos!$A:$A,0))),"REVISAR: ID no encontrado",IF(INDEX(Rutas!$C:$C,MATCH(B151,Rutas!$A:$A,0))&lt;&gt;INDEX(Vehículos!$B:$B,MATCH(D151,Vehículos!$A:$A,0)),"REVISAR: el vehículo no corresponde a la ruta",IF(INDEX(Rutas!$C:$C,MATCH(B151,Rutas!$A:$A,0))&lt;&gt;INDEX(Conductores!$D:$D,MATCH(C151,Conductores!$A:$A,0)),"REVISAR: el conductor no corresponde a la ruta",IF(OR(INDEX(Vehículos!$E:$E,MATCH(D151,Vehículos!$A:$A,0))="Taller",INDEX(Vehículos!$E:$E,MATCH(D151,Vehículos!$A:$A,0))="Fuera de servicio"),"REVISAR: vehículo no disponible",IF(INDEX(Conductores!$G:$G,MATCH(C151,Conductores!$A:$A,0))&lt;&gt;"Activo","REVISAR: conductor no activo",IF(COUNTIFS($A:$A,A151,$C:$C,C151)&gt;1,"REVISAR: conductor asignado dos veces",IF(COUNTIFS($A:$A,A151,$D:$D,D151)&gt;1,"REVISAR: vehículo asignado dos veces","OK"))))))))</f>
        <v/>
      </c>
      <c r="H151" s="9"/>
      <c r="I151" s="9"/>
      <c r="J151" s="14" t="str">
        <f aca="false">IF(OR(H151="",H151=0),"",I151/H151)</f>
        <v/>
      </c>
      <c r="K151" s="9"/>
      <c r="L151" s="9"/>
      <c r="M151" s="24"/>
      <c r="N151" s="9"/>
      <c r="O151" s="9" t="str">
        <f aca="false">IF(AND(OR(K151="En riesgo",K151="Atrasada"),L151=""),"Falta código de motivo",IF(AND(L151="OTR",N151=""),"Explica OTR en las notas",IF(AND(K151="Finalizada",I151&lt;H151,L151=""),"Falta código de motivo","")))</f>
        <v/>
      </c>
      <c r="P151" s="9" t="str">
        <f aca="false">IF(OR(D151="",A151=""),"",IF(COUNTIFS(Revision_previa!$B:$B,D151,Revision_previa!$A:$A,"&gt;="&amp;A151,Revision_previa!$A:$A,"&lt;"&amp;(A151+1))=0,"Sin revisión",IF(COUNTIFS(Revision_previa!$B:$B,D151,Revision_previa!$A:$A,"&gt;="&amp;A151,Revision_previa!$A:$A,"&lt;"&amp;(A151+1),Revision_previa!$D:$D,"Falla")+COUNTIFS(Revision_previa!$B:$B,D151,Revision_previa!$A:$A,"&gt;="&amp;A151,Revision_previa!$A:$A,"&lt;"&amp;(A151+1),Revision_previa!$E:$E,"Falla")+COUNTIFS(Revision_previa!$B:$B,D151,Revision_previa!$A:$A,"&gt;="&amp;A151,Revision_previa!$A:$A,"&lt;"&amp;(A151+1),Revision_previa!$F:$F,"Falla")+COUNTIFS(Revision_previa!$B:$B,D151,Revision_previa!$A:$A,"&gt;="&amp;A151,Revision_previa!$A:$A,"&lt;"&amp;(A151+1),Revision_previa!$H:$H,"Encendido")&gt;0,"No apto","Apto")))</f>
        <v/>
      </c>
    </row>
    <row r="152" customFormat="false" ht="15" hidden="false" customHeight="false" outlineLevel="0" collapsed="false">
      <c r="A152" s="23"/>
      <c r="B152" s="9"/>
      <c r="C152" s="9"/>
      <c r="D152" s="9"/>
      <c r="E152" s="9" t="str">
        <f aca="false">IF(C152="","",IFERROR(INDEX(Conductores!$B:$B,MATCH(C152,Conductores!$A:$A,0)),"ID no encontrado"))</f>
        <v/>
      </c>
      <c r="F152" s="9" t="str">
        <f aca="false">IF(B152="","",IFERROR(INDEX(Rutas!$B:$B,MATCH(B152,Rutas!$A:$A,0)),"ID no encontrado"))</f>
        <v/>
      </c>
      <c r="G152" s="9" t="str">
        <f aca="false">IF(OR(B152="",C152="",D152=""),"",IF(OR(ISNA(MATCH(B152,Rutas!$A:$A,0)),ISNA(MATCH(C152,Conductores!$A:$A,0)),ISNA(MATCH(D152,Vehículos!$A:$A,0))),"REVISAR: ID no encontrado",IF(INDEX(Rutas!$C:$C,MATCH(B152,Rutas!$A:$A,0))&lt;&gt;INDEX(Vehículos!$B:$B,MATCH(D152,Vehículos!$A:$A,0)),"REVISAR: el vehículo no corresponde a la ruta",IF(INDEX(Rutas!$C:$C,MATCH(B152,Rutas!$A:$A,0))&lt;&gt;INDEX(Conductores!$D:$D,MATCH(C152,Conductores!$A:$A,0)),"REVISAR: el conductor no corresponde a la ruta",IF(OR(INDEX(Vehículos!$E:$E,MATCH(D152,Vehículos!$A:$A,0))="Taller",INDEX(Vehículos!$E:$E,MATCH(D152,Vehículos!$A:$A,0))="Fuera de servicio"),"REVISAR: vehículo no disponible",IF(INDEX(Conductores!$G:$G,MATCH(C152,Conductores!$A:$A,0))&lt;&gt;"Activo","REVISAR: conductor no activo",IF(COUNTIFS($A:$A,A152,$C:$C,C152)&gt;1,"REVISAR: conductor asignado dos veces",IF(COUNTIFS($A:$A,A152,$D:$D,D152)&gt;1,"REVISAR: vehículo asignado dos veces","OK"))))))))</f>
        <v/>
      </c>
      <c r="H152" s="9"/>
      <c r="I152" s="9"/>
      <c r="J152" s="14" t="str">
        <f aca="false">IF(OR(H152="",H152=0),"",I152/H152)</f>
        <v/>
      </c>
      <c r="K152" s="9"/>
      <c r="L152" s="9"/>
      <c r="M152" s="24"/>
      <c r="N152" s="9"/>
      <c r="O152" s="9" t="str">
        <f aca="false">IF(AND(OR(K152="En riesgo",K152="Atrasada"),L152=""),"Falta código de motivo",IF(AND(L152="OTR",N152=""),"Explica OTR en las notas",IF(AND(K152="Finalizada",I152&lt;H152,L152=""),"Falta código de motivo","")))</f>
        <v/>
      </c>
      <c r="P152" s="9" t="str">
        <f aca="false">IF(OR(D152="",A152=""),"",IF(COUNTIFS(Revision_previa!$B:$B,D152,Revision_previa!$A:$A,"&gt;="&amp;A152,Revision_previa!$A:$A,"&lt;"&amp;(A152+1))=0,"Sin revisión",IF(COUNTIFS(Revision_previa!$B:$B,D152,Revision_previa!$A:$A,"&gt;="&amp;A152,Revision_previa!$A:$A,"&lt;"&amp;(A152+1),Revision_previa!$D:$D,"Falla")+COUNTIFS(Revision_previa!$B:$B,D152,Revision_previa!$A:$A,"&gt;="&amp;A152,Revision_previa!$A:$A,"&lt;"&amp;(A152+1),Revision_previa!$E:$E,"Falla")+COUNTIFS(Revision_previa!$B:$B,D152,Revision_previa!$A:$A,"&gt;="&amp;A152,Revision_previa!$A:$A,"&lt;"&amp;(A152+1),Revision_previa!$F:$F,"Falla")+COUNTIFS(Revision_previa!$B:$B,D152,Revision_previa!$A:$A,"&gt;="&amp;A152,Revision_previa!$A:$A,"&lt;"&amp;(A152+1),Revision_previa!$H:$H,"Encendido")&gt;0,"No apto","Apto")))</f>
        <v/>
      </c>
    </row>
    <row r="153" customFormat="false" ht="15" hidden="false" customHeight="false" outlineLevel="0" collapsed="false">
      <c r="A153" s="23"/>
      <c r="B153" s="9"/>
      <c r="C153" s="9"/>
      <c r="D153" s="9"/>
      <c r="E153" s="9" t="str">
        <f aca="false">IF(C153="","",IFERROR(INDEX(Conductores!$B:$B,MATCH(C153,Conductores!$A:$A,0)),"ID no encontrado"))</f>
        <v/>
      </c>
      <c r="F153" s="9" t="str">
        <f aca="false">IF(B153="","",IFERROR(INDEX(Rutas!$B:$B,MATCH(B153,Rutas!$A:$A,0)),"ID no encontrado"))</f>
        <v/>
      </c>
      <c r="G153" s="9" t="str">
        <f aca="false">IF(OR(B153="",C153="",D153=""),"",IF(OR(ISNA(MATCH(B153,Rutas!$A:$A,0)),ISNA(MATCH(C153,Conductores!$A:$A,0)),ISNA(MATCH(D153,Vehículos!$A:$A,0))),"REVISAR: ID no encontrado",IF(INDEX(Rutas!$C:$C,MATCH(B153,Rutas!$A:$A,0))&lt;&gt;INDEX(Vehículos!$B:$B,MATCH(D153,Vehículos!$A:$A,0)),"REVISAR: el vehículo no corresponde a la ruta",IF(INDEX(Rutas!$C:$C,MATCH(B153,Rutas!$A:$A,0))&lt;&gt;INDEX(Conductores!$D:$D,MATCH(C153,Conductores!$A:$A,0)),"REVISAR: el conductor no corresponde a la ruta",IF(OR(INDEX(Vehículos!$E:$E,MATCH(D153,Vehículos!$A:$A,0))="Taller",INDEX(Vehículos!$E:$E,MATCH(D153,Vehículos!$A:$A,0))="Fuera de servicio"),"REVISAR: vehículo no disponible",IF(INDEX(Conductores!$G:$G,MATCH(C153,Conductores!$A:$A,0))&lt;&gt;"Activo","REVISAR: conductor no activo",IF(COUNTIFS($A:$A,A153,$C:$C,C153)&gt;1,"REVISAR: conductor asignado dos veces",IF(COUNTIFS($A:$A,A153,$D:$D,D153)&gt;1,"REVISAR: vehículo asignado dos veces","OK"))))))))</f>
        <v/>
      </c>
      <c r="H153" s="9"/>
      <c r="I153" s="9"/>
      <c r="J153" s="14" t="str">
        <f aca="false">IF(OR(H153="",H153=0),"",I153/H153)</f>
        <v/>
      </c>
      <c r="K153" s="9"/>
      <c r="L153" s="9"/>
      <c r="M153" s="24"/>
      <c r="N153" s="9"/>
      <c r="O153" s="9" t="str">
        <f aca="false">IF(AND(OR(K153="En riesgo",K153="Atrasada"),L153=""),"Falta código de motivo",IF(AND(L153="OTR",N153=""),"Explica OTR en las notas",IF(AND(K153="Finalizada",I153&lt;H153,L153=""),"Falta código de motivo","")))</f>
        <v/>
      </c>
      <c r="P153" s="9" t="str">
        <f aca="false">IF(OR(D153="",A153=""),"",IF(COUNTIFS(Revision_previa!$B:$B,D153,Revision_previa!$A:$A,"&gt;="&amp;A153,Revision_previa!$A:$A,"&lt;"&amp;(A153+1))=0,"Sin revisión",IF(COUNTIFS(Revision_previa!$B:$B,D153,Revision_previa!$A:$A,"&gt;="&amp;A153,Revision_previa!$A:$A,"&lt;"&amp;(A153+1),Revision_previa!$D:$D,"Falla")+COUNTIFS(Revision_previa!$B:$B,D153,Revision_previa!$A:$A,"&gt;="&amp;A153,Revision_previa!$A:$A,"&lt;"&amp;(A153+1),Revision_previa!$E:$E,"Falla")+COUNTIFS(Revision_previa!$B:$B,D153,Revision_previa!$A:$A,"&gt;="&amp;A153,Revision_previa!$A:$A,"&lt;"&amp;(A153+1),Revision_previa!$F:$F,"Falla")+COUNTIFS(Revision_previa!$B:$B,D153,Revision_previa!$A:$A,"&gt;="&amp;A153,Revision_previa!$A:$A,"&lt;"&amp;(A153+1),Revision_previa!$H:$H,"Encendido")&gt;0,"No apto","Apto")))</f>
        <v/>
      </c>
    </row>
    <row r="154" customFormat="false" ht="15" hidden="false" customHeight="false" outlineLevel="0" collapsed="false">
      <c r="A154" s="23"/>
      <c r="B154" s="9"/>
      <c r="C154" s="9"/>
      <c r="D154" s="9"/>
      <c r="E154" s="9" t="str">
        <f aca="false">IF(C154="","",IFERROR(INDEX(Conductores!$B:$B,MATCH(C154,Conductores!$A:$A,0)),"ID no encontrado"))</f>
        <v/>
      </c>
      <c r="F154" s="9" t="str">
        <f aca="false">IF(B154="","",IFERROR(INDEX(Rutas!$B:$B,MATCH(B154,Rutas!$A:$A,0)),"ID no encontrado"))</f>
        <v/>
      </c>
      <c r="G154" s="9" t="str">
        <f aca="false">IF(OR(B154="",C154="",D154=""),"",IF(OR(ISNA(MATCH(B154,Rutas!$A:$A,0)),ISNA(MATCH(C154,Conductores!$A:$A,0)),ISNA(MATCH(D154,Vehículos!$A:$A,0))),"REVISAR: ID no encontrado",IF(INDEX(Rutas!$C:$C,MATCH(B154,Rutas!$A:$A,0))&lt;&gt;INDEX(Vehículos!$B:$B,MATCH(D154,Vehículos!$A:$A,0)),"REVISAR: el vehículo no corresponde a la ruta",IF(INDEX(Rutas!$C:$C,MATCH(B154,Rutas!$A:$A,0))&lt;&gt;INDEX(Conductores!$D:$D,MATCH(C154,Conductores!$A:$A,0)),"REVISAR: el conductor no corresponde a la ruta",IF(OR(INDEX(Vehículos!$E:$E,MATCH(D154,Vehículos!$A:$A,0))="Taller",INDEX(Vehículos!$E:$E,MATCH(D154,Vehículos!$A:$A,0))="Fuera de servicio"),"REVISAR: vehículo no disponible",IF(INDEX(Conductores!$G:$G,MATCH(C154,Conductores!$A:$A,0))&lt;&gt;"Activo","REVISAR: conductor no activo",IF(COUNTIFS($A:$A,A154,$C:$C,C154)&gt;1,"REVISAR: conductor asignado dos veces",IF(COUNTIFS($A:$A,A154,$D:$D,D154)&gt;1,"REVISAR: vehículo asignado dos veces","OK"))))))))</f>
        <v/>
      </c>
      <c r="H154" s="9"/>
      <c r="I154" s="9"/>
      <c r="J154" s="14" t="str">
        <f aca="false">IF(OR(H154="",H154=0),"",I154/H154)</f>
        <v/>
      </c>
      <c r="K154" s="9"/>
      <c r="L154" s="9"/>
      <c r="M154" s="24"/>
      <c r="N154" s="9"/>
      <c r="O154" s="9" t="str">
        <f aca="false">IF(AND(OR(K154="En riesgo",K154="Atrasada"),L154=""),"Falta código de motivo",IF(AND(L154="OTR",N154=""),"Explica OTR en las notas",IF(AND(K154="Finalizada",I154&lt;H154,L154=""),"Falta código de motivo","")))</f>
        <v/>
      </c>
      <c r="P154" s="9" t="str">
        <f aca="false">IF(OR(D154="",A154=""),"",IF(COUNTIFS(Revision_previa!$B:$B,D154,Revision_previa!$A:$A,"&gt;="&amp;A154,Revision_previa!$A:$A,"&lt;"&amp;(A154+1))=0,"Sin revisión",IF(COUNTIFS(Revision_previa!$B:$B,D154,Revision_previa!$A:$A,"&gt;="&amp;A154,Revision_previa!$A:$A,"&lt;"&amp;(A154+1),Revision_previa!$D:$D,"Falla")+COUNTIFS(Revision_previa!$B:$B,D154,Revision_previa!$A:$A,"&gt;="&amp;A154,Revision_previa!$A:$A,"&lt;"&amp;(A154+1),Revision_previa!$E:$E,"Falla")+COUNTIFS(Revision_previa!$B:$B,D154,Revision_previa!$A:$A,"&gt;="&amp;A154,Revision_previa!$A:$A,"&lt;"&amp;(A154+1),Revision_previa!$F:$F,"Falla")+COUNTIFS(Revision_previa!$B:$B,D154,Revision_previa!$A:$A,"&gt;="&amp;A154,Revision_previa!$A:$A,"&lt;"&amp;(A154+1),Revision_previa!$H:$H,"Encendido")&gt;0,"No apto","Apto")))</f>
        <v/>
      </c>
    </row>
    <row r="155" customFormat="false" ht="15" hidden="false" customHeight="false" outlineLevel="0" collapsed="false">
      <c r="A155" s="23"/>
      <c r="B155" s="9"/>
      <c r="C155" s="9"/>
      <c r="D155" s="9"/>
      <c r="E155" s="9" t="str">
        <f aca="false">IF(C155="","",IFERROR(INDEX(Conductores!$B:$B,MATCH(C155,Conductores!$A:$A,0)),"ID no encontrado"))</f>
        <v/>
      </c>
      <c r="F155" s="9" t="str">
        <f aca="false">IF(B155="","",IFERROR(INDEX(Rutas!$B:$B,MATCH(B155,Rutas!$A:$A,0)),"ID no encontrado"))</f>
        <v/>
      </c>
      <c r="G155" s="9" t="str">
        <f aca="false">IF(OR(B155="",C155="",D155=""),"",IF(OR(ISNA(MATCH(B155,Rutas!$A:$A,0)),ISNA(MATCH(C155,Conductores!$A:$A,0)),ISNA(MATCH(D155,Vehículos!$A:$A,0))),"REVISAR: ID no encontrado",IF(INDEX(Rutas!$C:$C,MATCH(B155,Rutas!$A:$A,0))&lt;&gt;INDEX(Vehículos!$B:$B,MATCH(D155,Vehículos!$A:$A,0)),"REVISAR: el vehículo no corresponde a la ruta",IF(INDEX(Rutas!$C:$C,MATCH(B155,Rutas!$A:$A,0))&lt;&gt;INDEX(Conductores!$D:$D,MATCH(C155,Conductores!$A:$A,0)),"REVISAR: el conductor no corresponde a la ruta",IF(OR(INDEX(Vehículos!$E:$E,MATCH(D155,Vehículos!$A:$A,0))="Taller",INDEX(Vehículos!$E:$E,MATCH(D155,Vehículos!$A:$A,0))="Fuera de servicio"),"REVISAR: vehículo no disponible",IF(INDEX(Conductores!$G:$G,MATCH(C155,Conductores!$A:$A,0))&lt;&gt;"Activo","REVISAR: conductor no activo",IF(COUNTIFS($A:$A,A155,$C:$C,C155)&gt;1,"REVISAR: conductor asignado dos veces",IF(COUNTIFS($A:$A,A155,$D:$D,D155)&gt;1,"REVISAR: vehículo asignado dos veces","OK"))))))))</f>
        <v/>
      </c>
      <c r="H155" s="9"/>
      <c r="I155" s="9"/>
      <c r="J155" s="14" t="str">
        <f aca="false">IF(OR(H155="",H155=0),"",I155/H155)</f>
        <v/>
      </c>
      <c r="K155" s="9"/>
      <c r="L155" s="9"/>
      <c r="M155" s="24"/>
      <c r="N155" s="9"/>
      <c r="O155" s="9" t="str">
        <f aca="false">IF(AND(OR(K155="En riesgo",K155="Atrasada"),L155=""),"Falta código de motivo",IF(AND(L155="OTR",N155=""),"Explica OTR en las notas",IF(AND(K155="Finalizada",I155&lt;H155,L155=""),"Falta código de motivo","")))</f>
        <v/>
      </c>
      <c r="P155" s="9" t="str">
        <f aca="false">IF(OR(D155="",A155=""),"",IF(COUNTIFS(Revision_previa!$B:$B,D155,Revision_previa!$A:$A,"&gt;="&amp;A155,Revision_previa!$A:$A,"&lt;"&amp;(A155+1))=0,"Sin revisión",IF(COUNTIFS(Revision_previa!$B:$B,D155,Revision_previa!$A:$A,"&gt;="&amp;A155,Revision_previa!$A:$A,"&lt;"&amp;(A155+1),Revision_previa!$D:$D,"Falla")+COUNTIFS(Revision_previa!$B:$B,D155,Revision_previa!$A:$A,"&gt;="&amp;A155,Revision_previa!$A:$A,"&lt;"&amp;(A155+1),Revision_previa!$E:$E,"Falla")+COUNTIFS(Revision_previa!$B:$B,D155,Revision_previa!$A:$A,"&gt;="&amp;A155,Revision_previa!$A:$A,"&lt;"&amp;(A155+1),Revision_previa!$F:$F,"Falla")+COUNTIFS(Revision_previa!$B:$B,D155,Revision_previa!$A:$A,"&gt;="&amp;A155,Revision_previa!$A:$A,"&lt;"&amp;(A155+1),Revision_previa!$H:$H,"Encendido")&gt;0,"No apto","Apto")))</f>
        <v/>
      </c>
    </row>
    <row r="156" customFormat="false" ht="15" hidden="false" customHeight="false" outlineLevel="0" collapsed="false">
      <c r="A156" s="23"/>
      <c r="B156" s="9"/>
      <c r="C156" s="9"/>
      <c r="D156" s="9"/>
      <c r="E156" s="9" t="str">
        <f aca="false">IF(C156="","",IFERROR(INDEX(Conductores!$B:$B,MATCH(C156,Conductores!$A:$A,0)),"ID no encontrado"))</f>
        <v/>
      </c>
      <c r="F156" s="9" t="str">
        <f aca="false">IF(B156="","",IFERROR(INDEX(Rutas!$B:$B,MATCH(B156,Rutas!$A:$A,0)),"ID no encontrado"))</f>
        <v/>
      </c>
      <c r="G156" s="9" t="str">
        <f aca="false">IF(OR(B156="",C156="",D156=""),"",IF(OR(ISNA(MATCH(B156,Rutas!$A:$A,0)),ISNA(MATCH(C156,Conductores!$A:$A,0)),ISNA(MATCH(D156,Vehículos!$A:$A,0))),"REVISAR: ID no encontrado",IF(INDEX(Rutas!$C:$C,MATCH(B156,Rutas!$A:$A,0))&lt;&gt;INDEX(Vehículos!$B:$B,MATCH(D156,Vehículos!$A:$A,0)),"REVISAR: el vehículo no corresponde a la ruta",IF(INDEX(Rutas!$C:$C,MATCH(B156,Rutas!$A:$A,0))&lt;&gt;INDEX(Conductores!$D:$D,MATCH(C156,Conductores!$A:$A,0)),"REVISAR: el conductor no corresponde a la ruta",IF(OR(INDEX(Vehículos!$E:$E,MATCH(D156,Vehículos!$A:$A,0))="Taller",INDEX(Vehículos!$E:$E,MATCH(D156,Vehículos!$A:$A,0))="Fuera de servicio"),"REVISAR: vehículo no disponible",IF(INDEX(Conductores!$G:$G,MATCH(C156,Conductores!$A:$A,0))&lt;&gt;"Activo","REVISAR: conductor no activo",IF(COUNTIFS($A:$A,A156,$C:$C,C156)&gt;1,"REVISAR: conductor asignado dos veces",IF(COUNTIFS($A:$A,A156,$D:$D,D156)&gt;1,"REVISAR: vehículo asignado dos veces","OK"))))))))</f>
        <v/>
      </c>
      <c r="H156" s="9"/>
      <c r="I156" s="9"/>
      <c r="J156" s="14" t="str">
        <f aca="false">IF(OR(H156="",H156=0),"",I156/H156)</f>
        <v/>
      </c>
      <c r="K156" s="9"/>
      <c r="L156" s="9"/>
      <c r="M156" s="24"/>
      <c r="N156" s="9"/>
      <c r="O156" s="9" t="str">
        <f aca="false">IF(AND(OR(K156="En riesgo",K156="Atrasada"),L156=""),"Falta código de motivo",IF(AND(L156="OTR",N156=""),"Explica OTR en las notas",IF(AND(K156="Finalizada",I156&lt;H156,L156=""),"Falta código de motivo","")))</f>
        <v/>
      </c>
      <c r="P156" s="9" t="str">
        <f aca="false">IF(OR(D156="",A156=""),"",IF(COUNTIFS(Revision_previa!$B:$B,D156,Revision_previa!$A:$A,"&gt;="&amp;A156,Revision_previa!$A:$A,"&lt;"&amp;(A156+1))=0,"Sin revisión",IF(COUNTIFS(Revision_previa!$B:$B,D156,Revision_previa!$A:$A,"&gt;="&amp;A156,Revision_previa!$A:$A,"&lt;"&amp;(A156+1),Revision_previa!$D:$D,"Falla")+COUNTIFS(Revision_previa!$B:$B,D156,Revision_previa!$A:$A,"&gt;="&amp;A156,Revision_previa!$A:$A,"&lt;"&amp;(A156+1),Revision_previa!$E:$E,"Falla")+COUNTIFS(Revision_previa!$B:$B,D156,Revision_previa!$A:$A,"&gt;="&amp;A156,Revision_previa!$A:$A,"&lt;"&amp;(A156+1),Revision_previa!$F:$F,"Falla")+COUNTIFS(Revision_previa!$B:$B,D156,Revision_previa!$A:$A,"&gt;="&amp;A156,Revision_previa!$A:$A,"&lt;"&amp;(A156+1),Revision_previa!$H:$H,"Encendido")&gt;0,"No apto","Apto")))</f>
        <v/>
      </c>
    </row>
    <row r="157" customFormat="false" ht="15" hidden="false" customHeight="false" outlineLevel="0" collapsed="false">
      <c r="A157" s="23"/>
      <c r="B157" s="9"/>
      <c r="C157" s="9"/>
      <c r="D157" s="9"/>
      <c r="E157" s="9" t="str">
        <f aca="false">IF(C157="","",IFERROR(INDEX(Conductores!$B:$B,MATCH(C157,Conductores!$A:$A,0)),"ID no encontrado"))</f>
        <v/>
      </c>
      <c r="F157" s="9" t="str">
        <f aca="false">IF(B157="","",IFERROR(INDEX(Rutas!$B:$B,MATCH(B157,Rutas!$A:$A,0)),"ID no encontrado"))</f>
        <v/>
      </c>
      <c r="G157" s="9" t="str">
        <f aca="false">IF(OR(B157="",C157="",D157=""),"",IF(OR(ISNA(MATCH(B157,Rutas!$A:$A,0)),ISNA(MATCH(C157,Conductores!$A:$A,0)),ISNA(MATCH(D157,Vehículos!$A:$A,0))),"REVISAR: ID no encontrado",IF(INDEX(Rutas!$C:$C,MATCH(B157,Rutas!$A:$A,0))&lt;&gt;INDEX(Vehículos!$B:$B,MATCH(D157,Vehículos!$A:$A,0)),"REVISAR: el vehículo no corresponde a la ruta",IF(INDEX(Rutas!$C:$C,MATCH(B157,Rutas!$A:$A,0))&lt;&gt;INDEX(Conductores!$D:$D,MATCH(C157,Conductores!$A:$A,0)),"REVISAR: el conductor no corresponde a la ruta",IF(OR(INDEX(Vehículos!$E:$E,MATCH(D157,Vehículos!$A:$A,0))="Taller",INDEX(Vehículos!$E:$E,MATCH(D157,Vehículos!$A:$A,0))="Fuera de servicio"),"REVISAR: vehículo no disponible",IF(INDEX(Conductores!$G:$G,MATCH(C157,Conductores!$A:$A,0))&lt;&gt;"Activo","REVISAR: conductor no activo",IF(COUNTIFS($A:$A,A157,$C:$C,C157)&gt;1,"REVISAR: conductor asignado dos veces",IF(COUNTIFS($A:$A,A157,$D:$D,D157)&gt;1,"REVISAR: vehículo asignado dos veces","OK"))))))))</f>
        <v/>
      </c>
      <c r="H157" s="9"/>
      <c r="I157" s="9"/>
      <c r="J157" s="14" t="str">
        <f aca="false">IF(OR(H157="",H157=0),"",I157/H157)</f>
        <v/>
      </c>
      <c r="K157" s="9"/>
      <c r="L157" s="9"/>
      <c r="M157" s="24"/>
      <c r="N157" s="9"/>
      <c r="O157" s="9" t="str">
        <f aca="false">IF(AND(OR(K157="En riesgo",K157="Atrasada"),L157=""),"Falta código de motivo",IF(AND(L157="OTR",N157=""),"Explica OTR en las notas",IF(AND(K157="Finalizada",I157&lt;H157,L157=""),"Falta código de motivo","")))</f>
        <v/>
      </c>
      <c r="P157" s="9" t="str">
        <f aca="false">IF(OR(D157="",A157=""),"",IF(COUNTIFS(Revision_previa!$B:$B,D157,Revision_previa!$A:$A,"&gt;="&amp;A157,Revision_previa!$A:$A,"&lt;"&amp;(A157+1))=0,"Sin revisión",IF(COUNTIFS(Revision_previa!$B:$B,D157,Revision_previa!$A:$A,"&gt;="&amp;A157,Revision_previa!$A:$A,"&lt;"&amp;(A157+1),Revision_previa!$D:$D,"Falla")+COUNTIFS(Revision_previa!$B:$B,D157,Revision_previa!$A:$A,"&gt;="&amp;A157,Revision_previa!$A:$A,"&lt;"&amp;(A157+1),Revision_previa!$E:$E,"Falla")+COUNTIFS(Revision_previa!$B:$B,D157,Revision_previa!$A:$A,"&gt;="&amp;A157,Revision_previa!$A:$A,"&lt;"&amp;(A157+1),Revision_previa!$F:$F,"Falla")+COUNTIFS(Revision_previa!$B:$B,D157,Revision_previa!$A:$A,"&gt;="&amp;A157,Revision_previa!$A:$A,"&lt;"&amp;(A157+1),Revision_previa!$H:$H,"Encendido")&gt;0,"No apto","Apto")))</f>
        <v/>
      </c>
    </row>
    <row r="158" customFormat="false" ht="15" hidden="false" customHeight="false" outlineLevel="0" collapsed="false">
      <c r="A158" s="23"/>
      <c r="B158" s="9"/>
      <c r="C158" s="9"/>
      <c r="D158" s="9"/>
      <c r="E158" s="9" t="str">
        <f aca="false">IF(C158="","",IFERROR(INDEX(Conductores!$B:$B,MATCH(C158,Conductores!$A:$A,0)),"ID no encontrado"))</f>
        <v/>
      </c>
      <c r="F158" s="9" t="str">
        <f aca="false">IF(B158="","",IFERROR(INDEX(Rutas!$B:$B,MATCH(B158,Rutas!$A:$A,0)),"ID no encontrado"))</f>
        <v/>
      </c>
      <c r="G158" s="9" t="str">
        <f aca="false">IF(OR(B158="",C158="",D158=""),"",IF(OR(ISNA(MATCH(B158,Rutas!$A:$A,0)),ISNA(MATCH(C158,Conductores!$A:$A,0)),ISNA(MATCH(D158,Vehículos!$A:$A,0))),"REVISAR: ID no encontrado",IF(INDEX(Rutas!$C:$C,MATCH(B158,Rutas!$A:$A,0))&lt;&gt;INDEX(Vehículos!$B:$B,MATCH(D158,Vehículos!$A:$A,0)),"REVISAR: el vehículo no corresponde a la ruta",IF(INDEX(Rutas!$C:$C,MATCH(B158,Rutas!$A:$A,0))&lt;&gt;INDEX(Conductores!$D:$D,MATCH(C158,Conductores!$A:$A,0)),"REVISAR: el conductor no corresponde a la ruta",IF(OR(INDEX(Vehículos!$E:$E,MATCH(D158,Vehículos!$A:$A,0))="Taller",INDEX(Vehículos!$E:$E,MATCH(D158,Vehículos!$A:$A,0))="Fuera de servicio"),"REVISAR: vehículo no disponible",IF(INDEX(Conductores!$G:$G,MATCH(C158,Conductores!$A:$A,0))&lt;&gt;"Activo","REVISAR: conductor no activo",IF(COUNTIFS($A:$A,A158,$C:$C,C158)&gt;1,"REVISAR: conductor asignado dos veces",IF(COUNTIFS($A:$A,A158,$D:$D,D158)&gt;1,"REVISAR: vehículo asignado dos veces","OK"))))))))</f>
        <v/>
      </c>
      <c r="H158" s="9"/>
      <c r="I158" s="9"/>
      <c r="J158" s="14" t="str">
        <f aca="false">IF(OR(H158="",H158=0),"",I158/H158)</f>
        <v/>
      </c>
      <c r="K158" s="9"/>
      <c r="L158" s="9"/>
      <c r="M158" s="24"/>
      <c r="N158" s="9"/>
      <c r="O158" s="9" t="str">
        <f aca="false">IF(AND(OR(K158="En riesgo",K158="Atrasada"),L158=""),"Falta código de motivo",IF(AND(L158="OTR",N158=""),"Explica OTR en las notas",IF(AND(K158="Finalizada",I158&lt;H158,L158=""),"Falta código de motivo","")))</f>
        <v/>
      </c>
      <c r="P158" s="9" t="str">
        <f aca="false">IF(OR(D158="",A158=""),"",IF(COUNTIFS(Revision_previa!$B:$B,D158,Revision_previa!$A:$A,"&gt;="&amp;A158,Revision_previa!$A:$A,"&lt;"&amp;(A158+1))=0,"Sin revisión",IF(COUNTIFS(Revision_previa!$B:$B,D158,Revision_previa!$A:$A,"&gt;="&amp;A158,Revision_previa!$A:$A,"&lt;"&amp;(A158+1),Revision_previa!$D:$D,"Falla")+COUNTIFS(Revision_previa!$B:$B,D158,Revision_previa!$A:$A,"&gt;="&amp;A158,Revision_previa!$A:$A,"&lt;"&amp;(A158+1),Revision_previa!$E:$E,"Falla")+COUNTIFS(Revision_previa!$B:$B,D158,Revision_previa!$A:$A,"&gt;="&amp;A158,Revision_previa!$A:$A,"&lt;"&amp;(A158+1),Revision_previa!$F:$F,"Falla")+COUNTIFS(Revision_previa!$B:$B,D158,Revision_previa!$A:$A,"&gt;="&amp;A158,Revision_previa!$A:$A,"&lt;"&amp;(A158+1),Revision_previa!$H:$H,"Encendido")&gt;0,"No apto","Apto")))</f>
        <v/>
      </c>
    </row>
    <row r="159" customFormat="false" ht="15" hidden="false" customHeight="false" outlineLevel="0" collapsed="false">
      <c r="A159" s="23"/>
      <c r="B159" s="9"/>
      <c r="C159" s="9"/>
      <c r="D159" s="9"/>
      <c r="E159" s="9" t="str">
        <f aca="false">IF(C159="","",IFERROR(INDEX(Conductores!$B:$B,MATCH(C159,Conductores!$A:$A,0)),"ID no encontrado"))</f>
        <v/>
      </c>
      <c r="F159" s="9" t="str">
        <f aca="false">IF(B159="","",IFERROR(INDEX(Rutas!$B:$B,MATCH(B159,Rutas!$A:$A,0)),"ID no encontrado"))</f>
        <v/>
      </c>
      <c r="G159" s="9" t="str">
        <f aca="false">IF(OR(B159="",C159="",D159=""),"",IF(OR(ISNA(MATCH(B159,Rutas!$A:$A,0)),ISNA(MATCH(C159,Conductores!$A:$A,0)),ISNA(MATCH(D159,Vehículos!$A:$A,0))),"REVISAR: ID no encontrado",IF(INDEX(Rutas!$C:$C,MATCH(B159,Rutas!$A:$A,0))&lt;&gt;INDEX(Vehículos!$B:$B,MATCH(D159,Vehículos!$A:$A,0)),"REVISAR: el vehículo no corresponde a la ruta",IF(INDEX(Rutas!$C:$C,MATCH(B159,Rutas!$A:$A,0))&lt;&gt;INDEX(Conductores!$D:$D,MATCH(C159,Conductores!$A:$A,0)),"REVISAR: el conductor no corresponde a la ruta",IF(OR(INDEX(Vehículos!$E:$E,MATCH(D159,Vehículos!$A:$A,0))="Taller",INDEX(Vehículos!$E:$E,MATCH(D159,Vehículos!$A:$A,0))="Fuera de servicio"),"REVISAR: vehículo no disponible",IF(INDEX(Conductores!$G:$G,MATCH(C159,Conductores!$A:$A,0))&lt;&gt;"Activo","REVISAR: conductor no activo",IF(COUNTIFS($A:$A,A159,$C:$C,C159)&gt;1,"REVISAR: conductor asignado dos veces",IF(COUNTIFS($A:$A,A159,$D:$D,D159)&gt;1,"REVISAR: vehículo asignado dos veces","OK"))))))))</f>
        <v/>
      </c>
      <c r="H159" s="9"/>
      <c r="I159" s="9"/>
      <c r="J159" s="14" t="str">
        <f aca="false">IF(OR(H159="",H159=0),"",I159/H159)</f>
        <v/>
      </c>
      <c r="K159" s="9"/>
      <c r="L159" s="9"/>
      <c r="M159" s="24"/>
      <c r="N159" s="9"/>
      <c r="O159" s="9" t="str">
        <f aca="false">IF(AND(OR(K159="En riesgo",K159="Atrasada"),L159=""),"Falta código de motivo",IF(AND(L159="OTR",N159=""),"Explica OTR en las notas",IF(AND(K159="Finalizada",I159&lt;H159,L159=""),"Falta código de motivo","")))</f>
        <v/>
      </c>
      <c r="P159" s="9" t="str">
        <f aca="false">IF(OR(D159="",A159=""),"",IF(COUNTIFS(Revision_previa!$B:$B,D159,Revision_previa!$A:$A,"&gt;="&amp;A159,Revision_previa!$A:$A,"&lt;"&amp;(A159+1))=0,"Sin revisión",IF(COUNTIFS(Revision_previa!$B:$B,D159,Revision_previa!$A:$A,"&gt;="&amp;A159,Revision_previa!$A:$A,"&lt;"&amp;(A159+1),Revision_previa!$D:$D,"Falla")+COUNTIFS(Revision_previa!$B:$B,D159,Revision_previa!$A:$A,"&gt;="&amp;A159,Revision_previa!$A:$A,"&lt;"&amp;(A159+1),Revision_previa!$E:$E,"Falla")+COUNTIFS(Revision_previa!$B:$B,D159,Revision_previa!$A:$A,"&gt;="&amp;A159,Revision_previa!$A:$A,"&lt;"&amp;(A159+1),Revision_previa!$F:$F,"Falla")+COUNTIFS(Revision_previa!$B:$B,D159,Revision_previa!$A:$A,"&gt;="&amp;A159,Revision_previa!$A:$A,"&lt;"&amp;(A159+1),Revision_previa!$H:$H,"Encendido")&gt;0,"No apto","Apto")))</f>
        <v/>
      </c>
    </row>
    <row r="160" customFormat="false" ht="15" hidden="false" customHeight="false" outlineLevel="0" collapsed="false">
      <c r="A160" s="23"/>
      <c r="B160" s="9"/>
      <c r="C160" s="9"/>
      <c r="D160" s="9"/>
      <c r="E160" s="9" t="str">
        <f aca="false">IF(C160="","",IFERROR(INDEX(Conductores!$B:$B,MATCH(C160,Conductores!$A:$A,0)),"ID no encontrado"))</f>
        <v/>
      </c>
      <c r="F160" s="9" t="str">
        <f aca="false">IF(B160="","",IFERROR(INDEX(Rutas!$B:$B,MATCH(B160,Rutas!$A:$A,0)),"ID no encontrado"))</f>
        <v/>
      </c>
      <c r="G160" s="9" t="str">
        <f aca="false">IF(OR(B160="",C160="",D160=""),"",IF(OR(ISNA(MATCH(B160,Rutas!$A:$A,0)),ISNA(MATCH(C160,Conductores!$A:$A,0)),ISNA(MATCH(D160,Vehículos!$A:$A,0))),"REVISAR: ID no encontrado",IF(INDEX(Rutas!$C:$C,MATCH(B160,Rutas!$A:$A,0))&lt;&gt;INDEX(Vehículos!$B:$B,MATCH(D160,Vehículos!$A:$A,0)),"REVISAR: el vehículo no corresponde a la ruta",IF(INDEX(Rutas!$C:$C,MATCH(B160,Rutas!$A:$A,0))&lt;&gt;INDEX(Conductores!$D:$D,MATCH(C160,Conductores!$A:$A,0)),"REVISAR: el conductor no corresponde a la ruta",IF(OR(INDEX(Vehículos!$E:$E,MATCH(D160,Vehículos!$A:$A,0))="Taller",INDEX(Vehículos!$E:$E,MATCH(D160,Vehículos!$A:$A,0))="Fuera de servicio"),"REVISAR: vehículo no disponible",IF(INDEX(Conductores!$G:$G,MATCH(C160,Conductores!$A:$A,0))&lt;&gt;"Activo","REVISAR: conductor no activo",IF(COUNTIFS($A:$A,A160,$C:$C,C160)&gt;1,"REVISAR: conductor asignado dos veces",IF(COUNTIFS($A:$A,A160,$D:$D,D160)&gt;1,"REVISAR: vehículo asignado dos veces","OK"))))))))</f>
        <v/>
      </c>
      <c r="H160" s="9"/>
      <c r="I160" s="9"/>
      <c r="J160" s="14" t="str">
        <f aca="false">IF(OR(H160="",H160=0),"",I160/H160)</f>
        <v/>
      </c>
      <c r="K160" s="9"/>
      <c r="L160" s="9"/>
      <c r="M160" s="24"/>
      <c r="N160" s="9"/>
      <c r="O160" s="9" t="str">
        <f aca="false">IF(AND(OR(K160="En riesgo",K160="Atrasada"),L160=""),"Falta código de motivo",IF(AND(L160="OTR",N160=""),"Explica OTR en las notas",IF(AND(K160="Finalizada",I160&lt;H160,L160=""),"Falta código de motivo","")))</f>
        <v/>
      </c>
      <c r="P160" s="9" t="str">
        <f aca="false">IF(OR(D160="",A160=""),"",IF(COUNTIFS(Revision_previa!$B:$B,D160,Revision_previa!$A:$A,"&gt;="&amp;A160,Revision_previa!$A:$A,"&lt;"&amp;(A160+1))=0,"Sin revisión",IF(COUNTIFS(Revision_previa!$B:$B,D160,Revision_previa!$A:$A,"&gt;="&amp;A160,Revision_previa!$A:$A,"&lt;"&amp;(A160+1),Revision_previa!$D:$D,"Falla")+COUNTIFS(Revision_previa!$B:$B,D160,Revision_previa!$A:$A,"&gt;="&amp;A160,Revision_previa!$A:$A,"&lt;"&amp;(A160+1),Revision_previa!$E:$E,"Falla")+COUNTIFS(Revision_previa!$B:$B,D160,Revision_previa!$A:$A,"&gt;="&amp;A160,Revision_previa!$A:$A,"&lt;"&amp;(A160+1),Revision_previa!$F:$F,"Falla")+COUNTIFS(Revision_previa!$B:$B,D160,Revision_previa!$A:$A,"&gt;="&amp;A160,Revision_previa!$A:$A,"&lt;"&amp;(A160+1),Revision_previa!$H:$H,"Encendido")&gt;0,"No apto","Apto")))</f>
        <v/>
      </c>
    </row>
    <row r="161" customFormat="false" ht="15" hidden="false" customHeight="false" outlineLevel="0" collapsed="false">
      <c r="A161" s="23"/>
      <c r="B161" s="9"/>
      <c r="C161" s="9"/>
      <c r="D161" s="9"/>
      <c r="E161" s="9" t="str">
        <f aca="false">IF(C161="","",IFERROR(INDEX(Conductores!$B:$B,MATCH(C161,Conductores!$A:$A,0)),"ID no encontrado"))</f>
        <v/>
      </c>
      <c r="F161" s="9" t="str">
        <f aca="false">IF(B161="","",IFERROR(INDEX(Rutas!$B:$B,MATCH(B161,Rutas!$A:$A,0)),"ID no encontrado"))</f>
        <v/>
      </c>
      <c r="G161" s="9" t="str">
        <f aca="false">IF(OR(B161="",C161="",D161=""),"",IF(OR(ISNA(MATCH(B161,Rutas!$A:$A,0)),ISNA(MATCH(C161,Conductores!$A:$A,0)),ISNA(MATCH(D161,Vehículos!$A:$A,0))),"REVISAR: ID no encontrado",IF(INDEX(Rutas!$C:$C,MATCH(B161,Rutas!$A:$A,0))&lt;&gt;INDEX(Vehículos!$B:$B,MATCH(D161,Vehículos!$A:$A,0)),"REVISAR: el vehículo no corresponde a la ruta",IF(INDEX(Rutas!$C:$C,MATCH(B161,Rutas!$A:$A,0))&lt;&gt;INDEX(Conductores!$D:$D,MATCH(C161,Conductores!$A:$A,0)),"REVISAR: el conductor no corresponde a la ruta",IF(OR(INDEX(Vehículos!$E:$E,MATCH(D161,Vehículos!$A:$A,0))="Taller",INDEX(Vehículos!$E:$E,MATCH(D161,Vehículos!$A:$A,0))="Fuera de servicio"),"REVISAR: vehículo no disponible",IF(INDEX(Conductores!$G:$G,MATCH(C161,Conductores!$A:$A,0))&lt;&gt;"Activo","REVISAR: conductor no activo",IF(COUNTIFS($A:$A,A161,$C:$C,C161)&gt;1,"REVISAR: conductor asignado dos veces",IF(COUNTIFS($A:$A,A161,$D:$D,D161)&gt;1,"REVISAR: vehículo asignado dos veces","OK"))))))))</f>
        <v/>
      </c>
      <c r="H161" s="9"/>
      <c r="I161" s="9"/>
      <c r="J161" s="14" t="str">
        <f aca="false">IF(OR(H161="",H161=0),"",I161/H161)</f>
        <v/>
      </c>
      <c r="K161" s="9"/>
      <c r="L161" s="9"/>
      <c r="M161" s="24"/>
      <c r="N161" s="9"/>
      <c r="O161" s="9" t="str">
        <f aca="false">IF(AND(OR(K161="En riesgo",K161="Atrasada"),L161=""),"Falta código de motivo",IF(AND(L161="OTR",N161=""),"Explica OTR en las notas",IF(AND(K161="Finalizada",I161&lt;H161,L161=""),"Falta código de motivo","")))</f>
        <v/>
      </c>
      <c r="P161" s="9" t="str">
        <f aca="false">IF(OR(D161="",A161=""),"",IF(COUNTIFS(Revision_previa!$B:$B,D161,Revision_previa!$A:$A,"&gt;="&amp;A161,Revision_previa!$A:$A,"&lt;"&amp;(A161+1))=0,"Sin revisión",IF(COUNTIFS(Revision_previa!$B:$B,D161,Revision_previa!$A:$A,"&gt;="&amp;A161,Revision_previa!$A:$A,"&lt;"&amp;(A161+1),Revision_previa!$D:$D,"Falla")+COUNTIFS(Revision_previa!$B:$B,D161,Revision_previa!$A:$A,"&gt;="&amp;A161,Revision_previa!$A:$A,"&lt;"&amp;(A161+1),Revision_previa!$E:$E,"Falla")+COUNTIFS(Revision_previa!$B:$B,D161,Revision_previa!$A:$A,"&gt;="&amp;A161,Revision_previa!$A:$A,"&lt;"&amp;(A161+1),Revision_previa!$F:$F,"Falla")+COUNTIFS(Revision_previa!$B:$B,D161,Revision_previa!$A:$A,"&gt;="&amp;A161,Revision_previa!$A:$A,"&lt;"&amp;(A161+1),Revision_previa!$H:$H,"Encendido")&gt;0,"No apto","Apto")))</f>
        <v/>
      </c>
    </row>
    <row r="162" customFormat="false" ht="15" hidden="false" customHeight="false" outlineLevel="0" collapsed="false">
      <c r="A162" s="23"/>
      <c r="B162" s="9"/>
      <c r="C162" s="9"/>
      <c r="D162" s="9"/>
      <c r="E162" s="9" t="str">
        <f aca="false">IF(C162="","",IFERROR(INDEX(Conductores!$B:$B,MATCH(C162,Conductores!$A:$A,0)),"ID no encontrado"))</f>
        <v/>
      </c>
      <c r="F162" s="9" t="str">
        <f aca="false">IF(B162="","",IFERROR(INDEX(Rutas!$B:$B,MATCH(B162,Rutas!$A:$A,0)),"ID no encontrado"))</f>
        <v/>
      </c>
      <c r="G162" s="9" t="str">
        <f aca="false">IF(OR(B162="",C162="",D162=""),"",IF(OR(ISNA(MATCH(B162,Rutas!$A:$A,0)),ISNA(MATCH(C162,Conductores!$A:$A,0)),ISNA(MATCH(D162,Vehículos!$A:$A,0))),"REVISAR: ID no encontrado",IF(INDEX(Rutas!$C:$C,MATCH(B162,Rutas!$A:$A,0))&lt;&gt;INDEX(Vehículos!$B:$B,MATCH(D162,Vehículos!$A:$A,0)),"REVISAR: el vehículo no corresponde a la ruta",IF(INDEX(Rutas!$C:$C,MATCH(B162,Rutas!$A:$A,0))&lt;&gt;INDEX(Conductores!$D:$D,MATCH(C162,Conductores!$A:$A,0)),"REVISAR: el conductor no corresponde a la ruta",IF(OR(INDEX(Vehículos!$E:$E,MATCH(D162,Vehículos!$A:$A,0))="Taller",INDEX(Vehículos!$E:$E,MATCH(D162,Vehículos!$A:$A,0))="Fuera de servicio"),"REVISAR: vehículo no disponible",IF(INDEX(Conductores!$G:$G,MATCH(C162,Conductores!$A:$A,0))&lt;&gt;"Activo","REVISAR: conductor no activo",IF(COUNTIFS($A:$A,A162,$C:$C,C162)&gt;1,"REVISAR: conductor asignado dos veces",IF(COUNTIFS($A:$A,A162,$D:$D,D162)&gt;1,"REVISAR: vehículo asignado dos veces","OK"))))))))</f>
        <v/>
      </c>
      <c r="H162" s="9"/>
      <c r="I162" s="9"/>
      <c r="J162" s="14" t="str">
        <f aca="false">IF(OR(H162="",H162=0),"",I162/H162)</f>
        <v/>
      </c>
      <c r="K162" s="9"/>
      <c r="L162" s="9"/>
      <c r="M162" s="24"/>
      <c r="N162" s="9"/>
      <c r="O162" s="9" t="str">
        <f aca="false">IF(AND(OR(K162="En riesgo",K162="Atrasada"),L162=""),"Falta código de motivo",IF(AND(L162="OTR",N162=""),"Explica OTR en las notas",IF(AND(K162="Finalizada",I162&lt;H162,L162=""),"Falta código de motivo","")))</f>
        <v/>
      </c>
      <c r="P162" s="9" t="str">
        <f aca="false">IF(OR(D162="",A162=""),"",IF(COUNTIFS(Revision_previa!$B:$B,D162,Revision_previa!$A:$A,"&gt;="&amp;A162,Revision_previa!$A:$A,"&lt;"&amp;(A162+1))=0,"Sin revisión",IF(COUNTIFS(Revision_previa!$B:$B,D162,Revision_previa!$A:$A,"&gt;="&amp;A162,Revision_previa!$A:$A,"&lt;"&amp;(A162+1),Revision_previa!$D:$D,"Falla")+COUNTIFS(Revision_previa!$B:$B,D162,Revision_previa!$A:$A,"&gt;="&amp;A162,Revision_previa!$A:$A,"&lt;"&amp;(A162+1),Revision_previa!$E:$E,"Falla")+COUNTIFS(Revision_previa!$B:$B,D162,Revision_previa!$A:$A,"&gt;="&amp;A162,Revision_previa!$A:$A,"&lt;"&amp;(A162+1),Revision_previa!$F:$F,"Falla")+COUNTIFS(Revision_previa!$B:$B,D162,Revision_previa!$A:$A,"&gt;="&amp;A162,Revision_previa!$A:$A,"&lt;"&amp;(A162+1),Revision_previa!$H:$H,"Encendido")&gt;0,"No apto","Apto")))</f>
        <v/>
      </c>
    </row>
    <row r="163" customFormat="false" ht="15" hidden="false" customHeight="false" outlineLevel="0" collapsed="false">
      <c r="A163" s="23"/>
      <c r="B163" s="9"/>
      <c r="C163" s="9"/>
      <c r="D163" s="9"/>
      <c r="E163" s="9" t="str">
        <f aca="false">IF(C163="","",IFERROR(INDEX(Conductores!$B:$B,MATCH(C163,Conductores!$A:$A,0)),"ID no encontrado"))</f>
        <v/>
      </c>
      <c r="F163" s="9" t="str">
        <f aca="false">IF(B163="","",IFERROR(INDEX(Rutas!$B:$B,MATCH(B163,Rutas!$A:$A,0)),"ID no encontrado"))</f>
        <v/>
      </c>
      <c r="G163" s="9" t="str">
        <f aca="false">IF(OR(B163="",C163="",D163=""),"",IF(OR(ISNA(MATCH(B163,Rutas!$A:$A,0)),ISNA(MATCH(C163,Conductores!$A:$A,0)),ISNA(MATCH(D163,Vehículos!$A:$A,0))),"REVISAR: ID no encontrado",IF(INDEX(Rutas!$C:$C,MATCH(B163,Rutas!$A:$A,0))&lt;&gt;INDEX(Vehículos!$B:$B,MATCH(D163,Vehículos!$A:$A,0)),"REVISAR: el vehículo no corresponde a la ruta",IF(INDEX(Rutas!$C:$C,MATCH(B163,Rutas!$A:$A,0))&lt;&gt;INDEX(Conductores!$D:$D,MATCH(C163,Conductores!$A:$A,0)),"REVISAR: el conductor no corresponde a la ruta",IF(OR(INDEX(Vehículos!$E:$E,MATCH(D163,Vehículos!$A:$A,0))="Taller",INDEX(Vehículos!$E:$E,MATCH(D163,Vehículos!$A:$A,0))="Fuera de servicio"),"REVISAR: vehículo no disponible",IF(INDEX(Conductores!$G:$G,MATCH(C163,Conductores!$A:$A,0))&lt;&gt;"Activo","REVISAR: conductor no activo",IF(COUNTIFS($A:$A,A163,$C:$C,C163)&gt;1,"REVISAR: conductor asignado dos veces",IF(COUNTIFS($A:$A,A163,$D:$D,D163)&gt;1,"REVISAR: vehículo asignado dos veces","OK"))))))))</f>
        <v/>
      </c>
      <c r="H163" s="9"/>
      <c r="I163" s="9"/>
      <c r="J163" s="14" t="str">
        <f aca="false">IF(OR(H163="",H163=0),"",I163/H163)</f>
        <v/>
      </c>
      <c r="K163" s="9"/>
      <c r="L163" s="9"/>
      <c r="M163" s="24"/>
      <c r="N163" s="9"/>
      <c r="O163" s="9" t="str">
        <f aca="false">IF(AND(OR(K163="En riesgo",K163="Atrasada"),L163=""),"Falta código de motivo",IF(AND(L163="OTR",N163=""),"Explica OTR en las notas",IF(AND(K163="Finalizada",I163&lt;H163,L163=""),"Falta código de motivo","")))</f>
        <v/>
      </c>
      <c r="P163" s="9" t="str">
        <f aca="false">IF(OR(D163="",A163=""),"",IF(COUNTIFS(Revision_previa!$B:$B,D163,Revision_previa!$A:$A,"&gt;="&amp;A163,Revision_previa!$A:$A,"&lt;"&amp;(A163+1))=0,"Sin revisión",IF(COUNTIFS(Revision_previa!$B:$B,D163,Revision_previa!$A:$A,"&gt;="&amp;A163,Revision_previa!$A:$A,"&lt;"&amp;(A163+1),Revision_previa!$D:$D,"Falla")+COUNTIFS(Revision_previa!$B:$B,D163,Revision_previa!$A:$A,"&gt;="&amp;A163,Revision_previa!$A:$A,"&lt;"&amp;(A163+1),Revision_previa!$E:$E,"Falla")+COUNTIFS(Revision_previa!$B:$B,D163,Revision_previa!$A:$A,"&gt;="&amp;A163,Revision_previa!$A:$A,"&lt;"&amp;(A163+1),Revision_previa!$F:$F,"Falla")+COUNTIFS(Revision_previa!$B:$B,D163,Revision_previa!$A:$A,"&gt;="&amp;A163,Revision_previa!$A:$A,"&lt;"&amp;(A163+1),Revision_previa!$H:$H,"Encendido")&gt;0,"No apto","Apto")))</f>
        <v/>
      </c>
    </row>
    <row r="164" customFormat="false" ht="15" hidden="false" customHeight="false" outlineLevel="0" collapsed="false">
      <c r="A164" s="23"/>
      <c r="B164" s="9"/>
      <c r="C164" s="9"/>
      <c r="D164" s="9"/>
      <c r="E164" s="9" t="str">
        <f aca="false">IF(C164="","",IFERROR(INDEX(Conductores!$B:$B,MATCH(C164,Conductores!$A:$A,0)),"ID no encontrado"))</f>
        <v/>
      </c>
      <c r="F164" s="9" t="str">
        <f aca="false">IF(B164="","",IFERROR(INDEX(Rutas!$B:$B,MATCH(B164,Rutas!$A:$A,0)),"ID no encontrado"))</f>
        <v/>
      </c>
      <c r="G164" s="9" t="str">
        <f aca="false">IF(OR(B164="",C164="",D164=""),"",IF(OR(ISNA(MATCH(B164,Rutas!$A:$A,0)),ISNA(MATCH(C164,Conductores!$A:$A,0)),ISNA(MATCH(D164,Vehículos!$A:$A,0))),"REVISAR: ID no encontrado",IF(INDEX(Rutas!$C:$C,MATCH(B164,Rutas!$A:$A,0))&lt;&gt;INDEX(Vehículos!$B:$B,MATCH(D164,Vehículos!$A:$A,0)),"REVISAR: el vehículo no corresponde a la ruta",IF(INDEX(Rutas!$C:$C,MATCH(B164,Rutas!$A:$A,0))&lt;&gt;INDEX(Conductores!$D:$D,MATCH(C164,Conductores!$A:$A,0)),"REVISAR: el conductor no corresponde a la ruta",IF(OR(INDEX(Vehículos!$E:$E,MATCH(D164,Vehículos!$A:$A,0))="Taller",INDEX(Vehículos!$E:$E,MATCH(D164,Vehículos!$A:$A,0))="Fuera de servicio"),"REVISAR: vehículo no disponible",IF(INDEX(Conductores!$G:$G,MATCH(C164,Conductores!$A:$A,0))&lt;&gt;"Activo","REVISAR: conductor no activo",IF(COUNTIFS($A:$A,A164,$C:$C,C164)&gt;1,"REVISAR: conductor asignado dos veces",IF(COUNTIFS($A:$A,A164,$D:$D,D164)&gt;1,"REVISAR: vehículo asignado dos veces","OK"))))))))</f>
        <v/>
      </c>
      <c r="H164" s="9"/>
      <c r="I164" s="9"/>
      <c r="J164" s="14" t="str">
        <f aca="false">IF(OR(H164="",H164=0),"",I164/H164)</f>
        <v/>
      </c>
      <c r="K164" s="9"/>
      <c r="L164" s="9"/>
      <c r="M164" s="24"/>
      <c r="N164" s="9"/>
      <c r="O164" s="9" t="str">
        <f aca="false">IF(AND(OR(K164="En riesgo",K164="Atrasada"),L164=""),"Falta código de motivo",IF(AND(L164="OTR",N164=""),"Explica OTR en las notas",IF(AND(K164="Finalizada",I164&lt;H164,L164=""),"Falta código de motivo","")))</f>
        <v/>
      </c>
      <c r="P164" s="9" t="str">
        <f aca="false">IF(OR(D164="",A164=""),"",IF(COUNTIFS(Revision_previa!$B:$B,D164,Revision_previa!$A:$A,"&gt;="&amp;A164,Revision_previa!$A:$A,"&lt;"&amp;(A164+1))=0,"Sin revisión",IF(COUNTIFS(Revision_previa!$B:$B,D164,Revision_previa!$A:$A,"&gt;="&amp;A164,Revision_previa!$A:$A,"&lt;"&amp;(A164+1),Revision_previa!$D:$D,"Falla")+COUNTIFS(Revision_previa!$B:$B,D164,Revision_previa!$A:$A,"&gt;="&amp;A164,Revision_previa!$A:$A,"&lt;"&amp;(A164+1),Revision_previa!$E:$E,"Falla")+COUNTIFS(Revision_previa!$B:$B,D164,Revision_previa!$A:$A,"&gt;="&amp;A164,Revision_previa!$A:$A,"&lt;"&amp;(A164+1),Revision_previa!$F:$F,"Falla")+COUNTIFS(Revision_previa!$B:$B,D164,Revision_previa!$A:$A,"&gt;="&amp;A164,Revision_previa!$A:$A,"&lt;"&amp;(A164+1),Revision_previa!$H:$H,"Encendido")&gt;0,"No apto","Apto")))</f>
        <v/>
      </c>
    </row>
    <row r="165" customFormat="false" ht="15" hidden="false" customHeight="false" outlineLevel="0" collapsed="false">
      <c r="A165" s="23"/>
      <c r="B165" s="9"/>
      <c r="C165" s="9"/>
      <c r="D165" s="9"/>
      <c r="E165" s="9" t="str">
        <f aca="false">IF(C165="","",IFERROR(INDEX(Conductores!$B:$B,MATCH(C165,Conductores!$A:$A,0)),"ID no encontrado"))</f>
        <v/>
      </c>
      <c r="F165" s="9" t="str">
        <f aca="false">IF(B165="","",IFERROR(INDEX(Rutas!$B:$B,MATCH(B165,Rutas!$A:$A,0)),"ID no encontrado"))</f>
        <v/>
      </c>
      <c r="G165" s="9" t="str">
        <f aca="false">IF(OR(B165="",C165="",D165=""),"",IF(OR(ISNA(MATCH(B165,Rutas!$A:$A,0)),ISNA(MATCH(C165,Conductores!$A:$A,0)),ISNA(MATCH(D165,Vehículos!$A:$A,0))),"REVISAR: ID no encontrado",IF(INDEX(Rutas!$C:$C,MATCH(B165,Rutas!$A:$A,0))&lt;&gt;INDEX(Vehículos!$B:$B,MATCH(D165,Vehículos!$A:$A,0)),"REVISAR: el vehículo no corresponde a la ruta",IF(INDEX(Rutas!$C:$C,MATCH(B165,Rutas!$A:$A,0))&lt;&gt;INDEX(Conductores!$D:$D,MATCH(C165,Conductores!$A:$A,0)),"REVISAR: el conductor no corresponde a la ruta",IF(OR(INDEX(Vehículos!$E:$E,MATCH(D165,Vehículos!$A:$A,0))="Taller",INDEX(Vehículos!$E:$E,MATCH(D165,Vehículos!$A:$A,0))="Fuera de servicio"),"REVISAR: vehículo no disponible",IF(INDEX(Conductores!$G:$G,MATCH(C165,Conductores!$A:$A,0))&lt;&gt;"Activo","REVISAR: conductor no activo",IF(COUNTIFS($A:$A,A165,$C:$C,C165)&gt;1,"REVISAR: conductor asignado dos veces",IF(COUNTIFS($A:$A,A165,$D:$D,D165)&gt;1,"REVISAR: vehículo asignado dos veces","OK"))))))))</f>
        <v/>
      </c>
      <c r="H165" s="9"/>
      <c r="I165" s="9"/>
      <c r="J165" s="14" t="str">
        <f aca="false">IF(OR(H165="",H165=0),"",I165/H165)</f>
        <v/>
      </c>
      <c r="K165" s="9"/>
      <c r="L165" s="9"/>
      <c r="M165" s="24"/>
      <c r="N165" s="9"/>
      <c r="O165" s="9" t="str">
        <f aca="false">IF(AND(OR(K165="En riesgo",K165="Atrasada"),L165=""),"Falta código de motivo",IF(AND(L165="OTR",N165=""),"Explica OTR en las notas",IF(AND(K165="Finalizada",I165&lt;H165,L165=""),"Falta código de motivo","")))</f>
        <v/>
      </c>
      <c r="P165" s="9" t="str">
        <f aca="false">IF(OR(D165="",A165=""),"",IF(COUNTIFS(Revision_previa!$B:$B,D165,Revision_previa!$A:$A,"&gt;="&amp;A165,Revision_previa!$A:$A,"&lt;"&amp;(A165+1))=0,"Sin revisión",IF(COUNTIFS(Revision_previa!$B:$B,D165,Revision_previa!$A:$A,"&gt;="&amp;A165,Revision_previa!$A:$A,"&lt;"&amp;(A165+1),Revision_previa!$D:$D,"Falla")+COUNTIFS(Revision_previa!$B:$B,D165,Revision_previa!$A:$A,"&gt;="&amp;A165,Revision_previa!$A:$A,"&lt;"&amp;(A165+1),Revision_previa!$E:$E,"Falla")+COUNTIFS(Revision_previa!$B:$B,D165,Revision_previa!$A:$A,"&gt;="&amp;A165,Revision_previa!$A:$A,"&lt;"&amp;(A165+1),Revision_previa!$F:$F,"Falla")+COUNTIFS(Revision_previa!$B:$B,D165,Revision_previa!$A:$A,"&gt;="&amp;A165,Revision_previa!$A:$A,"&lt;"&amp;(A165+1),Revision_previa!$H:$H,"Encendido")&gt;0,"No apto","Apto")))</f>
        <v/>
      </c>
    </row>
    <row r="166" customFormat="false" ht="15" hidden="false" customHeight="false" outlineLevel="0" collapsed="false">
      <c r="A166" s="23"/>
      <c r="B166" s="9"/>
      <c r="C166" s="9"/>
      <c r="D166" s="9"/>
      <c r="E166" s="9" t="str">
        <f aca="false">IF(C166="","",IFERROR(INDEX(Conductores!$B:$B,MATCH(C166,Conductores!$A:$A,0)),"ID no encontrado"))</f>
        <v/>
      </c>
      <c r="F166" s="9" t="str">
        <f aca="false">IF(B166="","",IFERROR(INDEX(Rutas!$B:$B,MATCH(B166,Rutas!$A:$A,0)),"ID no encontrado"))</f>
        <v/>
      </c>
      <c r="G166" s="9" t="str">
        <f aca="false">IF(OR(B166="",C166="",D166=""),"",IF(OR(ISNA(MATCH(B166,Rutas!$A:$A,0)),ISNA(MATCH(C166,Conductores!$A:$A,0)),ISNA(MATCH(D166,Vehículos!$A:$A,0))),"REVISAR: ID no encontrado",IF(INDEX(Rutas!$C:$C,MATCH(B166,Rutas!$A:$A,0))&lt;&gt;INDEX(Vehículos!$B:$B,MATCH(D166,Vehículos!$A:$A,0)),"REVISAR: el vehículo no corresponde a la ruta",IF(INDEX(Rutas!$C:$C,MATCH(B166,Rutas!$A:$A,0))&lt;&gt;INDEX(Conductores!$D:$D,MATCH(C166,Conductores!$A:$A,0)),"REVISAR: el conductor no corresponde a la ruta",IF(OR(INDEX(Vehículos!$E:$E,MATCH(D166,Vehículos!$A:$A,0))="Taller",INDEX(Vehículos!$E:$E,MATCH(D166,Vehículos!$A:$A,0))="Fuera de servicio"),"REVISAR: vehículo no disponible",IF(INDEX(Conductores!$G:$G,MATCH(C166,Conductores!$A:$A,0))&lt;&gt;"Activo","REVISAR: conductor no activo",IF(COUNTIFS($A:$A,A166,$C:$C,C166)&gt;1,"REVISAR: conductor asignado dos veces",IF(COUNTIFS($A:$A,A166,$D:$D,D166)&gt;1,"REVISAR: vehículo asignado dos veces","OK"))))))))</f>
        <v/>
      </c>
      <c r="H166" s="9"/>
      <c r="I166" s="9"/>
      <c r="J166" s="14" t="str">
        <f aca="false">IF(OR(H166="",H166=0),"",I166/H166)</f>
        <v/>
      </c>
      <c r="K166" s="9"/>
      <c r="L166" s="9"/>
      <c r="M166" s="24"/>
      <c r="N166" s="9"/>
      <c r="O166" s="9" t="str">
        <f aca="false">IF(AND(OR(K166="En riesgo",K166="Atrasada"),L166=""),"Falta código de motivo",IF(AND(L166="OTR",N166=""),"Explica OTR en las notas",IF(AND(K166="Finalizada",I166&lt;H166,L166=""),"Falta código de motivo","")))</f>
        <v/>
      </c>
      <c r="P166" s="9" t="str">
        <f aca="false">IF(OR(D166="",A166=""),"",IF(COUNTIFS(Revision_previa!$B:$B,D166,Revision_previa!$A:$A,"&gt;="&amp;A166,Revision_previa!$A:$A,"&lt;"&amp;(A166+1))=0,"Sin revisión",IF(COUNTIFS(Revision_previa!$B:$B,D166,Revision_previa!$A:$A,"&gt;="&amp;A166,Revision_previa!$A:$A,"&lt;"&amp;(A166+1),Revision_previa!$D:$D,"Falla")+COUNTIFS(Revision_previa!$B:$B,D166,Revision_previa!$A:$A,"&gt;="&amp;A166,Revision_previa!$A:$A,"&lt;"&amp;(A166+1),Revision_previa!$E:$E,"Falla")+COUNTIFS(Revision_previa!$B:$B,D166,Revision_previa!$A:$A,"&gt;="&amp;A166,Revision_previa!$A:$A,"&lt;"&amp;(A166+1),Revision_previa!$F:$F,"Falla")+COUNTIFS(Revision_previa!$B:$B,D166,Revision_previa!$A:$A,"&gt;="&amp;A166,Revision_previa!$A:$A,"&lt;"&amp;(A166+1),Revision_previa!$H:$H,"Encendido")&gt;0,"No apto","Apto")))</f>
        <v/>
      </c>
    </row>
    <row r="167" customFormat="false" ht="15" hidden="false" customHeight="false" outlineLevel="0" collapsed="false">
      <c r="A167" s="23"/>
      <c r="B167" s="9"/>
      <c r="C167" s="9"/>
      <c r="D167" s="9"/>
      <c r="E167" s="9" t="str">
        <f aca="false">IF(C167="","",IFERROR(INDEX(Conductores!$B:$B,MATCH(C167,Conductores!$A:$A,0)),"ID no encontrado"))</f>
        <v/>
      </c>
      <c r="F167" s="9" t="str">
        <f aca="false">IF(B167="","",IFERROR(INDEX(Rutas!$B:$B,MATCH(B167,Rutas!$A:$A,0)),"ID no encontrado"))</f>
        <v/>
      </c>
      <c r="G167" s="9" t="str">
        <f aca="false">IF(OR(B167="",C167="",D167=""),"",IF(OR(ISNA(MATCH(B167,Rutas!$A:$A,0)),ISNA(MATCH(C167,Conductores!$A:$A,0)),ISNA(MATCH(D167,Vehículos!$A:$A,0))),"REVISAR: ID no encontrado",IF(INDEX(Rutas!$C:$C,MATCH(B167,Rutas!$A:$A,0))&lt;&gt;INDEX(Vehículos!$B:$B,MATCH(D167,Vehículos!$A:$A,0)),"REVISAR: el vehículo no corresponde a la ruta",IF(INDEX(Rutas!$C:$C,MATCH(B167,Rutas!$A:$A,0))&lt;&gt;INDEX(Conductores!$D:$D,MATCH(C167,Conductores!$A:$A,0)),"REVISAR: el conductor no corresponde a la ruta",IF(OR(INDEX(Vehículos!$E:$E,MATCH(D167,Vehículos!$A:$A,0))="Taller",INDEX(Vehículos!$E:$E,MATCH(D167,Vehículos!$A:$A,0))="Fuera de servicio"),"REVISAR: vehículo no disponible",IF(INDEX(Conductores!$G:$G,MATCH(C167,Conductores!$A:$A,0))&lt;&gt;"Activo","REVISAR: conductor no activo",IF(COUNTIFS($A:$A,A167,$C:$C,C167)&gt;1,"REVISAR: conductor asignado dos veces",IF(COUNTIFS($A:$A,A167,$D:$D,D167)&gt;1,"REVISAR: vehículo asignado dos veces","OK"))))))))</f>
        <v/>
      </c>
      <c r="H167" s="9"/>
      <c r="I167" s="9"/>
      <c r="J167" s="14" t="str">
        <f aca="false">IF(OR(H167="",H167=0),"",I167/H167)</f>
        <v/>
      </c>
      <c r="K167" s="9"/>
      <c r="L167" s="9"/>
      <c r="M167" s="24"/>
      <c r="N167" s="9"/>
      <c r="O167" s="9" t="str">
        <f aca="false">IF(AND(OR(K167="En riesgo",K167="Atrasada"),L167=""),"Falta código de motivo",IF(AND(L167="OTR",N167=""),"Explica OTR en las notas",IF(AND(K167="Finalizada",I167&lt;H167,L167=""),"Falta código de motivo","")))</f>
        <v/>
      </c>
      <c r="P167" s="9" t="str">
        <f aca="false">IF(OR(D167="",A167=""),"",IF(COUNTIFS(Revision_previa!$B:$B,D167,Revision_previa!$A:$A,"&gt;="&amp;A167,Revision_previa!$A:$A,"&lt;"&amp;(A167+1))=0,"Sin revisión",IF(COUNTIFS(Revision_previa!$B:$B,D167,Revision_previa!$A:$A,"&gt;="&amp;A167,Revision_previa!$A:$A,"&lt;"&amp;(A167+1),Revision_previa!$D:$D,"Falla")+COUNTIFS(Revision_previa!$B:$B,D167,Revision_previa!$A:$A,"&gt;="&amp;A167,Revision_previa!$A:$A,"&lt;"&amp;(A167+1),Revision_previa!$E:$E,"Falla")+COUNTIFS(Revision_previa!$B:$B,D167,Revision_previa!$A:$A,"&gt;="&amp;A167,Revision_previa!$A:$A,"&lt;"&amp;(A167+1),Revision_previa!$F:$F,"Falla")+COUNTIFS(Revision_previa!$B:$B,D167,Revision_previa!$A:$A,"&gt;="&amp;A167,Revision_previa!$A:$A,"&lt;"&amp;(A167+1),Revision_previa!$H:$H,"Encendido")&gt;0,"No apto","Apto")))</f>
        <v/>
      </c>
    </row>
    <row r="168" customFormat="false" ht="15" hidden="false" customHeight="false" outlineLevel="0" collapsed="false">
      <c r="A168" s="23"/>
      <c r="B168" s="9"/>
      <c r="C168" s="9"/>
      <c r="D168" s="9"/>
      <c r="E168" s="9" t="str">
        <f aca="false">IF(C168="","",IFERROR(INDEX(Conductores!$B:$B,MATCH(C168,Conductores!$A:$A,0)),"ID no encontrado"))</f>
        <v/>
      </c>
      <c r="F168" s="9" t="str">
        <f aca="false">IF(B168="","",IFERROR(INDEX(Rutas!$B:$B,MATCH(B168,Rutas!$A:$A,0)),"ID no encontrado"))</f>
        <v/>
      </c>
      <c r="G168" s="9" t="str">
        <f aca="false">IF(OR(B168="",C168="",D168=""),"",IF(OR(ISNA(MATCH(B168,Rutas!$A:$A,0)),ISNA(MATCH(C168,Conductores!$A:$A,0)),ISNA(MATCH(D168,Vehículos!$A:$A,0))),"REVISAR: ID no encontrado",IF(INDEX(Rutas!$C:$C,MATCH(B168,Rutas!$A:$A,0))&lt;&gt;INDEX(Vehículos!$B:$B,MATCH(D168,Vehículos!$A:$A,0)),"REVISAR: el vehículo no corresponde a la ruta",IF(INDEX(Rutas!$C:$C,MATCH(B168,Rutas!$A:$A,0))&lt;&gt;INDEX(Conductores!$D:$D,MATCH(C168,Conductores!$A:$A,0)),"REVISAR: el conductor no corresponde a la ruta",IF(OR(INDEX(Vehículos!$E:$E,MATCH(D168,Vehículos!$A:$A,0))="Taller",INDEX(Vehículos!$E:$E,MATCH(D168,Vehículos!$A:$A,0))="Fuera de servicio"),"REVISAR: vehículo no disponible",IF(INDEX(Conductores!$G:$G,MATCH(C168,Conductores!$A:$A,0))&lt;&gt;"Activo","REVISAR: conductor no activo",IF(COUNTIFS($A:$A,A168,$C:$C,C168)&gt;1,"REVISAR: conductor asignado dos veces",IF(COUNTIFS($A:$A,A168,$D:$D,D168)&gt;1,"REVISAR: vehículo asignado dos veces","OK"))))))))</f>
        <v/>
      </c>
      <c r="H168" s="9"/>
      <c r="I168" s="9"/>
      <c r="J168" s="14" t="str">
        <f aca="false">IF(OR(H168="",H168=0),"",I168/H168)</f>
        <v/>
      </c>
      <c r="K168" s="9"/>
      <c r="L168" s="9"/>
      <c r="M168" s="24"/>
      <c r="N168" s="9"/>
      <c r="O168" s="9" t="str">
        <f aca="false">IF(AND(OR(K168="En riesgo",K168="Atrasada"),L168=""),"Falta código de motivo",IF(AND(L168="OTR",N168=""),"Explica OTR en las notas",IF(AND(K168="Finalizada",I168&lt;H168,L168=""),"Falta código de motivo","")))</f>
        <v/>
      </c>
      <c r="P168" s="9" t="str">
        <f aca="false">IF(OR(D168="",A168=""),"",IF(COUNTIFS(Revision_previa!$B:$B,D168,Revision_previa!$A:$A,"&gt;="&amp;A168,Revision_previa!$A:$A,"&lt;"&amp;(A168+1))=0,"Sin revisión",IF(COUNTIFS(Revision_previa!$B:$B,D168,Revision_previa!$A:$A,"&gt;="&amp;A168,Revision_previa!$A:$A,"&lt;"&amp;(A168+1),Revision_previa!$D:$D,"Falla")+COUNTIFS(Revision_previa!$B:$B,D168,Revision_previa!$A:$A,"&gt;="&amp;A168,Revision_previa!$A:$A,"&lt;"&amp;(A168+1),Revision_previa!$E:$E,"Falla")+COUNTIFS(Revision_previa!$B:$B,D168,Revision_previa!$A:$A,"&gt;="&amp;A168,Revision_previa!$A:$A,"&lt;"&amp;(A168+1),Revision_previa!$F:$F,"Falla")+COUNTIFS(Revision_previa!$B:$B,D168,Revision_previa!$A:$A,"&gt;="&amp;A168,Revision_previa!$A:$A,"&lt;"&amp;(A168+1),Revision_previa!$H:$H,"Encendido")&gt;0,"No apto","Apto")))</f>
        <v/>
      </c>
    </row>
    <row r="169" customFormat="false" ht="15" hidden="false" customHeight="false" outlineLevel="0" collapsed="false">
      <c r="A169" s="23"/>
      <c r="B169" s="9"/>
      <c r="C169" s="9"/>
      <c r="D169" s="9"/>
      <c r="E169" s="9" t="str">
        <f aca="false">IF(C169="","",IFERROR(INDEX(Conductores!$B:$B,MATCH(C169,Conductores!$A:$A,0)),"ID no encontrado"))</f>
        <v/>
      </c>
      <c r="F169" s="9" t="str">
        <f aca="false">IF(B169="","",IFERROR(INDEX(Rutas!$B:$B,MATCH(B169,Rutas!$A:$A,0)),"ID no encontrado"))</f>
        <v/>
      </c>
      <c r="G169" s="9" t="str">
        <f aca="false">IF(OR(B169="",C169="",D169=""),"",IF(OR(ISNA(MATCH(B169,Rutas!$A:$A,0)),ISNA(MATCH(C169,Conductores!$A:$A,0)),ISNA(MATCH(D169,Vehículos!$A:$A,0))),"REVISAR: ID no encontrado",IF(INDEX(Rutas!$C:$C,MATCH(B169,Rutas!$A:$A,0))&lt;&gt;INDEX(Vehículos!$B:$B,MATCH(D169,Vehículos!$A:$A,0)),"REVISAR: el vehículo no corresponde a la ruta",IF(INDEX(Rutas!$C:$C,MATCH(B169,Rutas!$A:$A,0))&lt;&gt;INDEX(Conductores!$D:$D,MATCH(C169,Conductores!$A:$A,0)),"REVISAR: el conductor no corresponde a la ruta",IF(OR(INDEX(Vehículos!$E:$E,MATCH(D169,Vehículos!$A:$A,0))="Taller",INDEX(Vehículos!$E:$E,MATCH(D169,Vehículos!$A:$A,0))="Fuera de servicio"),"REVISAR: vehículo no disponible",IF(INDEX(Conductores!$G:$G,MATCH(C169,Conductores!$A:$A,0))&lt;&gt;"Activo","REVISAR: conductor no activo",IF(COUNTIFS($A:$A,A169,$C:$C,C169)&gt;1,"REVISAR: conductor asignado dos veces",IF(COUNTIFS($A:$A,A169,$D:$D,D169)&gt;1,"REVISAR: vehículo asignado dos veces","OK"))))))))</f>
        <v/>
      </c>
      <c r="H169" s="9"/>
      <c r="I169" s="9"/>
      <c r="J169" s="14" t="str">
        <f aca="false">IF(OR(H169="",H169=0),"",I169/H169)</f>
        <v/>
      </c>
      <c r="K169" s="9"/>
      <c r="L169" s="9"/>
      <c r="M169" s="24"/>
      <c r="N169" s="9"/>
      <c r="O169" s="9" t="str">
        <f aca="false">IF(AND(OR(K169="En riesgo",K169="Atrasada"),L169=""),"Falta código de motivo",IF(AND(L169="OTR",N169=""),"Explica OTR en las notas",IF(AND(K169="Finalizada",I169&lt;H169,L169=""),"Falta código de motivo","")))</f>
        <v/>
      </c>
      <c r="P169" s="9" t="str">
        <f aca="false">IF(OR(D169="",A169=""),"",IF(COUNTIFS(Revision_previa!$B:$B,D169,Revision_previa!$A:$A,"&gt;="&amp;A169,Revision_previa!$A:$A,"&lt;"&amp;(A169+1))=0,"Sin revisión",IF(COUNTIFS(Revision_previa!$B:$B,D169,Revision_previa!$A:$A,"&gt;="&amp;A169,Revision_previa!$A:$A,"&lt;"&amp;(A169+1),Revision_previa!$D:$D,"Falla")+COUNTIFS(Revision_previa!$B:$B,D169,Revision_previa!$A:$A,"&gt;="&amp;A169,Revision_previa!$A:$A,"&lt;"&amp;(A169+1),Revision_previa!$E:$E,"Falla")+COUNTIFS(Revision_previa!$B:$B,D169,Revision_previa!$A:$A,"&gt;="&amp;A169,Revision_previa!$A:$A,"&lt;"&amp;(A169+1),Revision_previa!$F:$F,"Falla")+COUNTIFS(Revision_previa!$B:$B,D169,Revision_previa!$A:$A,"&gt;="&amp;A169,Revision_previa!$A:$A,"&lt;"&amp;(A169+1),Revision_previa!$H:$H,"Encendido")&gt;0,"No apto","Apto")))</f>
        <v/>
      </c>
    </row>
    <row r="170" customFormat="false" ht="15" hidden="false" customHeight="false" outlineLevel="0" collapsed="false">
      <c r="A170" s="23"/>
      <c r="B170" s="9"/>
      <c r="C170" s="9"/>
      <c r="D170" s="9"/>
      <c r="E170" s="9" t="str">
        <f aca="false">IF(C170="","",IFERROR(INDEX(Conductores!$B:$B,MATCH(C170,Conductores!$A:$A,0)),"ID no encontrado"))</f>
        <v/>
      </c>
      <c r="F170" s="9" t="str">
        <f aca="false">IF(B170="","",IFERROR(INDEX(Rutas!$B:$B,MATCH(B170,Rutas!$A:$A,0)),"ID no encontrado"))</f>
        <v/>
      </c>
      <c r="G170" s="9" t="str">
        <f aca="false">IF(OR(B170="",C170="",D170=""),"",IF(OR(ISNA(MATCH(B170,Rutas!$A:$A,0)),ISNA(MATCH(C170,Conductores!$A:$A,0)),ISNA(MATCH(D170,Vehículos!$A:$A,0))),"REVISAR: ID no encontrado",IF(INDEX(Rutas!$C:$C,MATCH(B170,Rutas!$A:$A,0))&lt;&gt;INDEX(Vehículos!$B:$B,MATCH(D170,Vehículos!$A:$A,0)),"REVISAR: el vehículo no corresponde a la ruta",IF(INDEX(Rutas!$C:$C,MATCH(B170,Rutas!$A:$A,0))&lt;&gt;INDEX(Conductores!$D:$D,MATCH(C170,Conductores!$A:$A,0)),"REVISAR: el conductor no corresponde a la ruta",IF(OR(INDEX(Vehículos!$E:$E,MATCH(D170,Vehículos!$A:$A,0))="Taller",INDEX(Vehículos!$E:$E,MATCH(D170,Vehículos!$A:$A,0))="Fuera de servicio"),"REVISAR: vehículo no disponible",IF(INDEX(Conductores!$G:$G,MATCH(C170,Conductores!$A:$A,0))&lt;&gt;"Activo","REVISAR: conductor no activo",IF(COUNTIFS($A:$A,A170,$C:$C,C170)&gt;1,"REVISAR: conductor asignado dos veces",IF(COUNTIFS($A:$A,A170,$D:$D,D170)&gt;1,"REVISAR: vehículo asignado dos veces","OK"))))))))</f>
        <v/>
      </c>
      <c r="H170" s="9"/>
      <c r="I170" s="9"/>
      <c r="J170" s="14" t="str">
        <f aca="false">IF(OR(H170="",H170=0),"",I170/H170)</f>
        <v/>
      </c>
      <c r="K170" s="9"/>
      <c r="L170" s="9"/>
      <c r="M170" s="24"/>
      <c r="N170" s="9"/>
      <c r="O170" s="9" t="str">
        <f aca="false">IF(AND(OR(K170="En riesgo",K170="Atrasada"),L170=""),"Falta código de motivo",IF(AND(L170="OTR",N170=""),"Explica OTR en las notas",IF(AND(K170="Finalizada",I170&lt;H170,L170=""),"Falta código de motivo","")))</f>
        <v/>
      </c>
      <c r="P170" s="9" t="str">
        <f aca="false">IF(OR(D170="",A170=""),"",IF(COUNTIFS(Revision_previa!$B:$B,D170,Revision_previa!$A:$A,"&gt;="&amp;A170,Revision_previa!$A:$A,"&lt;"&amp;(A170+1))=0,"Sin revisión",IF(COUNTIFS(Revision_previa!$B:$B,D170,Revision_previa!$A:$A,"&gt;="&amp;A170,Revision_previa!$A:$A,"&lt;"&amp;(A170+1),Revision_previa!$D:$D,"Falla")+COUNTIFS(Revision_previa!$B:$B,D170,Revision_previa!$A:$A,"&gt;="&amp;A170,Revision_previa!$A:$A,"&lt;"&amp;(A170+1),Revision_previa!$E:$E,"Falla")+COUNTIFS(Revision_previa!$B:$B,D170,Revision_previa!$A:$A,"&gt;="&amp;A170,Revision_previa!$A:$A,"&lt;"&amp;(A170+1),Revision_previa!$F:$F,"Falla")+COUNTIFS(Revision_previa!$B:$B,D170,Revision_previa!$A:$A,"&gt;="&amp;A170,Revision_previa!$A:$A,"&lt;"&amp;(A170+1),Revision_previa!$H:$H,"Encendido")&gt;0,"No apto","Apto")))</f>
        <v/>
      </c>
    </row>
    <row r="171" customFormat="false" ht="15" hidden="false" customHeight="false" outlineLevel="0" collapsed="false">
      <c r="A171" s="23"/>
      <c r="B171" s="9"/>
      <c r="C171" s="9"/>
      <c r="D171" s="9"/>
      <c r="E171" s="9" t="str">
        <f aca="false">IF(C171="","",IFERROR(INDEX(Conductores!$B:$B,MATCH(C171,Conductores!$A:$A,0)),"ID no encontrado"))</f>
        <v/>
      </c>
      <c r="F171" s="9" t="str">
        <f aca="false">IF(B171="","",IFERROR(INDEX(Rutas!$B:$B,MATCH(B171,Rutas!$A:$A,0)),"ID no encontrado"))</f>
        <v/>
      </c>
      <c r="G171" s="9" t="str">
        <f aca="false">IF(OR(B171="",C171="",D171=""),"",IF(OR(ISNA(MATCH(B171,Rutas!$A:$A,0)),ISNA(MATCH(C171,Conductores!$A:$A,0)),ISNA(MATCH(D171,Vehículos!$A:$A,0))),"REVISAR: ID no encontrado",IF(INDEX(Rutas!$C:$C,MATCH(B171,Rutas!$A:$A,0))&lt;&gt;INDEX(Vehículos!$B:$B,MATCH(D171,Vehículos!$A:$A,0)),"REVISAR: el vehículo no corresponde a la ruta",IF(INDEX(Rutas!$C:$C,MATCH(B171,Rutas!$A:$A,0))&lt;&gt;INDEX(Conductores!$D:$D,MATCH(C171,Conductores!$A:$A,0)),"REVISAR: el conductor no corresponde a la ruta",IF(OR(INDEX(Vehículos!$E:$E,MATCH(D171,Vehículos!$A:$A,0))="Taller",INDEX(Vehículos!$E:$E,MATCH(D171,Vehículos!$A:$A,0))="Fuera de servicio"),"REVISAR: vehículo no disponible",IF(INDEX(Conductores!$G:$G,MATCH(C171,Conductores!$A:$A,0))&lt;&gt;"Activo","REVISAR: conductor no activo",IF(COUNTIFS($A:$A,A171,$C:$C,C171)&gt;1,"REVISAR: conductor asignado dos veces",IF(COUNTIFS($A:$A,A171,$D:$D,D171)&gt;1,"REVISAR: vehículo asignado dos veces","OK"))))))))</f>
        <v/>
      </c>
      <c r="H171" s="9"/>
      <c r="I171" s="9"/>
      <c r="J171" s="14" t="str">
        <f aca="false">IF(OR(H171="",H171=0),"",I171/H171)</f>
        <v/>
      </c>
      <c r="K171" s="9"/>
      <c r="L171" s="9"/>
      <c r="M171" s="24"/>
      <c r="N171" s="9"/>
      <c r="O171" s="9" t="str">
        <f aca="false">IF(AND(OR(K171="En riesgo",K171="Atrasada"),L171=""),"Falta código de motivo",IF(AND(L171="OTR",N171=""),"Explica OTR en las notas",IF(AND(K171="Finalizada",I171&lt;H171,L171=""),"Falta código de motivo","")))</f>
        <v/>
      </c>
      <c r="P171" s="9" t="str">
        <f aca="false">IF(OR(D171="",A171=""),"",IF(COUNTIFS(Revision_previa!$B:$B,D171,Revision_previa!$A:$A,"&gt;="&amp;A171,Revision_previa!$A:$A,"&lt;"&amp;(A171+1))=0,"Sin revisión",IF(COUNTIFS(Revision_previa!$B:$B,D171,Revision_previa!$A:$A,"&gt;="&amp;A171,Revision_previa!$A:$A,"&lt;"&amp;(A171+1),Revision_previa!$D:$D,"Falla")+COUNTIFS(Revision_previa!$B:$B,D171,Revision_previa!$A:$A,"&gt;="&amp;A171,Revision_previa!$A:$A,"&lt;"&amp;(A171+1),Revision_previa!$E:$E,"Falla")+COUNTIFS(Revision_previa!$B:$B,D171,Revision_previa!$A:$A,"&gt;="&amp;A171,Revision_previa!$A:$A,"&lt;"&amp;(A171+1),Revision_previa!$F:$F,"Falla")+COUNTIFS(Revision_previa!$B:$B,D171,Revision_previa!$A:$A,"&gt;="&amp;A171,Revision_previa!$A:$A,"&lt;"&amp;(A171+1),Revision_previa!$H:$H,"Encendido")&gt;0,"No apto","Apto")))</f>
        <v/>
      </c>
    </row>
    <row r="172" customFormat="false" ht="15" hidden="false" customHeight="false" outlineLevel="0" collapsed="false">
      <c r="A172" s="23"/>
      <c r="B172" s="9"/>
      <c r="C172" s="9"/>
      <c r="D172" s="9"/>
      <c r="E172" s="9" t="str">
        <f aca="false">IF(C172="","",IFERROR(INDEX(Conductores!$B:$B,MATCH(C172,Conductores!$A:$A,0)),"ID no encontrado"))</f>
        <v/>
      </c>
      <c r="F172" s="9" t="str">
        <f aca="false">IF(B172="","",IFERROR(INDEX(Rutas!$B:$B,MATCH(B172,Rutas!$A:$A,0)),"ID no encontrado"))</f>
        <v/>
      </c>
      <c r="G172" s="9" t="str">
        <f aca="false">IF(OR(B172="",C172="",D172=""),"",IF(OR(ISNA(MATCH(B172,Rutas!$A:$A,0)),ISNA(MATCH(C172,Conductores!$A:$A,0)),ISNA(MATCH(D172,Vehículos!$A:$A,0))),"REVISAR: ID no encontrado",IF(INDEX(Rutas!$C:$C,MATCH(B172,Rutas!$A:$A,0))&lt;&gt;INDEX(Vehículos!$B:$B,MATCH(D172,Vehículos!$A:$A,0)),"REVISAR: el vehículo no corresponde a la ruta",IF(INDEX(Rutas!$C:$C,MATCH(B172,Rutas!$A:$A,0))&lt;&gt;INDEX(Conductores!$D:$D,MATCH(C172,Conductores!$A:$A,0)),"REVISAR: el conductor no corresponde a la ruta",IF(OR(INDEX(Vehículos!$E:$E,MATCH(D172,Vehículos!$A:$A,0))="Taller",INDEX(Vehículos!$E:$E,MATCH(D172,Vehículos!$A:$A,0))="Fuera de servicio"),"REVISAR: vehículo no disponible",IF(INDEX(Conductores!$G:$G,MATCH(C172,Conductores!$A:$A,0))&lt;&gt;"Activo","REVISAR: conductor no activo",IF(COUNTIFS($A:$A,A172,$C:$C,C172)&gt;1,"REVISAR: conductor asignado dos veces",IF(COUNTIFS($A:$A,A172,$D:$D,D172)&gt;1,"REVISAR: vehículo asignado dos veces","OK"))))))))</f>
        <v/>
      </c>
      <c r="H172" s="9"/>
      <c r="I172" s="9"/>
      <c r="J172" s="14" t="str">
        <f aca="false">IF(OR(H172="",H172=0),"",I172/H172)</f>
        <v/>
      </c>
      <c r="K172" s="9"/>
      <c r="L172" s="9"/>
      <c r="M172" s="24"/>
      <c r="N172" s="9"/>
      <c r="O172" s="9" t="str">
        <f aca="false">IF(AND(OR(K172="En riesgo",K172="Atrasada"),L172=""),"Falta código de motivo",IF(AND(L172="OTR",N172=""),"Explica OTR en las notas",IF(AND(K172="Finalizada",I172&lt;H172,L172=""),"Falta código de motivo","")))</f>
        <v/>
      </c>
      <c r="P172" s="9" t="str">
        <f aca="false">IF(OR(D172="",A172=""),"",IF(COUNTIFS(Revision_previa!$B:$B,D172,Revision_previa!$A:$A,"&gt;="&amp;A172,Revision_previa!$A:$A,"&lt;"&amp;(A172+1))=0,"Sin revisión",IF(COUNTIFS(Revision_previa!$B:$B,D172,Revision_previa!$A:$A,"&gt;="&amp;A172,Revision_previa!$A:$A,"&lt;"&amp;(A172+1),Revision_previa!$D:$D,"Falla")+COUNTIFS(Revision_previa!$B:$B,D172,Revision_previa!$A:$A,"&gt;="&amp;A172,Revision_previa!$A:$A,"&lt;"&amp;(A172+1),Revision_previa!$E:$E,"Falla")+COUNTIFS(Revision_previa!$B:$B,D172,Revision_previa!$A:$A,"&gt;="&amp;A172,Revision_previa!$A:$A,"&lt;"&amp;(A172+1),Revision_previa!$F:$F,"Falla")+COUNTIFS(Revision_previa!$B:$B,D172,Revision_previa!$A:$A,"&gt;="&amp;A172,Revision_previa!$A:$A,"&lt;"&amp;(A172+1),Revision_previa!$H:$H,"Encendido")&gt;0,"No apto","Apto")))</f>
        <v/>
      </c>
    </row>
    <row r="173" customFormat="false" ht="15" hidden="false" customHeight="false" outlineLevel="0" collapsed="false">
      <c r="A173" s="23"/>
      <c r="B173" s="9"/>
      <c r="C173" s="9"/>
      <c r="D173" s="9"/>
      <c r="E173" s="9" t="str">
        <f aca="false">IF(C173="","",IFERROR(INDEX(Conductores!$B:$B,MATCH(C173,Conductores!$A:$A,0)),"ID no encontrado"))</f>
        <v/>
      </c>
      <c r="F173" s="9" t="str">
        <f aca="false">IF(B173="","",IFERROR(INDEX(Rutas!$B:$B,MATCH(B173,Rutas!$A:$A,0)),"ID no encontrado"))</f>
        <v/>
      </c>
      <c r="G173" s="9" t="str">
        <f aca="false">IF(OR(B173="",C173="",D173=""),"",IF(OR(ISNA(MATCH(B173,Rutas!$A:$A,0)),ISNA(MATCH(C173,Conductores!$A:$A,0)),ISNA(MATCH(D173,Vehículos!$A:$A,0))),"REVISAR: ID no encontrado",IF(INDEX(Rutas!$C:$C,MATCH(B173,Rutas!$A:$A,0))&lt;&gt;INDEX(Vehículos!$B:$B,MATCH(D173,Vehículos!$A:$A,0)),"REVISAR: el vehículo no corresponde a la ruta",IF(INDEX(Rutas!$C:$C,MATCH(B173,Rutas!$A:$A,0))&lt;&gt;INDEX(Conductores!$D:$D,MATCH(C173,Conductores!$A:$A,0)),"REVISAR: el conductor no corresponde a la ruta",IF(OR(INDEX(Vehículos!$E:$E,MATCH(D173,Vehículos!$A:$A,0))="Taller",INDEX(Vehículos!$E:$E,MATCH(D173,Vehículos!$A:$A,0))="Fuera de servicio"),"REVISAR: vehículo no disponible",IF(INDEX(Conductores!$G:$G,MATCH(C173,Conductores!$A:$A,0))&lt;&gt;"Activo","REVISAR: conductor no activo",IF(COUNTIFS($A:$A,A173,$C:$C,C173)&gt;1,"REVISAR: conductor asignado dos veces",IF(COUNTIFS($A:$A,A173,$D:$D,D173)&gt;1,"REVISAR: vehículo asignado dos veces","OK"))))))))</f>
        <v/>
      </c>
      <c r="H173" s="9"/>
      <c r="I173" s="9"/>
      <c r="J173" s="14" t="str">
        <f aca="false">IF(OR(H173="",H173=0),"",I173/H173)</f>
        <v/>
      </c>
      <c r="K173" s="9"/>
      <c r="L173" s="9"/>
      <c r="M173" s="24"/>
      <c r="N173" s="9"/>
      <c r="O173" s="9" t="str">
        <f aca="false">IF(AND(OR(K173="En riesgo",K173="Atrasada"),L173=""),"Falta código de motivo",IF(AND(L173="OTR",N173=""),"Explica OTR en las notas",IF(AND(K173="Finalizada",I173&lt;H173,L173=""),"Falta código de motivo","")))</f>
        <v/>
      </c>
      <c r="P173" s="9" t="str">
        <f aca="false">IF(OR(D173="",A173=""),"",IF(COUNTIFS(Revision_previa!$B:$B,D173,Revision_previa!$A:$A,"&gt;="&amp;A173,Revision_previa!$A:$A,"&lt;"&amp;(A173+1))=0,"Sin revisión",IF(COUNTIFS(Revision_previa!$B:$B,D173,Revision_previa!$A:$A,"&gt;="&amp;A173,Revision_previa!$A:$A,"&lt;"&amp;(A173+1),Revision_previa!$D:$D,"Falla")+COUNTIFS(Revision_previa!$B:$B,D173,Revision_previa!$A:$A,"&gt;="&amp;A173,Revision_previa!$A:$A,"&lt;"&amp;(A173+1),Revision_previa!$E:$E,"Falla")+COUNTIFS(Revision_previa!$B:$B,D173,Revision_previa!$A:$A,"&gt;="&amp;A173,Revision_previa!$A:$A,"&lt;"&amp;(A173+1),Revision_previa!$F:$F,"Falla")+COUNTIFS(Revision_previa!$B:$B,D173,Revision_previa!$A:$A,"&gt;="&amp;A173,Revision_previa!$A:$A,"&lt;"&amp;(A173+1),Revision_previa!$H:$H,"Encendido")&gt;0,"No apto","Apto")))</f>
        <v/>
      </c>
    </row>
    <row r="174" customFormat="false" ht="15" hidden="false" customHeight="false" outlineLevel="0" collapsed="false">
      <c r="A174" s="23"/>
      <c r="B174" s="9"/>
      <c r="C174" s="9"/>
      <c r="D174" s="9"/>
      <c r="E174" s="9" t="str">
        <f aca="false">IF(C174="","",IFERROR(INDEX(Conductores!$B:$B,MATCH(C174,Conductores!$A:$A,0)),"ID no encontrado"))</f>
        <v/>
      </c>
      <c r="F174" s="9" t="str">
        <f aca="false">IF(B174="","",IFERROR(INDEX(Rutas!$B:$B,MATCH(B174,Rutas!$A:$A,0)),"ID no encontrado"))</f>
        <v/>
      </c>
      <c r="G174" s="9" t="str">
        <f aca="false">IF(OR(B174="",C174="",D174=""),"",IF(OR(ISNA(MATCH(B174,Rutas!$A:$A,0)),ISNA(MATCH(C174,Conductores!$A:$A,0)),ISNA(MATCH(D174,Vehículos!$A:$A,0))),"REVISAR: ID no encontrado",IF(INDEX(Rutas!$C:$C,MATCH(B174,Rutas!$A:$A,0))&lt;&gt;INDEX(Vehículos!$B:$B,MATCH(D174,Vehículos!$A:$A,0)),"REVISAR: el vehículo no corresponde a la ruta",IF(INDEX(Rutas!$C:$C,MATCH(B174,Rutas!$A:$A,0))&lt;&gt;INDEX(Conductores!$D:$D,MATCH(C174,Conductores!$A:$A,0)),"REVISAR: el conductor no corresponde a la ruta",IF(OR(INDEX(Vehículos!$E:$E,MATCH(D174,Vehículos!$A:$A,0))="Taller",INDEX(Vehículos!$E:$E,MATCH(D174,Vehículos!$A:$A,0))="Fuera de servicio"),"REVISAR: vehículo no disponible",IF(INDEX(Conductores!$G:$G,MATCH(C174,Conductores!$A:$A,0))&lt;&gt;"Activo","REVISAR: conductor no activo",IF(COUNTIFS($A:$A,A174,$C:$C,C174)&gt;1,"REVISAR: conductor asignado dos veces",IF(COUNTIFS($A:$A,A174,$D:$D,D174)&gt;1,"REVISAR: vehículo asignado dos veces","OK"))))))))</f>
        <v/>
      </c>
      <c r="H174" s="9"/>
      <c r="I174" s="9"/>
      <c r="J174" s="14" t="str">
        <f aca="false">IF(OR(H174="",H174=0),"",I174/H174)</f>
        <v/>
      </c>
      <c r="K174" s="9"/>
      <c r="L174" s="9"/>
      <c r="M174" s="24"/>
      <c r="N174" s="9"/>
      <c r="O174" s="9" t="str">
        <f aca="false">IF(AND(OR(K174="En riesgo",K174="Atrasada"),L174=""),"Falta código de motivo",IF(AND(L174="OTR",N174=""),"Explica OTR en las notas",IF(AND(K174="Finalizada",I174&lt;H174,L174=""),"Falta código de motivo","")))</f>
        <v/>
      </c>
      <c r="P174" s="9" t="str">
        <f aca="false">IF(OR(D174="",A174=""),"",IF(COUNTIFS(Revision_previa!$B:$B,D174,Revision_previa!$A:$A,"&gt;="&amp;A174,Revision_previa!$A:$A,"&lt;"&amp;(A174+1))=0,"Sin revisión",IF(COUNTIFS(Revision_previa!$B:$B,D174,Revision_previa!$A:$A,"&gt;="&amp;A174,Revision_previa!$A:$A,"&lt;"&amp;(A174+1),Revision_previa!$D:$D,"Falla")+COUNTIFS(Revision_previa!$B:$B,D174,Revision_previa!$A:$A,"&gt;="&amp;A174,Revision_previa!$A:$A,"&lt;"&amp;(A174+1),Revision_previa!$E:$E,"Falla")+COUNTIFS(Revision_previa!$B:$B,D174,Revision_previa!$A:$A,"&gt;="&amp;A174,Revision_previa!$A:$A,"&lt;"&amp;(A174+1),Revision_previa!$F:$F,"Falla")+COUNTIFS(Revision_previa!$B:$B,D174,Revision_previa!$A:$A,"&gt;="&amp;A174,Revision_previa!$A:$A,"&lt;"&amp;(A174+1),Revision_previa!$H:$H,"Encendido")&gt;0,"No apto","Apto")))</f>
        <v/>
      </c>
    </row>
    <row r="175" customFormat="false" ht="15" hidden="false" customHeight="false" outlineLevel="0" collapsed="false">
      <c r="A175" s="23"/>
      <c r="B175" s="9"/>
      <c r="C175" s="9"/>
      <c r="D175" s="9"/>
      <c r="E175" s="9" t="str">
        <f aca="false">IF(C175="","",IFERROR(INDEX(Conductores!$B:$B,MATCH(C175,Conductores!$A:$A,0)),"ID no encontrado"))</f>
        <v/>
      </c>
      <c r="F175" s="9" t="str">
        <f aca="false">IF(B175="","",IFERROR(INDEX(Rutas!$B:$B,MATCH(B175,Rutas!$A:$A,0)),"ID no encontrado"))</f>
        <v/>
      </c>
      <c r="G175" s="9" t="str">
        <f aca="false">IF(OR(B175="",C175="",D175=""),"",IF(OR(ISNA(MATCH(B175,Rutas!$A:$A,0)),ISNA(MATCH(C175,Conductores!$A:$A,0)),ISNA(MATCH(D175,Vehículos!$A:$A,0))),"REVISAR: ID no encontrado",IF(INDEX(Rutas!$C:$C,MATCH(B175,Rutas!$A:$A,0))&lt;&gt;INDEX(Vehículos!$B:$B,MATCH(D175,Vehículos!$A:$A,0)),"REVISAR: el vehículo no corresponde a la ruta",IF(INDEX(Rutas!$C:$C,MATCH(B175,Rutas!$A:$A,0))&lt;&gt;INDEX(Conductores!$D:$D,MATCH(C175,Conductores!$A:$A,0)),"REVISAR: el conductor no corresponde a la ruta",IF(OR(INDEX(Vehículos!$E:$E,MATCH(D175,Vehículos!$A:$A,0))="Taller",INDEX(Vehículos!$E:$E,MATCH(D175,Vehículos!$A:$A,0))="Fuera de servicio"),"REVISAR: vehículo no disponible",IF(INDEX(Conductores!$G:$G,MATCH(C175,Conductores!$A:$A,0))&lt;&gt;"Activo","REVISAR: conductor no activo",IF(COUNTIFS($A:$A,A175,$C:$C,C175)&gt;1,"REVISAR: conductor asignado dos veces",IF(COUNTIFS($A:$A,A175,$D:$D,D175)&gt;1,"REVISAR: vehículo asignado dos veces","OK"))))))))</f>
        <v/>
      </c>
      <c r="H175" s="9"/>
      <c r="I175" s="9"/>
      <c r="J175" s="14" t="str">
        <f aca="false">IF(OR(H175="",H175=0),"",I175/H175)</f>
        <v/>
      </c>
      <c r="K175" s="9"/>
      <c r="L175" s="9"/>
      <c r="M175" s="24"/>
      <c r="N175" s="9"/>
      <c r="O175" s="9" t="str">
        <f aca="false">IF(AND(OR(K175="En riesgo",K175="Atrasada"),L175=""),"Falta código de motivo",IF(AND(L175="OTR",N175=""),"Explica OTR en las notas",IF(AND(K175="Finalizada",I175&lt;H175,L175=""),"Falta código de motivo","")))</f>
        <v/>
      </c>
      <c r="P175" s="9" t="str">
        <f aca="false">IF(OR(D175="",A175=""),"",IF(COUNTIFS(Revision_previa!$B:$B,D175,Revision_previa!$A:$A,"&gt;="&amp;A175,Revision_previa!$A:$A,"&lt;"&amp;(A175+1))=0,"Sin revisión",IF(COUNTIFS(Revision_previa!$B:$B,D175,Revision_previa!$A:$A,"&gt;="&amp;A175,Revision_previa!$A:$A,"&lt;"&amp;(A175+1),Revision_previa!$D:$D,"Falla")+COUNTIFS(Revision_previa!$B:$B,D175,Revision_previa!$A:$A,"&gt;="&amp;A175,Revision_previa!$A:$A,"&lt;"&amp;(A175+1),Revision_previa!$E:$E,"Falla")+COUNTIFS(Revision_previa!$B:$B,D175,Revision_previa!$A:$A,"&gt;="&amp;A175,Revision_previa!$A:$A,"&lt;"&amp;(A175+1),Revision_previa!$F:$F,"Falla")+COUNTIFS(Revision_previa!$B:$B,D175,Revision_previa!$A:$A,"&gt;="&amp;A175,Revision_previa!$A:$A,"&lt;"&amp;(A175+1),Revision_previa!$H:$H,"Encendido")&gt;0,"No apto","Apto")))</f>
        <v/>
      </c>
    </row>
    <row r="176" customFormat="false" ht="15" hidden="false" customHeight="false" outlineLevel="0" collapsed="false">
      <c r="A176" s="23"/>
      <c r="B176" s="9"/>
      <c r="C176" s="9"/>
      <c r="D176" s="9"/>
      <c r="E176" s="9" t="str">
        <f aca="false">IF(C176="","",IFERROR(INDEX(Conductores!$B:$B,MATCH(C176,Conductores!$A:$A,0)),"ID no encontrado"))</f>
        <v/>
      </c>
      <c r="F176" s="9" t="str">
        <f aca="false">IF(B176="","",IFERROR(INDEX(Rutas!$B:$B,MATCH(B176,Rutas!$A:$A,0)),"ID no encontrado"))</f>
        <v/>
      </c>
      <c r="G176" s="9" t="str">
        <f aca="false">IF(OR(B176="",C176="",D176=""),"",IF(OR(ISNA(MATCH(B176,Rutas!$A:$A,0)),ISNA(MATCH(C176,Conductores!$A:$A,0)),ISNA(MATCH(D176,Vehículos!$A:$A,0))),"REVISAR: ID no encontrado",IF(INDEX(Rutas!$C:$C,MATCH(B176,Rutas!$A:$A,0))&lt;&gt;INDEX(Vehículos!$B:$B,MATCH(D176,Vehículos!$A:$A,0)),"REVISAR: el vehículo no corresponde a la ruta",IF(INDEX(Rutas!$C:$C,MATCH(B176,Rutas!$A:$A,0))&lt;&gt;INDEX(Conductores!$D:$D,MATCH(C176,Conductores!$A:$A,0)),"REVISAR: el conductor no corresponde a la ruta",IF(OR(INDEX(Vehículos!$E:$E,MATCH(D176,Vehículos!$A:$A,0))="Taller",INDEX(Vehículos!$E:$E,MATCH(D176,Vehículos!$A:$A,0))="Fuera de servicio"),"REVISAR: vehículo no disponible",IF(INDEX(Conductores!$G:$G,MATCH(C176,Conductores!$A:$A,0))&lt;&gt;"Activo","REVISAR: conductor no activo",IF(COUNTIFS($A:$A,A176,$C:$C,C176)&gt;1,"REVISAR: conductor asignado dos veces",IF(COUNTIFS($A:$A,A176,$D:$D,D176)&gt;1,"REVISAR: vehículo asignado dos veces","OK"))))))))</f>
        <v/>
      </c>
      <c r="H176" s="9"/>
      <c r="I176" s="9"/>
      <c r="J176" s="14" t="str">
        <f aca="false">IF(OR(H176="",H176=0),"",I176/H176)</f>
        <v/>
      </c>
      <c r="K176" s="9"/>
      <c r="L176" s="9"/>
      <c r="M176" s="24"/>
      <c r="N176" s="9"/>
      <c r="O176" s="9" t="str">
        <f aca="false">IF(AND(OR(K176="En riesgo",K176="Atrasada"),L176=""),"Falta código de motivo",IF(AND(L176="OTR",N176=""),"Explica OTR en las notas",IF(AND(K176="Finalizada",I176&lt;H176,L176=""),"Falta código de motivo","")))</f>
        <v/>
      </c>
      <c r="P176" s="9" t="str">
        <f aca="false">IF(OR(D176="",A176=""),"",IF(COUNTIFS(Revision_previa!$B:$B,D176,Revision_previa!$A:$A,"&gt;="&amp;A176,Revision_previa!$A:$A,"&lt;"&amp;(A176+1))=0,"Sin revisión",IF(COUNTIFS(Revision_previa!$B:$B,D176,Revision_previa!$A:$A,"&gt;="&amp;A176,Revision_previa!$A:$A,"&lt;"&amp;(A176+1),Revision_previa!$D:$D,"Falla")+COUNTIFS(Revision_previa!$B:$B,D176,Revision_previa!$A:$A,"&gt;="&amp;A176,Revision_previa!$A:$A,"&lt;"&amp;(A176+1),Revision_previa!$E:$E,"Falla")+COUNTIFS(Revision_previa!$B:$B,D176,Revision_previa!$A:$A,"&gt;="&amp;A176,Revision_previa!$A:$A,"&lt;"&amp;(A176+1),Revision_previa!$F:$F,"Falla")+COUNTIFS(Revision_previa!$B:$B,D176,Revision_previa!$A:$A,"&gt;="&amp;A176,Revision_previa!$A:$A,"&lt;"&amp;(A176+1),Revision_previa!$H:$H,"Encendido")&gt;0,"No apto","Apto")))</f>
        <v/>
      </c>
    </row>
    <row r="177" customFormat="false" ht="15" hidden="false" customHeight="false" outlineLevel="0" collapsed="false">
      <c r="A177" s="23"/>
      <c r="B177" s="9"/>
      <c r="C177" s="9"/>
      <c r="D177" s="9"/>
      <c r="E177" s="9" t="str">
        <f aca="false">IF(C177="","",IFERROR(INDEX(Conductores!$B:$B,MATCH(C177,Conductores!$A:$A,0)),"ID no encontrado"))</f>
        <v/>
      </c>
      <c r="F177" s="9" t="str">
        <f aca="false">IF(B177="","",IFERROR(INDEX(Rutas!$B:$B,MATCH(B177,Rutas!$A:$A,0)),"ID no encontrado"))</f>
        <v/>
      </c>
      <c r="G177" s="9" t="str">
        <f aca="false">IF(OR(B177="",C177="",D177=""),"",IF(OR(ISNA(MATCH(B177,Rutas!$A:$A,0)),ISNA(MATCH(C177,Conductores!$A:$A,0)),ISNA(MATCH(D177,Vehículos!$A:$A,0))),"REVISAR: ID no encontrado",IF(INDEX(Rutas!$C:$C,MATCH(B177,Rutas!$A:$A,0))&lt;&gt;INDEX(Vehículos!$B:$B,MATCH(D177,Vehículos!$A:$A,0)),"REVISAR: el vehículo no corresponde a la ruta",IF(INDEX(Rutas!$C:$C,MATCH(B177,Rutas!$A:$A,0))&lt;&gt;INDEX(Conductores!$D:$D,MATCH(C177,Conductores!$A:$A,0)),"REVISAR: el conductor no corresponde a la ruta",IF(OR(INDEX(Vehículos!$E:$E,MATCH(D177,Vehículos!$A:$A,0))="Taller",INDEX(Vehículos!$E:$E,MATCH(D177,Vehículos!$A:$A,0))="Fuera de servicio"),"REVISAR: vehículo no disponible",IF(INDEX(Conductores!$G:$G,MATCH(C177,Conductores!$A:$A,0))&lt;&gt;"Activo","REVISAR: conductor no activo",IF(COUNTIFS($A:$A,A177,$C:$C,C177)&gt;1,"REVISAR: conductor asignado dos veces",IF(COUNTIFS($A:$A,A177,$D:$D,D177)&gt;1,"REVISAR: vehículo asignado dos veces","OK"))))))))</f>
        <v/>
      </c>
      <c r="H177" s="9"/>
      <c r="I177" s="9"/>
      <c r="J177" s="14" t="str">
        <f aca="false">IF(OR(H177="",H177=0),"",I177/H177)</f>
        <v/>
      </c>
      <c r="K177" s="9"/>
      <c r="L177" s="9"/>
      <c r="M177" s="24"/>
      <c r="N177" s="9"/>
      <c r="O177" s="9" t="str">
        <f aca="false">IF(AND(OR(K177="En riesgo",K177="Atrasada"),L177=""),"Falta código de motivo",IF(AND(L177="OTR",N177=""),"Explica OTR en las notas",IF(AND(K177="Finalizada",I177&lt;H177,L177=""),"Falta código de motivo","")))</f>
        <v/>
      </c>
      <c r="P177" s="9" t="str">
        <f aca="false">IF(OR(D177="",A177=""),"",IF(COUNTIFS(Revision_previa!$B:$B,D177,Revision_previa!$A:$A,"&gt;="&amp;A177,Revision_previa!$A:$A,"&lt;"&amp;(A177+1))=0,"Sin revisión",IF(COUNTIFS(Revision_previa!$B:$B,D177,Revision_previa!$A:$A,"&gt;="&amp;A177,Revision_previa!$A:$A,"&lt;"&amp;(A177+1),Revision_previa!$D:$D,"Falla")+COUNTIFS(Revision_previa!$B:$B,D177,Revision_previa!$A:$A,"&gt;="&amp;A177,Revision_previa!$A:$A,"&lt;"&amp;(A177+1),Revision_previa!$E:$E,"Falla")+COUNTIFS(Revision_previa!$B:$B,D177,Revision_previa!$A:$A,"&gt;="&amp;A177,Revision_previa!$A:$A,"&lt;"&amp;(A177+1),Revision_previa!$F:$F,"Falla")+COUNTIFS(Revision_previa!$B:$B,D177,Revision_previa!$A:$A,"&gt;="&amp;A177,Revision_previa!$A:$A,"&lt;"&amp;(A177+1),Revision_previa!$H:$H,"Encendido")&gt;0,"No apto","Apto")))</f>
        <v/>
      </c>
    </row>
    <row r="178" customFormat="false" ht="15" hidden="false" customHeight="false" outlineLevel="0" collapsed="false">
      <c r="A178" s="23"/>
      <c r="B178" s="9"/>
      <c r="C178" s="9"/>
      <c r="D178" s="9"/>
      <c r="E178" s="9" t="str">
        <f aca="false">IF(C178="","",IFERROR(INDEX(Conductores!$B:$B,MATCH(C178,Conductores!$A:$A,0)),"ID no encontrado"))</f>
        <v/>
      </c>
      <c r="F178" s="9" t="str">
        <f aca="false">IF(B178="","",IFERROR(INDEX(Rutas!$B:$B,MATCH(B178,Rutas!$A:$A,0)),"ID no encontrado"))</f>
        <v/>
      </c>
      <c r="G178" s="9" t="str">
        <f aca="false">IF(OR(B178="",C178="",D178=""),"",IF(OR(ISNA(MATCH(B178,Rutas!$A:$A,0)),ISNA(MATCH(C178,Conductores!$A:$A,0)),ISNA(MATCH(D178,Vehículos!$A:$A,0))),"REVISAR: ID no encontrado",IF(INDEX(Rutas!$C:$C,MATCH(B178,Rutas!$A:$A,0))&lt;&gt;INDEX(Vehículos!$B:$B,MATCH(D178,Vehículos!$A:$A,0)),"REVISAR: el vehículo no corresponde a la ruta",IF(INDEX(Rutas!$C:$C,MATCH(B178,Rutas!$A:$A,0))&lt;&gt;INDEX(Conductores!$D:$D,MATCH(C178,Conductores!$A:$A,0)),"REVISAR: el conductor no corresponde a la ruta",IF(OR(INDEX(Vehículos!$E:$E,MATCH(D178,Vehículos!$A:$A,0))="Taller",INDEX(Vehículos!$E:$E,MATCH(D178,Vehículos!$A:$A,0))="Fuera de servicio"),"REVISAR: vehículo no disponible",IF(INDEX(Conductores!$G:$G,MATCH(C178,Conductores!$A:$A,0))&lt;&gt;"Activo","REVISAR: conductor no activo",IF(COUNTIFS($A:$A,A178,$C:$C,C178)&gt;1,"REVISAR: conductor asignado dos veces",IF(COUNTIFS($A:$A,A178,$D:$D,D178)&gt;1,"REVISAR: vehículo asignado dos veces","OK"))))))))</f>
        <v/>
      </c>
      <c r="H178" s="9"/>
      <c r="I178" s="9"/>
      <c r="J178" s="14" t="str">
        <f aca="false">IF(OR(H178="",H178=0),"",I178/H178)</f>
        <v/>
      </c>
      <c r="K178" s="9"/>
      <c r="L178" s="9"/>
      <c r="M178" s="24"/>
      <c r="N178" s="9"/>
      <c r="O178" s="9" t="str">
        <f aca="false">IF(AND(OR(K178="En riesgo",K178="Atrasada"),L178=""),"Falta código de motivo",IF(AND(L178="OTR",N178=""),"Explica OTR en las notas",IF(AND(K178="Finalizada",I178&lt;H178,L178=""),"Falta código de motivo","")))</f>
        <v/>
      </c>
      <c r="P178" s="9" t="str">
        <f aca="false">IF(OR(D178="",A178=""),"",IF(COUNTIFS(Revision_previa!$B:$B,D178,Revision_previa!$A:$A,"&gt;="&amp;A178,Revision_previa!$A:$A,"&lt;"&amp;(A178+1))=0,"Sin revisión",IF(COUNTIFS(Revision_previa!$B:$B,D178,Revision_previa!$A:$A,"&gt;="&amp;A178,Revision_previa!$A:$A,"&lt;"&amp;(A178+1),Revision_previa!$D:$D,"Falla")+COUNTIFS(Revision_previa!$B:$B,D178,Revision_previa!$A:$A,"&gt;="&amp;A178,Revision_previa!$A:$A,"&lt;"&amp;(A178+1),Revision_previa!$E:$E,"Falla")+COUNTIFS(Revision_previa!$B:$B,D178,Revision_previa!$A:$A,"&gt;="&amp;A178,Revision_previa!$A:$A,"&lt;"&amp;(A178+1),Revision_previa!$F:$F,"Falla")+COUNTIFS(Revision_previa!$B:$B,D178,Revision_previa!$A:$A,"&gt;="&amp;A178,Revision_previa!$A:$A,"&lt;"&amp;(A178+1),Revision_previa!$H:$H,"Encendido")&gt;0,"No apto","Apto")))</f>
        <v/>
      </c>
    </row>
    <row r="179" customFormat="false" ht="15" hidden="false" customHeight="false" outlineLevel="0" collapsed="false">
      <c r="A179" s="23"/>
      <c r="B179" s="9"/>
      <c r="C179" s="9"/>
      <c r="D179" s="9"/>
      <c r="E179" s="9" t="str">
        <f aca="false">IF(C179="","",IFERROR(INDEX(Conductores!$B:$B,MATCH(C179,Conductores!$A:$A,0)),"ID no encontrado"))</f>
        <v/>
      </c>
      <c r="F179" s="9" t="str">
        <f aca="false">IF(B179="","",IFERROR(INDEX(Rutas!$B:$B,MATCH(B179,Rutas!$A:$A,0)),"ID no encontrado"))</f>
        <v/>
      </c>
      <c r="G179" s="9" t="str">
        <f aca="false">IF(OR(B179="",C179="",D179=""),"",IF(OR(ISNA(MATCH(B179,Rutas!$A:$A,0)),ISNA(MATCH(C179,Conductores!$A:$A,0)),ISNA(MATCH(D179,Vehículos!$A:$A,0))),"REVISAR: ID no encontrado",IF(INDEX(Rutas!$C:$C,MATCH(B179,Rutas!$A:$A,0))&lt;&gt;INDEX(Vehículos!$B:$B,MATCH(D179,Vehículos!$A:$A,0)),"REVISAR: el vehículo no corresponde a la ruta",IF(INDEX(Rutas!$C:$C,MATCH(B179,Rutas!$A:$A,0))&lt;&gt;INDEX(Conductores!$D:$D,MATCH(C179,Conductores!$A:$A,0)),"REVISAR: el conductor no corresponde a la ruta",IF(OR(INDEX(Vehículos!$E:$E,MATCH(D179,Vehículos!$A:$A,0))="Taller",INDEX(Vehículos!$E:$E,MATCH(D179,Vehículos!$A:$A,0))="Fuera de servicio"),"REVISAR: vehículo no disponible",IF(INDEX(Conductores!$G:$G,MATCH(C179,Conductores!$A:$A,0))&lt;&gt;"Activo","REVISAR: conductor no activo",IF(COUNTIFS($A:$A,A179,$C:$C,C179)&gt;1,"REVISAR: conductor asignado dos veces",IF(COUNTIFS($A:$A,A179,$D:$D,D179)&gt;1,"REVISAR: vehículo asignado dos veces","OK"))))))))</f>
        <v/>
      </c>
      <c r="H179" s="9"/>
      <c r="I179" s="9"/>
      <c r="J179" s="14" t="str">
        <f aca="false">IF(OR(H179="",H179=0),"",I179/H179)</f>
        <v/>
      </c>
      <c r="K179" s="9"/>
      <c r="L179" s="9"/>
      <c r="M179" s="24"/>
      <c r="N179" s="9"/>
      <c r="O179" s="9" t="str">
        <f aca="false">IF(AND(OR(K179="En riesgo",K179="Atrasada"),L179=""),"Falta código de motivo",IF(AND(L179="OTR",N179=""),"Explica OTR en las notas",IF(AND(K179="Finalizada",I179&lt;H179,L179=""),"Falta código de motivo","")))</f>
        <v/>
      </c>
      <c r="P179" s="9" t="str">
        <f aca="false">IF(OR(D179="",A179=""),"",IF(COUNTIFS(Revision_previa!$B:$B,D179,Revision_previa!$A:$A,"&gt;="&amp;A179,Revision_previa!$A:$A,"&lt;"&amp;(A179+1))=0,"Sin revisión",IF(COUNTIFS(Revision_previa!$B:$B,D179,Revision_previa!$A:$A,"&gt;="&amp;A179,Revision_previa!$A:$A,"&lt;"&amp;(A179+1),Revision_previa!$D:$D,"Falla")+COUNTIFS(Revision_previa!$B:$B,D179,Revision_previa!$A:$A,"&gt;="&amp;A179,Revision_previa!$A:$A,"&lt;"&amp;(A179+1),Revision_previa!$E:$E,"Falla")+COUNTIFS(Revision_previa!$B:$B,D179,Revision_previa!$A:$A,"&gt;="&amp;A179,Revision_previa!$A:$A,"&lt;"&amp;(A179+1),Revision_previa!$F:$F,"Falla")+COUNTIFS(Revision_previa!$B:$B,D179,Revision_previa!$A:$A,"&gt;="&amp;A179,Revision_previa!$A:$A,"&lt;"&amp;(A179+1),Revision_previa!$H:$H,"Encendido")&gt;0,"No apto","Apto")))</f>
        <v/>
      </c>
    </row>
    <row r="180" customFormat="false" ht="15" hidden="false" customHeight="false" outlineLevel="0" collapsed="false">
      <c r="A180" s="23"/>
      <c r="B180" s="9"/>
      <c r="C180" s="9"/>
      <c r="D180" s="9"/>
      <c r="E180" s="9" t="str">
        <f aca="false">IF(C180="","",IFERROR(INDEX(Conductores!$B:$B,MATCH(C180,Conductores!$A:$A,0)),"ID no encontrado"))</f>
        <v/>
      </c>
      <c r="F180" s="9" t="str">
        <f aca="false">IF(B180="","",IFERROR(INDEX(Rutas!$B:$B,MATCH(B180,Rutas!$A:$A,0)),"ID no encontrado"))</f>
        <v/>
      </c>
      <c r="G180" s="9" t="str">
        <f aca="false">IF(OR(B180="",C180="",D180=""),"",IF(OR(ISNA(MATCH(B180,Rutas!$A:$A,0)),ISNA(MATCH(C180,Conductores!$A:$A,0)),ISNA(MATCH(D180,Vehículos!$A:$A,0))),"REVISAR: ID no encontrado",IF(INDEX(Rutas!$C:$C,MATCH(B180,Rutas!$A:$A,0))&lt;&gt;INDEX(Vehículos!$B:$B,MATCH(D180,Vehículos!$A:$A,0)),"REVISAR: el vehículo no corresponde a la ruta",IF(INDEX(Rutas!$C:$C,MATCH(B180,Rutas!$A:$A,0))&lt;&gt;INDEX(Conductores!$D:$D,MATCH(C180,Conductores!$A:$A,0)),"REVISAR: el conductor no corresponde a la ruta",IF(OR(INDEX(Vehículos!$E:$E,MATCH(D180,Vehículos!$A:$A,0))="Taller",INDEX(Vehículos!$E:$E,MATCH(D180,Vehículos!$A:$A,0))="Fuera de servicio"),"REVISAR: vehículo no disponible",IF(INDEX(Conductores!$G:$G,MATCH(C180,Conductores!$A:$A,0))&lt;&gt;"Activo","REVISAR: conductor no activo",IF(COUNTIFS($A:$A,A180,$C:$C,C180)&gt;1,"REVISAR: conductor asignado dos veces",IF(COUNTIFS($A:$A,A180,$D:$D,D180)&gt;1,"REVISAR: vehículo asignado dos veces","OK"))))))))</f>
        <v/>
      </c>
      <c r="H180" s="9"/>
      <c r="I180" s="9"/>
      <c r="J180" s="14" t="str">
        <f aca="false">IF(OR(H180="",H180=0),"",I180/H180)</f>
        <v/>
      </c>
      <c r="K180" s="9"/>
      <c r="L180" s="9"/>
      <c r="M180" s="24"/>
      <c r="N180" s="9"/>
      <c r="O180" s="9" t="str">
        <f aca="false">IF(AND(OR(K180="En riesgo",K180="Atrasada"),L180=""),"Falta código de motivo",IF(AND(L180="OTR",N180=""),"Explica OTR en las notas",IF(AND(K180="Finalizada",I180&lt;H180,L180=""),"Falta código de motivo","")))</f>
        <v/>
      </c>
      <c r="P180" s="9" t="str">
        <f aca="false">IF(OR(D180="",A180=""),"",IF(COUNTIFS(Revision_previa!$B:$B,D180,Revision_previa!$A:$A,"&gt;="&amp;A180,Revision_previa!$A:$A,"&lt;"&amp;(A180+1))=0,"Sin revisión",IF(COUNTIFS(Revision_previa!$B:$B,D180,Revision_previa!$A:$A,"&gt;="&amp;A180,Revision_previa!$A:$A,"&lt;"&amp;(A180+1),Revision_previa!$D:$D,"Falla")+COUNTIFS(Revision_previa!$B:$B,D180,Revision_previa!$A:$A,"&gt;="&amp;A180,Revision_previa!$A:$A,"&lt;"&amp;(A180+1),Revision_previa!$E:$E,"Falla")+COUNTIFS(Revision_previa!$B:$B,D180,Revision_previa!$A:$A,"&gt;="&amp;A180,Revision_previa!$A:$A,"&lt;"&amp;(A180+1),Revision_previa!$F:$F,"Falla")+COUNTIFS(Revision_previa!$B:$B,D180,Revision_previa!$A:$A,"&gt;="&amp;A180,Revision_previa!$A:$A,"&lt;"&amp;(A180+1),Revision_previa!$H:$H,"Encendido")&gt;0,"No apto","Apto")))</f>
        <v/>
      </c>
    </row>
    <row r="181" customFormat="false" ht="15" hidden="false" customHeight="false" outlineLevel="0" collapsed="false">
      <c r="A181" s="23"/>
      <c r="B181" s="9"/>
      <c r="C181" s="9"/>
      <c r="D181" s="9"/>
      <c r="E181" s="9" t="str">
        <f aca="false">IF(C181="","",IFERROR(INDEX(Conductores!$B:$B,MATCH(C181,Conductores!$A:$A,0)),"ID no encontrado"))</f>
        <v/>
      </c>
      <c r="F181" s="9" t="str">
        <f aca="false">IF(B181="","",IFERROR(INDEX(Rutas!$B:$B,MATCH(B181,Rutas!$A:$A,0)),"ID no encontrado"))</f>
        <v/>
      </c>
      <c r="G181" s="9" t="str">
        <f aca="false">IF(OR(B181="",C181="",D181=""),"",IF(OR(ISNA(MATCH(B181,Rutas!$A:$A,0)),ISNA(MATCH(C181,Conductores!$A:$A,0)),ISNA(MATCH(D181,Vehículos!$A:$A,0))),"REVISAR: ID no encontrado",IF(INDEX(Rutas!$C:$C,MATCH(B181,Rutas!$A:$A,0))&lt;&gt;INDEX(Vehículos!$B:$B,MATCH(D181,Vehículos!$A:$A,0)),"REVISAR: el vehículo no corresponde a la ruta",IF(INDEX(Rutas!$C:$C,MATCH(B181,Rutas!$A:$A,0))&lt;&gt;INDEX(Conductores!$D:$D,MATCH(C181,Conductores!$A:$A,0)),"REVISAR: el conductor no corresponde a la ruta",IF(OR(INDEX(Vehículos!$E:$E,MATCH(D181,Vehículos!$A:$A,0))="Taller",INDEX(Vehículos!$E:$E,MATCH(D181,Vehículos!$A:$A,0))="Fuera de servicio"),"REVISAR: vehículo no disponible",IF(INDEX(Conductores!$G:$G,MATCH(C181,Conductores!$A:$A,0))&lt;&gt;"Activo","REVISAR: conductor no activo",IF(COUNTIFS($A:$A,A181,$C:$C,C181)&gt;1,"REVISAR: conductor asignado dos veces",IF(COUNTIFS($A:$A,A181,$D:$D,D181)&gt;1,"REVISAR: vehículo asignado dos veces","OK"))))))))</f>
        <v/>
      </c>
      <c r="H181" s="9"/>
      <c r="I181" s="9"/>
      <c r="J181" s="14" t="str">
        <f aca="false">IF(OR(H181="",H181=0),"",I181/H181)</f>
        <v/>
      </c>
      <c r="K181" s="9"/>
      <c r="L181" s="9"/>
      <c r="M181" s="24"/>
      <c r="N181" s="9"/>
      <c r="O181" s="9" t="str">
        <f aca="false">IF(AND(OR(K181="En riesgo",K181="Atrasada"),L181=""),"Falta código de motivo",IF(AND(L181="OTR",N181=""),"Explica OTR en las notas",IF(AND(K181="Finalizada",I181&lt;H181,L181=""),"Falta código de motivo","")))</f>
        <v/>
      </c>
      <c r="P181" s="9" t="str">
        <f aca="false">IF(OR(D181="",A181=""),"",IF(COUNTIFS(Revision_previa!$B:$B,D181,Revision_previa!$A:$A,"&gt;="&amp;A181,Revision_previa!$A:$A,"&lt;"&amp;(A181+1))=0,"Sin revisión",IF(COUNTIFS(Revision_previa!$B:$B,D181,Revision_previa!$A:$A,"&gt;="&amp;A181,Revision_previa!$A:$A,"&lt;"&amp;(A181+1),Revision_previa!$D:$D,"Falla")+COUNTIFS(Revision_previa!$B:$B,D181,Revision_previa!$A:$A,"&gt;="&amp;A181,Revision_previa!$A:$A,"&lt;"&amp;(A181+1),Revision_previa!$E:$E,"Falla")+COUNTIFS(Revision_previa!$B:$B,D181,Revision_previa!$A:$A,"&gt;="&amp;A181,Revision_previa!$A:$A,"&lt;"&amp;(A181+1),Revision_previa!$F:$F,"Falla")+COUNTIFS(Revision_previa!$B:$B,D181,Revision_previa!$A:$A,"&gt;="&amp;A181,Revision_previa!$A:$A,"&lt;"&amp;(A181+1),Revision_previa!$H:$H,"Encendido")&gt;0,"No apto","Apto")))</f>
        <v/>
      </c>
    </row>
    <row r="182" customFormat="false" ht="15" hidden="false" customHeight="false" outlineLevel="0" collapsed="false">
      <c r="A182" s="23"/>
      <c r="B182" s="9"/>
      <c r="C182" s="9"/>
      <c r="D182" s="9"/>
      <c r="E182" s="9" t="str">
        <f aca="false">IF(C182="","",IFERROR(INDEX(Conductores!$B:$B,MATCH(C182,Conductores!$A:$A,0)),"ID no encontrado"))</f>
        <v/>
      </c>
      <c r="F182" s="9" t="str">
        <f aca="false">IF(B182="","",IFERROR(INDEX(Rutas!$B:$B,MATCH(B182,Rutas!$A:$A,0)),"ID no encontrado"))</f>
        <v/>
      </c>
      <c r="G182" s="9" t="str">
        <f aca="false">IF(OR(B182="",C182="",D182=""),"",IF(OR(ISNA(MATCH(B182,Rutas!$A:$A,0)),ISNA(MATCH(C182,Conductores!$A:$A,0)),ISNA(MATCH(D182,Vehículos!$A:$A,0))),"REVISAR: ID no encontrado",IF(INDEX(Rutas!$C:$C,MATCH(B182,Rutas!$A:$A,0))&lt;&gt;INDEX(Vehículos!$B:$B,MATCH(D182,Vehículos!$A:$A,0)),"REVISAR: el vehículo no corresponde a la ruta",IF(INDEX(Rutas!$C:$C,MATCH(B182,Rutas!$A:$A,0))&lt;&gt;INDEX(Conductores!$D:$D,MATCH(C182,Conductores!$A:$A,0)),"REVISAR: el conductor no corresponde a la ruta",IF(OR(INDEX(Vehículos!$E:$E,MATCH(D182,Vehículos!$A:$A,0))="Taller",INDEX(Vehículos!$E:$E,MATCH(D182,Vehículos!$A:$A,0))="Fuera de servicio"),"REVISAR: vehículo no disponible",IF(INDEX(Conductores!$G:$G,MATCH(C182,Conductores!$A:$A,0))&lt;&gt;"Activo","REVISAR: conductor no activo",IF(COUNTIFS($A:$A,A182,$C:$C,C182)&gt;1,"REVISAR: conductor asignado dos veces",IF(COUNTIFS($A:$A,A182,$D:$D,D182)&gt;1,"REVISAR: vehículo asignado dos veces","OK"))))))))</f>
        <v/>
      </c>
      <c r="H182" s="9"/>
      <c r="I182" s="9"/>
      <c r="J182" s="14" t="str">
        <f aca="false">IF(OR(H182="",H182=0),"",I182/H182)</f>
        <v/>
      </c>
      <c r="K182" s="9"/>
      <c r="L182" s="9"/>
      <c r="M182" s="24"/>
      <c r="N182" s="9"/>
      <c r="O182" s="9" t="str">
        <f aca="false">IF(AND(OR(K182="En riesgo",K182="Atrasada"),L182=""),"Falta código de motivo",IF(AND(L182="OTR",N182=""),"Explica OTR en las notas",IF(AND(K182="Finalizada",I182&lt;H182,L182=""),"Falta código de motivo","")))</f>
        <v/>
      </c>
      <c r="P182" s="9" t="str">
        <f aca="false">IF(OR(D182="",A182=""),"",IF(COUNTIFS(Revision_previa!$B:$B,D182,Revision_previa!$A:$A,"&gt;="&amp;A182,Revision_previa!$A:$A,"&lt;"&amp;(A182+1))=0,"Sin revisión",IF(COUNTIFS(Revision_previa!$B:$B,D182,Revision_previa!$A:$A,"&gt;="&amp;A182,Revision_previa!$A:$A,"&lt;"&amp;(A182+1),Revision_previa!$D:$D,"Falla")+COUNTIFS(Revision_previa!$B:$B,D182,Revision_previa!$A:$A,"&gt;="&amp;A182,Revision_previa!$A:$A,"&lt;"&amp;(A182+1),Revision_previa!$E:$E,"Falla")+COUNTIFS(Revision_previa!$B:$B,D182,Revision_previa!$A:$A,"&gt;="&amp;A182,Revision_previa!$A:$A,"&lt;"&amp;(A182+1),Revision_previa!$F:$F,"Falla")+COUNTIFS(Revision_previa!$B:$B,D182,Revision_previa!$A:$A,"&gt;="&amp;A182,Revision_previa!$A:$A,"&lt;"&amp;(A182+1),Revision_previa!$H:$H,"Encendido")&gt;0,"No apto","Apto")))</f>
        <v/>
      </c>
    </row>
    <row r="183" customFormat="false" ht="15" hidden="false" customHeight="false" outlineLevel="0" collapsed="false">
      <c r="A183" s="23"/>
      <c r="B183" s="9"/>
      <c r="C183" s="9"/>
      <c r="D183" s="9"/>
      <c r="E183" s="9" t="str">
        <f aca="false">IF(C183="","",IFERROR(INDEX(Conductores!$B:$B,MATCH(C183,Conductores!$A:$A,0)),"ID no encontrado"))</f>
        <v/>
      </c>
      <c r="F183" s="9" t="str">
        <f aca="false">IF(B183="","",IFERROR(INDEX(Rutas!$B:$B,MATCH(B183,Rutas!$A:$A,0)),"ID no encontrado"))</f>
        <v/>
      </c>
      <c r="G183" s="9" t="str">
        <f aca="false">IF(OR(B183="",C183="",D183=""),"",IF(OR(ISNA(MATCH(B183,Rutas!$A:$A,0)),ISNA(MATCH(C183,Conductores!$A:$A,0)),ISNA(MATCH(D183,Vehículos!$A:$A,0))),"REVISAR: ID no encontrado",IF(INDEX(Rutas!$C:$C,MATCH(B183,Rutas!$A:$A,0))&lt;&gt;INDEX(Vehículos!$B:$B,MATCH(D183,Vehículos!$A:$A,0)),"REVISAR: el vehículo no corresponde a la ruta",IF(INDEX(Rutas!$C:$C,MATCH(B183,Rutas!$A:$A,0))&lt;&gt;INDEX(Conductores!$D:$D,MATCH(C183,Conductores!$A:$A,0)),"REVISAR: el conductor no corresponde a la ruta",IF(OR(INDEX(Vehículos!$E:$E,MATCH(D183,Vehículos!$A:$A,0))="Taller",INDEX(Vehículos!$E:$E,MATCH(D183,Vehículos!$A:$A,0))="Fuera de servicio"),"REVISAR: vehículo no disponible",IF(INDEX(Conductores!$G:$G,MATCH(C183,Conductores!$A:$A,0))&lt;&gt;"Activo","REVISAR: conductor no activo",IF(COUNTIFS($A:$A,A183,$C:$C,C183)&gt;1,"REVISAR: conductor asignado dos veces",IF(COUNTIFS($A:$A,A183,$D:$D,D183)&gt;1,"REVISAR: vehículo asignado dos veces","OK"))))))))</f>
        <v/>
      </c>
      <c r="H183" s="9"/>
      <c r="I183" s="9"/>
      <c r="J183" s="14" t="str">
        <f aca="false">IF(OR(H183="",H183=0),"",I183/H183)</f>
        <v/>
      </c>
      <c r="K183" s="9"/>
      <c r="L183" s="9"/>
      <c r="M183" s="24"/>
      <c r="N183" s="9"/>
      <c r="O183" s="9" t="str">
        <f aca="false">IF(AND(OR(K183="En riesgo",K183="Atrasada"),L183=""),"Falta código de motivo",IF(AND(L183="OTR",N183=""),"Explica OTR en las notas",IF(AND(K183="Finalizada",I183&lt;H183,L183=""),"Falta código de motivo","")))</f>
        <v/>
      </c>
      <c r="P183" s="9" t="str">
        <f aca="false">IF(OR(D183="",A183=""),"",IF(COUNTIFS(Revision_previa!$B:$B,D183,Revision_previa!$A:$A,"&gt;="&amp;A183,Revision_previa!$A:$A,"&lt;"&amp;(A183+1))=0,"Sin revisión",IF(COUNTIFS(Revision_previa!$B:$B,D183,Revision_previa!$A:$A,"&gt;="&amp;A183,Revision_previa!$A:$A,"&lt;"&amp;(A183+1),Revision_previa!$D:$D,"Falla")+COUNTIFS(Revision_previa!$B:$B,D183,Revision_previa!$A:$A,"&gt;="&amp;A183,Revision_previa!$A:$A,"&lt;"&amp;(A183+1),Revision_previa!$E:$E,"Falla")+COUNTIFS(Revision_previa!$B:$B,D183,Revision_previa!$A:$A,"&gt;="&amp;A183,Revision_previa!$A:$A,"&lt;"&amp;(A183+1),Revision_previa!$F:$F,"Falla")+COUNTIFS(Revision_previa!$B:$B,D183,Revision_previa!$A:$A,"&gt;="&amp;A183,Revision_previa!$A:$A,"&lt;"&amp;(A183+1),Revision_previa!$H:$H,"Encendido")&gt;0,"No apto","Apto")))</f>
        <v/>
      </c>
    </row>
    <row r="184" customFormat="false" ht="15" hidden="false" customHeight="false" outlineLevel="0" collapsed="false">
      <c r="A184" s="23"/>
      <c r="B184" s="9"/>
      <c r="C184" s="9"/>
      <c r="D184" s="9"/>
      <c r="E184" s="9" t="str">
        <f aca="false">IF(C184="","",IFERROR(INDEX(Conductores!$B:$B,MATCH(C184,Conductores!$A:$A,0)),"ID no encontrado"))</f>
        <v/>
      </c>
      <c r="F184" s="9" t="str">
        <f aca="false">IF(B184="","",IFERROR(INDEX(Rutas!$B:$B,MATCH(B184,Rutas!$A:$A,0)),"ID no encontrado"))</f>
        <v/>
      </c>
      <c r="G184" s="9" t="str">
        <f aca="false">IF(OR(B184="",C184="",D184=""),"",IF(OR(ISNA(MATCH(B184,Rutas!$A:$A,0)),ISNA(MATCH(C184,Conductores!$A:$A,0)),ISNA(MATCH(D184,Vehículos!$A:$A,0))),"REVISAR: ID no encontrado",IF(INDEX(Rutas!$C:$C,MATCH(B184,Rutas!$A:$A,0))&lt;&gt;INDEX(Vehículos!$B:$B,MATCH(D184,Vehículos!$A:$A,0)),"REVISAR: el vehículo no corresponde a la ruta",IF(INDEX(Rutas!$C:$C,MATCH(B184,Rutas!$A:$A,0))&lt;&gt;INDEX(Conductores!$D:$D,MATCH(C184,Conductores!$A:$A,0)),"REVISAR: el conductor no corresponde a la ruta",IF(OR(INDEX(Vehículos!$E:$E,MATCH(D184,Vehículos!$A:$A,0))="Taller",INDEX(Vehículos!$E:$E,MATCH(D184,Vehículos!$A:$A,0))="Fuera de servicio"),"REVISAR: vehículo no disponible",IF(INDEX(Conductores!$G:$G,MATCH(C184,Conductores!$A:$A,0))&lt;&gt;"Activo","REVISAR: conductor no activo",IF(COUNTIFS($A:$A,A184,$C:$C,C184)&gt;1,"REVISAR: conductor asignado dos veces",IF(COUNTIFS($A:$A,A184,$D:$D,D184)&gt;1,"REVISAR: vehículo asignado dos veces","OK"))))))))</f>
        <v/>
      </c>
      <c r="H184" s="9"/>
      <c r="I184" s="9"/>
      <c r="J184" s="14" t="str">
        <f aca="false">IF(OR(H184="",H184=0),"",I184/H184)</f>
        <v/>
      </c>
      <c r="K184" s="9"/>
      <c r="L184" s="9"/>
      <c r="M184" s="24"/>
      <c r="N184" s="9"/>
      <c r="O184" s="9" t="str">
        <f aca="false">IF(AND(OR(K184="En riesgo",K184="Atrasada"),L184=""),"Falta código de motivo",IF(AND(L184="OTR",N184=""),"Explica OTR en las notas",IF(AND(K184="Finalizada",I184&lt;H184,L184=""),"Falta código de motivo","")))</f>
        <v/>
      </c>
      <c r="P184" s="9" t="str">
        <f aca="false">IF(OR(D184="",A184=""),"",IF(COUNTIFS(Revision_previa!$B:$B,D184,Revision_previa!$A:$A,"&gt;="&amp;A184,Revision_previa!$A:$A,"&lt;"&amp;(A184+1))=0,"Sin revisión",IF(COUNTIFS(Revision_previa!$B:$B,D184,Revision_previa!$A:$A,"&gt;="&amp;A184,Revision_previa!$A:$A,"&lt;"&amp;(A184+1),Revision_previa!$D:$D,"Falla")+COUNTIFS(Revision_previa!$B:$B,D184,Revision_previa!$A:$A,"&gt;="&amp;A184,Revision_previa!$A:$A,"&lt;"&amp;(A184+1),Revision_previa!$E:$E,"Falla")+COUNTIFS(Revision_previa!$B:$B,D184,Revision_previa!$A:$A,"&gt;="&amp;A184,Revision_previa!$A:$A,"&lt;"&amp;(A184+1),Revision_previa!$F:$F,"Falla")+COUNTIFS(Revision_previa!$B:$B,D184,Revision_previa!$A:$A,"&gt;="&amp;A184,Revision_previa!$A:$A,"&lt;"&amp;(A184+1),Revision_previa!$H:$H,"Encendido")&gt;0,"No apto","Apto")))</f>
        <v/>
      </c>
    </row>
    <row r="185" customFormat="false" ht="15" hidden="false" customHeight="false" outlineLevel="0" collapsed="false">
      <c r="A185" s="23"/>
      <c r="B185" s="9"/>
      <c r="C185" s="9"/>
      <c r="D185" s="9"/>
      <c r="E185" s="9" t="str">
        <f aca="false">IF(C185="","",IFERROR(INDEX(Conductores!$B:$B,MATCH(C185,Conductores!$A:$A,0)),"ID no encontrado"))</f>
        <v/>
      </c>
      <c r="F185" s="9" t="str">
        <f aca="false">IF(B185="","",IFERROR(INDEX(Rutas!$B:$B,MATCH(B185,Rutas!$A:$A,0)),"ID no encontrado"))</f>
        <v/>
      </c>
      <c r="G185" s="9" t="str">
        <f aca="false">IF(OR(B185="",C185="",D185=""),"",IF(OR(ISNA(MATCH(B185,Rutas!$A:$A,0)),ISNA(MATCH(C185,Conductores!$A:$A,0)),ISNA(MATCH(D185,Vehículos!$A:$A,0))),"REVISAR: ID no encontrado",IF(INDEX(Rutas!$C:$C,MATCH(B185,Rutas!$A:$A,0))&lt;&gt;INDEX(Vehículos!$B:$B,MATCH(D185,Vehículos!$A:$A,0)),"REVISAR: el vehículo no corresponde a la ruta",IF(INDEX(Rutas!$C:$C,MATCH(B185,Rutas!$A:$A,0))&lt;&gt;INDEX(Conductores!$D:$D,MATCH(C185,Conductores!$A:$A,0)),"REVISAR: el conductor no corresponde a la ruta",IF(OR(INDEX(Vehículos!$E:$E,MATCH(D185,Vehículos!$A:$A,0))="Taller",INDEX(Vehículos!$E:$E,MATCH(D185,Vehículos!$A:$A,0))="Fuera de servicio"),"REVISAR: vehículo no disponible",IF(INDEX(Conductores!$G:$G,MATCH(C185,Conductores!$A:$A,0))&lt;&gt;"Activo","REVISAR: conductor no activo",IF(COUNTIFS($A:$A,A185,$C:$C,C185)&gt;1,"REVISAR: conductor asignado dos veces",IF(COUNTIFS($A:$A,A185,$D:$D,D185)&gt;1,"REVISAR: vehículo asignado dos veces","OK"))))))))</f>
        <v/>
      </c>
      <c r="H185" s="9"/>
      <c r="I185" s="9"/>
      <c r="J185" s="14" t="str">
        <f aca="false">IF(OR(H185="",H185=0),"",I185/H185)</f>
        <v/>
      </c>
      <c r="K185" s="9"/>
      <c r="L185" s="9"/>
      <c r="M185" s="24"/>
      <c r="N185" s="9"/>
      <c r="O185" s="9" t="str">
        <f aca="false">IF(AND(OR(K185="En riesgo",K185="Atrasada"),L185=""),"Falta código de motivo",IF(AND(L185="OTR",N185=""),"Explica OTR en las notas",IF(AND(K185="Finalizada",I185&lt;H185,L185=""),"Falta código de motivo","")))</f>
        <v/>
      </c>
      <c r="P185" s="9" t="str">
        <f aca="false">IF(OR(D185="",A185=""),"",IF(COUNTIFS(Revision_previa!$B:$B,D185,Revision_previa!$A:$A,"&gt;="&amp;A185,Revision_previa!$A:$A,"&lt;"&amp;(A185+1))=0,"Sin revisión",IF(COUNTIFS(Revision_previa!$B:$B,D185,Revision_previa!$A:$A,"&gt;="&amp;A185,Revision_previa!$A:$A,"&lt;"&amp;(A185+1),Revision_previa!$D:$D,"Falla")+COUNTIFS(Revision_previa!$B:$B,D185,Revision_previa!$A:$A,"&gt;="&amp;A185,Revision_previa!$A:$A,"&lt;"&amp;(A185+1),Revision_previa!$E:$E,"Falla")+COUNTIFS(Revision_previa!$B:$B,D185,Revision_previa!$A:$A,"&gt;="&amp;A185,Revision_previa!$A:$A,"&lt;"&amp;(A185+1),Revision_previa!$F:$F,"Falla")+COUNTIFS(Revision_previa!$B:$B,D185,Revision_previa!$A:$A,"&gt;="&amp;A185,Revision_previa!$A:$A,"&lt;"&amp;(A185+1),Revision_previa!$H:$H,"Encendido")&gt;0,"No apto","Apto")))</f>
        <v/>
      </c>
    </row>
    <row r="186" customFormat="false" ht="15" hidden="false" customHeight="false" outlineLevel="0" collapsed="false">
      <c r="A186" s="23"/>
      <c r="B186" s="9"/>
      <c r="C186" s="9"/>
      <c r="D186" s="9"/>
      <c r="E186" s="9" t="str">
        <f aca="false">IF(C186="","",IFERROR(INDEX(Conductores!$B:$B,MATCH(C186,Conductores!$A:$A,0)),"ID no encontrado"))</f>
        <v/>
      </c>
      <c r="F186" s="9" t="str">
        <f aca="false">IF(B186="","",IFERROR(INDEX(Rutas!$B:$B,MATCH(B186,Rutas!$A:$A,0)),"ID no encontrado"))</f>
        <v/>
      </c>
      <c r="G186" s="9" t="str">
        <f aca="false">IF(OR(B186="",C186="",D186=""),"",IF(OR(ISNA(MATCH(B186,Rutas!$A:$A,0)),ISNA(MATCH(C186,Conductores!$A:$A,0)),ISNA(MATCH(D186,Vehículos!$A:$A,0))),"REVISAR: ID no encontrado",IF(INDEX(Rutas!$C:$C,MATCH(B186,Rutas!$A:$A,0))&lt;&gt;INDEX(Vehículos!$B:$B,MATCH(D186,Vehículos!$A:$A,0)),"REVISAR: el vehículo no corresponde a la ruta",IF(INDEX(Rutas!$C:$C,MATCH(B186,Rutas!$A:$A,0))&lt;&gt;INDEX(Conductores!$D:$D,MATCH(C186,Conductores!$A:$A,0)),"REVISAR: el conductor no corresponde a la ruta",IF(OR(INDEX(Vehículos!$E:$E,MATCH(D186,Vehículos!$A:$A,0))="Taller",INDEX(Vehículos!$E:$E,MATCH(D186,Vehículos!$A:$A,0))="Fuera de servicio"),"REVISAR: vehículo no disponible",IF(INDEX(Conductores!$G:$G,MATCH(C186,Conductores!$A:$A,0))&lt;&gt;"Activo","REVISAR: conductor no activo",IF(COUNTIFS($A:$A,A186,$C:$C,C186)&gt;1,"REVISAR: conductor asignado dos veces",IF(COUNTIFS($A:$A,A186,$D:$D,D186)&gt;1,"REVISAR: vehículo asignado dos veces","OK"))))))))</f>
        <v/>
      </c>
      <c r="H186" s="9"/>
      <c r="I186" s="9"/>
      <c r="J186" s="14" t="str">
        <f aca="false">IF(OR(H186="",H186=0),"",I186/H186)</f>
        <v/>
      </c>
      <c r="K186" s="9"/>
      <c r="L186" s="9"/>
      <c r="M186" s="24"/>
      <c r="N186" s="9"/>
      <c r="O186" s="9" t="str">
        <f aca="false">IF(AND(OR(K186="En riesgo",K186="Atrasada"),L186=""),"Falta código de motivo",IF(AND(L186="OTR",N186=""),"Explica OTR en las notas",IF(AND(K186="Finalizada",I186&lt;H186,L186=""),"Falta código de motivo","")))</f>
        <v/>
      </c>
      <c r="P186" s="9" t="str">
        <f aca="false">IF(OR(D186="",A186=""),"",IF(COUNTIFS(Revision_previa!$B:$B,D186,Revision_previa!$A:$A,"&gt;="&amp;A186,Revision_previa!$A:$A,"&lt;"&amp;(A186+1))=0,"Sin revisión",IF(COUNTIFS(Revision_previa!$B:$B,D186,Revision_previa!$A:$A,"&gt;="&amp;A186,Revision_previa!$A:$A,"&lt;"&amp;(A186+1),Revision_previa!$D:$D,"Falla")+COUNTIFS(Revision_previa!$B:$B,D186,Revision_previa!$A:$A,"&gt;="&amp;A186,Revision_previa!$A:$A,"&lt;"&amp;(A186+1),Revision_previa!$E:$E,"Falla")+COUNTIFS(Revision_previa!$B:$B,D186,Revision_previa!$A:$A,"&gt;="&amp;A186,Revision_previa!$A:$A,"&lt;"&amp;(A186+1),Revision_previa!$F:$F,"Falla")+COUNTIFS(Revision_previa!$B:$B,D186,Revision_previa!$A:$A,"&gt;="&amp;A186,Revision_previa!$A:$A,"&lt;"&amp;(A186+1),Revision_previa!$H:$H,"Encendido")&gt;0,"No apto","Apto")))</f>
        <v/>
      </c>
    </row>
    <row r="187" customFormat="false" ht="15" hidden="false" customHeight="false" outlineLevel="0" collapsed="false">
      <c r="A187" s="23"/>
      <c r="B187" s="9"/>
      <c r="C187" s="9"/>
      <c r="D187" s="9"/>
      <c r="E187" s="9" t="str">
        <f aca="false">IF(C187="","",IFERROR(INDEX(Conductores!$B:$B,MATCH(C187,Conductores!$A:$A,0)),"ID no encontrado"))</f>
        <v/>
      </c>
      <c r="F187" s="9" t="str">
        <f aca="false">IF(B187="","",IFERROR(INDEX(Rutas!$B:$B,MATCH(B187,Rutas!$A:$A,0)),"ID no encontrado"))</f>
        <v/>
      </c>
      <c r="G187" s="9" t="str">
        <f aca="false">IF(OR(B187="",C187="",D187=""),"",IF(OR(ISNA(MATCH(B187,Rutas!$A:$A,0)),ISNA(MATCH(C187,Conductores!$A:$A,0)),ISNA(MATCH(D187,Vehículos!$A:$A,0))),"REVISAR: ID no encontrado",IF(INDEX(Rutas!$C:$C,MATCH(B187,Rutas!$A:$A,0))&lt;&gt;INDEX(Vehículos!$B:$B,MATCH(D187,Vehículos!$A:$A,0)),"REVISAR: el vehículo no corresponde a la ruta",IF(INDEX(Rutas!$C:$C,MATCH(B187,Rutas!$A:$A,0))&lt;&gt;INDEX(Conductores!$D:$D,MATCH(C187,Conductores!$A:$A,0)),"REVISAR: el conductor no corresponde a la ruta",IF(OR(INDEX(Vehículos!$E:$E,MATCH(D187,Vehículos!$A:$A,0))="Taller",INDEX(Vehículos!$E:$E,MATCH(D187,Vehículos!$A:$A,0))="Fuera de servicio"),"REVISAR: vehículo no disponible",IF(INDEX(Conductores!$G:$G,MATCH(C187,Conductores!$A:$A,0))&lt;&gt;"Activo","REVISAR: conductor no activo",IF(COUNTIFS($A:$A,A187,$C:$C,C187)&gt;1,"REVISAR: conductor asignado dos veces",IF(COUNTIFS($A:$A,A187,$D:$D,D187)&gt;1,"REVISAR: vehículo asignado dos veces","OK"))))))))</f>
        <v/>
      </c>
      <c r="H187" s="9"/>
      <c r="I187" s="9"/>
      <c r="J187" s="14" t="str">
        <f aca="false">IF(OR(H187="",H187=0),"",I187/H187)</f>
        <v/>
      </c>
      <c r="K187" s="9"/>
      <c r="L187" s="9"/>
      <c r="M187" s="24"/>
      <c r="N187" s="9"/>
      <c r="O187" s="9" t="str">
        <f aca="false">IF(AND(OR(K187="En riesgo",K187="Atrasada"),L187=""),"Falta código de motivo",IF(AND(L187="OTR",N187=""),"Explica OTR en las notas",IF(AND(K187="Finalizada",I187&lt;H187,L187=""),"Falta código de motivo","")))</f>
        <v/>
      </c>
      <c r="P187" s="9" t="str">
        <f aca="false">IF(OR(D187="",A187=""),"",IF(COUNTIFS(Revision_previa!$B:$B,D187,Revision_previa!$A:$A,"&gt;="&amp;A187,Revision_previa!$A:$A,"&lt;"&amp;(A187+1))=0,"Sin revisión",IF(COUNTIFS(Revision_previa!$B:$B,D187,Revision_previa!$A:$A,"&gt;="&amp;A187,Revision_previa!$A:$A,"&lt;"&amp;(A187+1),Revision_previa!$D:$D,"Falla")+COUNTIFS(Revision_previa!$B:$B,D187,Revision_previa!$A:$A,"&gt;="&amp;A187,Revision_previa!$A:$A,"&lt;"&amp;(A187+1),Revision_previa!$E:$E,"Falla")+COUNTIFS(Revision_previa!$B:$B,D187,Revision_previa!$A:$A,"&gt;="&amp;A187,Revision_previa!$A:$A,"&lt;"&amp;(A187+1),Revision_previa!$F:$F,"Falla")+COUNTIFS(Revision_previa!$B:$B,D187,Revision_previa!$A:$A,"&gt;="&amp;A187,Revision_previa!$A:$A,"&lt;"&amp;(A187+1),Revision_previa!$H:$H,"Encendido")&gt;0,"No apto","Apto")))</f>
        <v/>
      </c>
    </row>
    <row r="188" customFormat="false" ht="15" hidden="false" customHeight="false" outlineLevel="0" collapsed="false">
      <c r="A188" s="23"/>
      <c r="B188" s="9"/>
      <c r="C188" s="9"/>
      <c r="D188" s="9"/>
      <c r="E188" s="9" t="str">
        <f aca="false">IF(C188="","",IFERROR(INDEX(Conductores!$B:$B,MATCH(C188,Conductores!$A:$A,0)),"ID no encontrado"))</f>
        <v/>
      </c>
      <c r="F188" s="9" t="str">
        <f aca="false">IF(B188="","",IFERROR(INDEX(Rutas!$B:$B,MATCH(B188,Rutas!$A:$A,0)),"ID no encontrado"))</f>
        <v/>
      </c>
      <c r="G188" s="9" t="str">
        <f aca="false">IF(OR(B188="",C188="",D188=""),"",IF(OR(ISNA(MATCH(B188,Rutas!$A:$A,0)),ISNA(MATCH(C188,Conductores!$A:$A,0)),ISNA(MATCH(D188,Vehículos!$A:$A,0))),"REVISAR: ID no encontrado",IF(INDEX(Rutas!$C:$C,MATCH(B188,Rutas!$A:$A,0))&lt;&gt;INDEX(Vehículos!$B:$B,MATCH(D188,Vehículos!$A:$A,0)),"REVISAR: el vehículo no corresponde a la ruta",IF(INDEX(Rutas!$C:$C,MATCH(B188,Rutas!$A:$A,0))&lt;&gt;INDEX(Conductores!$D:$D,MATCH(C188,Conductores!$A:$A,0)),"REVISAR: el conductor no corresponde a la ruta",IF(OR(INDEX(Vehículos!$E:$E,MATCH(D188,Vehículos!$A:$A,0))="Taller",INDEX(Vehículos!$E:$E,MATCH(D188,Vehículos!$A:$A,0))="Fuera de servicio"),"REVISAR: vehículo no disponible",IF(INDEX(Conductores!$G:$G,MATCH(C188,Conductores!$A:$A,0))&lt;&gt;"Activo","REVISAR: conductor no activo",IF(COUNTIFS($A:$A,A188,$C:$C,C188)&gt;1,"REVISAR: conductor asignado dos veces",IF(COUNTIFS($A:$A,A188,$D:$D,D188)&gt;1,"REVISAR: vehículo asignado dos veces","OK"))))))))</f>
        <v/>
      </c>
      <c r="H188" s="9"/>
      <c r="I188" s="9"/>
      <c r="J188" s="14" t="str">
        <f aca="false">IF(OR(H188="",H188=0),"",I188/H188)</f>
        <v/>
      </c>
      <c r="K188" s="9"/>
      <c r="L188" s="9"/>
      <c r="M188" s="24"/>
      <c r="N188" s="9"/>
      <c r="O188" s="9" t="str">
        <f aca="false">IF(AND(OR(K188="En riesgo",K188="Atrasada"),L188=""),"Falta código de motivo",IF(AND(L188="OTR",N188=""),"Explica OTR en las notas",IF(AND(K188="Finalizada",I188&lt;H188,L188=""),"Falta código de motivo","")))</f>
        <v/>
      </c>
      <c r="P188" s="9" t="str">
        <f aca="false">IF(OR(D188="",A188=""),"",IF(COUNTIFS(Revision_previa!$B:$B,D188,Revision_previa!$A:$A,"&gt;="&amp;A188,Revision_previa!$A:$A,"&lt;"&amp;(A188+1))=0,"Sin revisión",IF(COUNTIFS(Revision_previa!$B:$B,D188,Revision_previa!$A:$A,"&gt;="&amp;A188,Revision_previa!$A:$A,"&lt;"&amp;(A188+1),Revision_previa!$D:$D,"Falla")+COUNTIFS(Revision_previa!$B:$B,D188,Revision_previa!$A:$A,"&gt;="&amp;A188,Revision_previa!$A:$A,"&lt;"&amp;(A188+1),Revision_previa!$E:$E,"Falla")+COUNTIFS(Revision_previa!$B:$B,D188,Revision_previa!$A:$A,"&gt;="&amp;A188,Revision_previa!$A:$A,"&lt;"&amp;(A188+1),Revision_previa!$F:$F,"Falla")+COUNTIFS(Revision_previa!$B:$B,D188,Revision_previa!$A:$A,"&gt;="&amp;A188,Revision_previa!$A:$A,"&lt;"&amp;(A188+1),Revision_previa!$H:$H,"Encendido")&gt;0,"No apto","Apto")))</f>
        <v/>
      </c>
    </row>
    <row r="189" customFormat="false" ht="15" hidden="false" customHeight="false" outlineLevel="0" collapsed="false">
      <c r="A189" s="23"/>
      <c r="B189" s="9"/>
      <c r="C189" s="9"/>
      <c r="D189" s="9"/>
      <c r="E189" s="9" t="str">
        <f aca="false">IF(C189="","",IFERROR(INDEX(Conductores!$B:$B,MATCH(C189,Conductores!$A:$A,0)),"ID no encontrado"))</f>
        <v/>
      </c>
      <c r="F189" s="9" t="str">
        <f aca="false">IF(B189="","",IFERROR(INDEX(Rutas!$B:$B,MATCH(B189,Rutas!$A:$A,0)),"ID no encontrado"))</f>
        <v/>
      </c>
      <c r="G189" s="9" t="str">
        <f aca="false">IF(OR(B189="",C189="",D189=""),"",IF(OR(ISNA(MATCH(B189,Rutas!$A:$A,0)),ISNA(MATCH(C189,Conductores!$A:$A,0)),ISNA(MATCH(D189,Vehículos!$A:$A,0))),"REVISAR: ID no encontrado",IF(INDEX(Rutas!$C:$C,MATCH(B189,Rutas!$A:$A,0))&lt;&gt;INDEX(Vehículos!$B:$B,MATCH(D189,Vehículos!$A:$A,0)),"REVISAR: el vehículo no corresponde a la ruta",IF(INDEX(Rutas!$C:$C,MATCH(B189,Rutas!$A:$A,0))&lt;&gt;INDEX(Conductores!$D:$D,MATCH(C189,Conductores!$A:$A,0)),"REVISAR: el conductor no corresponde a la ruta",IF(OR(INDEX(Vehículos!$E:$E,MATCH(D189,Vehículos!$A:$A,0))="Taller",INDEX(Vehículos!$E:$E,MATCH(D189,Vehículos!$A:$A,0))="Fuera de servicio"),"REVISAR: vehículo no disponible",IF(INDEX(Conductores!$G:$G,MATCH(C189,Conductores!$A:$A,0))&lt;&gt;"Activo","REVISAR: conductor no activo",IF(COUNTIFS($A:$A,A189,$C:$C,C189)&gt;1,"REVISAR: conductor asignado dos veces",IF(COUNTIFS($A:$A,A189,$D:$D,D189)&gt;1,"REVISAR: vehículo asignado dos veces","OK"))))))))</f>
        <v/>
      </c>
      <c r="H189" s="9"/>
      <c r="I189" s="9"/>
      <c r="J189" s="14" t="str">
        <f aca="false">IF(OR(H189="",H189=0),"",I189/H189)</f>
        <v/>
      </c>
      <c r="K189" s="9"/>
      <c r="L189" s="9"/>
      <c r="M189" s="24"/>
      <c r="N189" s="9"/>
      <c r="O189" s="9" t="str">
        <f aca="false">IF(AND(OR(K189="En riesgo",K189="Atrasada"),L189=""),"Falta código de motivo",IF(AND(L189="OTR",N189=""),"Explica OTR en las notas",IF(AND(K189="Finalizada",I189&lt;H189,L189=""),"Falta código de motivo","")))</f>
        <v/>
      </c>
      <c r="P189" s="9" t="str">
        <f aca="false">IF(OR(D189="",A189=""),"",IF(COUNTIFS(Revision_previa!$B:$B,D189,Revision_previa!$A:$A,"&gt;="&amp;A189,Revision_previa!$A:$A,"&lt;"&amp;(A189+1))=0,"Sin revisión",IF(COUNTIFS(Revision_previa!$B:$B,D189,Revision_previa!$A:$A,"&gt;="&amp;A189,Revision_previa!$A:$A,"&lt;"&amp;(A189+1),Revision_previa!$D:$D,"Falla")+COUNTIFS(Revision_previa!$B:$B,D189,Revision_previa!$A:$A,"&gt;="&amp;A189,Revision_previa!$A:$A,"&lt;"&amp;(A189+1),Revision_previa!$E:$E,"Falla")+COUNTIFS(Revision_previa!$B:$B,D189,Revision_previa!$A:$A,"&gt;="&amp;A189,Revision_previa!$A:$A,"&lt;"&amp;(A189+1),Revision_previa!$F:$F,"Falla")+COUNTIFS(Revision_previa!$B:$B,D189,Revision_previa!$A:$A,"&gt;="&amp;A189,Revision_previa!$A:$A,"&lt;"&amp;(A189+1),Revision_previa!$H:$H,"Encendido")&gt;0,"No apto","Apto")))</f>
        <v/>
      </c>
    </row>
    <row r="190" customFormat="false" ht="15" hidden="false" customHeight="false" outlineLevel="0" collapsed="false">
      <c r="A190" s="23"/>
      <c r="B190" s="9"/>
      <c r="C190" s="9"/>
      <c r="D190" s="9"/>
      <c r="E190" s="9" t="str">
        <f aca="false">IF(C190="","",IFERROR(INDEX(Conductores!$B:$B,MATCH(C190,Conductores!$A:$A,0)),"ID no encontrado"))</f>
        <v/>
      </c>
      <c r="F190" s="9" t="str">
        <f aca="false">IF(B190="","",IFERROR(INDEX(Rutas!$B:$B,MATCH(B190,Rutas!$A:$A,0)),"ID no encontrado"))</f>
        <v/>
      </c>
      <c r="G190" s="9" t="str">
        <f aca="false">IF(OR(B190="",C190="",D190=""),"",IF(OR(ISNA(MATCH(B190,Rutas!$A:$A,0)),ISNA(MATCH(C190,Conductores!$A:$A,0)),ISNA(MATCH(D190,Vehículos!$A:$A,0))),"REVISAR: ID no encontrado",IF(INDEX(Rutas!$C:$C,MATCH(B190,Rutas!$A:$A,0))&lt;&gt;INDEX(Vehículos!$B:$B,MATCH(D190,Vehículos!$A:$A,0)),"REVISAR: el vehículo no corresponde a la ruta",IF(INDEX(Rutas!$C:$C,MATCH(B190,Rutas!$A:$A,0))&lt;&gt;INDEX(Conductores!$D:$D,MATCH(C190,Conductores!$A:$A,0)),"REVISAR: el conductor no corresponde a la ruta",IF(OR(INDEX(Vehículos!$E:$E,MATCH(D190,Vehículos!$A:$A,0))="Taller",INDEX(Vehículos!$E:$E,MATCH(D190,Vehículos!$A:$A,0))="Fuera de servicio"),"REVISAR: vehículo no disponible",IF(INDEX(Conductores!$G:$G,MATCH(C190,Conductores!$A:$A,0))&lt;&gt;"Activo","REVISAR: conductor no activo",IF(COUNTIFS($A:$A,A190,$C:$C,C190)&gt;1,"REVISAR: conductor asignado dos veces",IF(COUNTIFS($A:$A,A190,$D:$D,D190)&gt;1,"REVISAR: vehículo asignado dos veces","OK"))))))))</f>
        <v/>
      </c>
      <c r="H190" s="9"/>
      <c r="I190" s="9"/>
      <c r="J190" s="14" t="str">
        <f aca="false">IF(OR(H190="",H190=0),"",I190/H190)</f>
        <v/>
      </c>
      <c r="K190" s="9"/>
      <c r="L190" s="9"/>
      <c r="M190" s="24"/>
      <c r="N190" s="9"/>
      <c r="O190" s="9" t="str">
        <f aca="false">IF(AND(OR(K190="En riesgo",K190="Atrasada"),L190=""),"Falta código de motivo",IF(AND(L190="OTR",N190=""),"Explica OTR en las notas",IF(AND(K190="Finalizada",I190&lt;H190,L190=""),"Falta código de motivo","")))</f>
        <v/>
      </c>
      <c r="P190" s="9" t="str">
        <f aca="false">IF(OR(D190="",A190=""),"",IF(COUNTIFS(Revision_previa!$B:$B,D190,Revision_previa!$A:$A,"&gt;="&amp;A190,Revision_previa!$A:$A,"&lt;"&amp;(A190+1))=0,"Sin revisión",IF(COUNTIFS(Revision_previa!$B:$B,D190,Revision_previa!$A:$A,"&gt;="&amp;A190,Revision_previa!$A:$A,"&lt;"&amp;(A190+1),Revision_previa!$D:$D,"Falla")+COUNTIFS(Revision_previa!$B:$B,D190,Revision_previa!$A:$A,"&gt;="&amp;A190,Revision_previa!$A:$A,"&lt;"&amp;(A190+1),Revision_previa!$E:$E,"Falla")+COUNTIFS(Revision_previa!$B:$B,D190,Revision_previa!$A:$A,"&gt;="&amp;A190,Revision_previa!$A:$A,"&lt;"&amp;(A190+1),Revision_previa!$F:$F,"Falla")+COUNTIFS(Revision_previa!$B:$B,D190,Revision_previa!$A:$A,"&gt;="&amp;A190,Revision_previa!$A:$A,"&lt;"&amp;(A190+1),Revision_previa!$H:$H,"Encendido")&gt;0,"No apto","Apto")))</f>
        <v/>
      </c>
    </row>
    <row r="191" customFormat="false" ht="15" hidden="false" customHeight="false" outlineLevel="0" collapsed="false">
      <c r="A191" s="23"/>
      <c r="B191" s="9"/>
      <c r="C191" s="9"/>
      <c r="D191" s="9"/>
      <c r="E191" s="9" t="str">
        <f aca="false">IF(C191="","",IFERROR(INDEX(Conductores!$B:$B,MATCH(C191,Conductores!$A:$A,0)),"ID no encontrado"))</f>
        <v/>
      </c>
      <c r="F191" s="9" t="str">
        <f aca="false">IF(B191="","",IFERROR(INDEX(Rutas!$B:$B,MATCH(B191,Rutas!$A:$A,0)),"ID no encontrado"))</f>
        <v/>
      </c>
      <c r="G191" s="9" t="str">
        <f aca="false">IF(OR(B191="",C191="",D191=""),"",IF(OR(ISNA(MATCH(B191,Rutas!$A:$A,0)),ISNA(MATCH(C191,Conductores!$A:$A,0)),ISNA(MATCH(D191,Vehículos!$A:$A,0))),"REVISAR: ID no encontrado",IF(INDEX(Rutas!$C:$C,MATCH(B191,Rutas!$A:$A,0))&lt;&gt;INDEX(Vehículos!$B:$B,MATCH(D191,Vehículos!$A:$A,0)),"REVISAR: el vehículo no corresponde a la ruta",IF(INDEX(Rutas!$C:$C,MATCH(B191,Rutas!$A:$A,0))&lt;&gt;INDEX(Conductores!$D:$D,MATCH(C191,Conductores!$A:$A,0)),"REVISAR: el conductor no corresponde a la ruta",IF(OR(INDEX(Vehículos!$E:$E,MATCH(D191,Vehículos!$A:$A,0))="Taller",INDEX(Vehículos!$E:$E,MATCH(D191,Vehículos!$A:$A,0))="Fuera de servicio"),"REVISAR: vehículo no disponible",IF(INDEX(Conductores!$G:$G,MATCH(C191,Conductores!$A:$A,0))&lt;&gt;"Activo","REVISAR: conductor no activo",IF(COUNTIFS($A:$A,A191,$C:$C,C191)&gt;1,"REVISAR: conductor asignado dos veces",IF(COUNTIFS($A:$A,A191,$D:$D,D191)&gt;1,"REVISAR: vehículo asignado dos veces","OK"))))))))</f>
        <v/>
      </c>
      <c r="H191" s="9"/>
      <c r="I191" s="9"/>
      <c r="J191" s="14" t="str">
        <f aca="false">IF(OR(H191="",H191=0),"",I191/H191)</f>
        <v/>
      </c>
      <c r="K191" s="9"/>
      <c r="L191" s="9"/>
      <c r="M191" s="24"/>
      <c r="N191" s="9"/>
      <c r="O191" s="9" t="str">
        <f aca="false">IF(AND(OR(K191="En riesgo",K191="Atrasada"),L191=""),"Falta código de motivo",IF(AND(L191="OTR",N191=""),"Explica OTR en las notas",IF(AND(K191="Finalizada",I191&lt;H191,L191=""),"Falta código de motivo","")))</f>
        <v/>
      </c>
      <c r="P191" s="9" t="str">
        <f aca="false">IF(OR(D191="",A191=""),"",IF(COUNTIFS(Revision_previa!$B:$B,D191,Revision_previa!$A:$A,"&gt;="&amp;A191,Revision_previa!$A:$A,"&lt;"&amp;(A191+1))=0,"Sin revisión",IF(COUNTIFS(Revision_previa!$B:$B,D191,Revision_previa!$A:$A,"&gt;="&amp;A191,Revision_previa!$A:$A,"&lt;"&amp;(A191+1),Revision_previa!$D:$D,"Falla")+COUNTIFS(Revision_previa!$B:$B,D191,Revision_previa!$A:$A,"&gt;="&amp;A191,Revision_previa!$A:$A,"&lt;"&amp;(A191+1),Revision_previa!$E:$E,"Falla")+COUNTIFS(Revision_previa!$B:$B,D191,Revision_previa!$A:$A,"&gt;="&amp;A191,Revision_previa!$A:$A,"&lt;"&amp;(A191+1),Revision_previa!$F:$F,"Falla")+COUNTIFS(Revision_previa!$B:$B,D191,Revision_previa!$A:$A,"&gt;="&amp;A191,Revision_previa!$A:$A,"&lt;"&amp;(A191+1),Revision_previa!$H:$H,"Encendido")&gt;0,"No apto","Apto")))</f>
        <v/>
      </c>
    </row>
    <row r="192" customFormat="false" ht="15" hidden="false" customHeight="false" outlineLevel="0" collapsed="false">
      <c r="A192" s="23"/>
      <c r="B192" s="9"/>
      <c r="C192" s="9"/>
      <c r="D192" s="9"/>
      <c r="E192" s="9" t="str">
        <f aca="false">IF(C192="","",IFERROR(INDEX(Conductores!$B:$B,MATCH(C192,Conductores!$A:$A,0)),"ID no encontrado"))</f>
        <v/>
      </c>
      <c r="F192" s="9" t="str">
        <f aca="false">IF(B192="","",IFERROR(INDEX(Rutas!$B:$B,MATCH(B192,Rutas!$A:$A,0)),"ID no encontrado"))</f>
        <v/>
      </c>
      <c r="G192" s="9" t="str">
        <f aca="false">IF(OR(B192="",C192="",D192=""),"",IF(OR(ISNA(MATCH(B192,Rutas!$A:$A,0)),ISNA(MATCH(C192,Conductores!$A:$A,0)),ISNA(MATCH(D192,Vehículos!$A:$A,0))),"REVISAR: ID no encontrado",IF(INDEX(Rutas!$C:$C,MATCH(B192,Rutas!$A:$A,0))&lt;&gt;INDEX(Vehículos!$B:$B,MATCH(D192,Vehículos!$A:$A,0)),"REVISAR: el vehículo no corresponde a la ruta",IF(INDEX(Rutas!$C:$C,MATCH(B192,Rutas!$A:$A,0))&lt;&gt;INDEX(Conductores!$D:$D,MATCH(C192,Conductores!$A:$A,0)),"REVISAR: el conductor no corresponde a la ruta",IF(OR(INDEX(Vehículos!$E:$E,MATCH(D192,Vehículos!$A:$A,0))="Taller",INDEX(Vehículos!$E:$E,MATCH(D192,Vehículos!$A:$A,0))="Fuera de servicio"),"REVISAR: vehículo no disponible",IF(INDEX(Conductores!$G:$G,MATCH(C192,Conductores!$A:$A,0))&lt;&gt;"Activo","REVISAR: conductor no activo",IF(COUNTIFS($A:$A,A192,$C:$C,C192)&gt;1,"REVISAR: conductor asignado dos veces",IF(COUNTIFS($A:$A,A192,$D:$D,D192)&gt;1,"REVISAR: vehículo asignado dos veces","OK"))))))))</f>
        <v/>
      </c>
      <c r="H192" s="9"/>
      <c r="I192" s="9"/>
      <c r="J192" s="14" t="str">
        <f aca="false">IF(OR(H192="",H192=0),"",I192/H192)</f>
        <v/>
      </c>
      <c r="K192" s="9"/>
      <c r="L192" s="9"/>
      <c r="M192" s="24"/>
      <c r="N192" s="9"/>
      <c r="O192" s="9" t="str">
        <f aca="false">IF(AND(OR(K192="En riesgo",K192="Atrasada"),L192=""),"Falta código de motivo",IF(AND(L192="OTR",N192=""),"Explica OTR en las notas",IF(AND(K192="Finalizada",I192&lt;H192,L192=""),"Falta código de motivo","")))</f>
        <v/>
      </c>
      <c r="P192" s="9" t="str">
        <f aca="false">IF(OR(D192="",A192=""),"",IF(COUNTIFS(Revision_previa!$B:$B,D192,Revision_previa!$A:$A,"&gt;="&amp;A192,Revision_previa!$A:$A,"&lt;"&amp;(A192+1))=0,"Sin revisión",IF(COUNTIFS(Revision_previa!$B:$B,D192,Revision_previa!$A:$A,"&gt;="&amp;A192,Revision_previa!$A:$A,"&lt;"&amp;(A192+1),Revision_previa!$D:$D,"Falla")+COUNTIFS(Revision_previa!$B:$B,D192,Revision_previa!$A:$A,"&gt;="&amp;A192,Revision_previa!$A:$A,"&lt;"&amp;(A192+1),Revision_previa!$E:$E,"Falla")+COUNTIFS(Revision_previa!$B:$B,D192,Revision_previa!$A:$A,"&gt;="&amp;A192,Revision_previa!$A:$A,"&lt;"&amp;(A192+1),Revision_previa!$F:$F,"Falla")+COUNTIFS(Revision_previa!$B:$B,D192,Revision_previa!$A:$A,"&gt;="&amp;A192,Revision_previa!$A:$A,"&lt;"&amp;(A192+1),Revision_previa!$H:$H,"Encendido")&gt;0,"No apto","Apto")))</f>
        <v/>
      </c>
    </row>
    <row r="193" customFormat="false" ht="15" hidden="false" customHeight="false" outlineLevel="0" collapsed="false">
      <c r="A193" s="23"/>
      <c r="B193" s="9"/>
      <c r="C193" s="9"/>
      <c r="D193" s="9"/>
      <c r="E193" s="9" t="str">
        <f aca="false">IF(C193="","",IFERROR(INDEX(Conductores!$B:$B,MATCH(C193,Conductores!$A:$A,0)),"ID no encontrado"))</f>
        <v/>
      </c>
      <c r="F193" s="9" t="str">
        <f aca="false">IF(B193="","",IFERROR(INDEX(Rutas!$B:$B,MATCH(B193,Rutas!$A:$A,0)),"ID no encontrado"))</f>
        <v/>
      </c>
      <c r="G193" s="9" t="str">
        <f aca="false">IF(OR(B193="",C193="",D193=""),"",IF(OR(ISNA(MATCH(B193,Rutas!$A:$A,0)),ISNA(MATCH(C193,Conductores!$A:$A,0)),ISNA(MATCH(D193,Vehículos!$A:$A,0))),"REVISAR: ID no encontrado",IF(INDEX(Rutas!$C:$C,MATCH(B193,Rutas!$A:$A,0))&lt;&gt;INDEX(Vehículos!$B:$B,MATCH(D193,Vehículos!$A:$A,0)),"REVISAR: el vehículo no corresponde a la ruta",IF(INDEX(Rutas!$C:$C,MATCH(B193,Rutas!$A:$A,0))&lt;&gt;INDEX(Conductores!$D:$D,MATCH(C193,Conductores!$A:$A,0)),"REVISAR: el conductor no corresponde a la ruta",IF(OR(INDEX(Vehículos!$E:$E,MATCH(D193,Vehículos!$A:$A,0))="Taller",INDEX(Vehículos!$E:$E,MATCH(D193,Vehículos!$A:$A,0))="Fuera de servicio"),"REVISAR: vehículo no disponible",IF(INDEX(Conductores!$G:$G,MATCH(C193,Conductores!$A:$A,0))&lt;&gt;"Activo","REVISAR: conductor no activo",IF(COUNTIFS($A:$A,A193,$C:$C,C193)&gt;1,"REVISAR: conductor asignado dos veces",IF(COUNTIFS($A:$A,A193,$D:$D,D193)&gt;1,"REVISAR: vehículo asignado dos veces","OK"))))))))</f>
        <v/>
      </c>
      <c r="H193" s="9"/>
      <c r="I193" s="9"/>
      <c r="J193" s="14" t="str">
        <f aca="false">IF(OR(H193="",H193=0),"",I193/H193)</f>
        <v/>
      </c>
      <c r="K193" s="9"/>
      <c r="L193" s="9"/>
      <c r="M193" s="24"/>
      <c r="N193" s="9"/>
      <c r="O193" s="9" t="str">
        <f aca="false">IF(AND(OR(K193="En riesgo",K193="Atrasada"),L193=""),"Falta código de motivo",IF(AND(L193="OTR",N193=""),"Explica OTR en las notas",IF(AND(K193="Finalizada",I193&lt;H193,L193=""),"Falta código de motivo","")))</f>
        <v/>
      </c>
      <c r="P193" s="9" t="str">
        <f aca="false">IF(OR(D193="",A193=""),"",IF(COUNTIFS(Revision_previa!$B:$B,D193,Revision_previa!$A:$A,"&gt;="&amp;A193,Revision_previa!$A:$A,"&lt;"&amp;(A193+1))=0,"Sin revisión",IF(COUNTIFS(Revision_previa!$B:$B,D193,Revision_previa!$A:$A,"&gt;="&amp;A193,Revision_previa!$A:$A,"&lt;"&amp;(A193+1),Revision_previa!$D:$D,"Falla")+COUNTIFS(Revision_previa!$B:$B,D193,Revision_previa!$A:$A,"&gt;="&amp;A193,Revision_previa!$A:$A,"&lt;"&amp;(A193+1),Revision_previa!$E:$E,"Falla")+COUNTIFS(Revision_previa!$B:$B,D193,Revision_previa!$A:$A,"&gt;="&amp;A193,Revision_previa!$A:$A,"&lt;"&amp;(A193+1),Revision_previa!$F:$F,"Falla")+COUNTIFS(Revision_previa!$B:$B,D193,Revision_previa!$A:$A,"&gt;="&amp;A193,Revision_previa!$A:$A,"&lt;"&amp;(A193+1),Revision_previa!$H:$H,"Encendido")&gt;0,"No apto","Apto")))</f>
        <v/>
      </c>
    </row>
    <row r="194" customFormat="false" ht="15" hidden="false" customHeight="false" outlineLevel="0" collapsed="false">
      <c r="A194" s="23"/>
      <c r="B194" s="9"/>
      <c r="C194" s="9"/>
      <c r="D194" s="9"/>
      <c r="E194" s="9" t="str">
        <f aca="false">IF(C194="","",IFERROR(INDEX(Conductores!$B:$B,MATCH(C194,Conductores!$A:$A,0)),"ID no encontrado"))</f>
        <v/>
      </c>
      <c r="F194" s="9" t="str">
        <f aca="false">IF(B194="","",IFERROR(INDEX(Rutas!$B:$B,MATCH(B194,Rutas!$A:$A,0)),"ID no encontrado"))</f>
        <v/>
      </c>
      <c r="G194" s="9" t="str">
        <f aca="false">IF(OR(B194="",C194="",D194=""),"",IF(OR(ISNA(MATCH(B194,Rutas!$A:$A,0)),ISNA(MATCH(C194,Conductores!$A:$A,0)),ISNA(MATCH(D194,Vehículos!$A:$A,0))),"REVISAR: ID no encontrado",IF(INDEX(Rutas!$C:$C,MATCH(B194,Rutas!$A:$A,0))&lt;&gt;INDEX(Vehículos!$B:$B,MATCH(D194,Vehículos!$A:$A,0)),"REVISAR: el vehículo no corresponde a la ruta",IF(INDEX(Rutas!$C:$C,MATCH(B194,Rutas!$A:$A,0))&lt;&gt;INDEX(Conductores!$D:$D,MATCH(C194,Conductores!$A:$A,0)),"REVISAR: el conductor no corresponde a la ruta",IF(OR(INDEX(Vehículos!$E:$E,MATCH(D194,Vehículos!$A:$A,0))="Taller",INDEX(Vehículos!$E:$E,MATCH(D194,Vehículos!$A:$A,0))="Fuera de servicio"),"REVISAR: vehículo no disponible",IF(INDEX(Conductores!$G:$G,MATCH(C194,Conductores!$A:$A,0))&lt;&gt;"Activo","REVISAR: conductor no activo",IF(COUNTIFS($A:$A,A194,$C:$C,C194)&gt;1,"REVISAR: conductor asignado dos veces",IF(COUNTIFS($A:$A,A194,$D:$D,D194)&gt;1,"REVISAR: vehículo asignado dos veces","OK"))))))))</f>
        <v/>
      </c>
      <c r="H194" s="9"/>
      <c r="I194" s="9"/>
      <c r="J194" s="14" t="str">
        <f aca="false">IF(OR(H194="",H194=0),"",I194/H194)</f>
        <v/>
      </c>
      <c r="K194" s="9"/>
      <c r="L194" s="9"/>
      <c r="M194" s="24"/>
      <c r="N194" s="9"/>
      <c r="O194" s="9" t="str">
        <f aca="false">IF(AND(OR(K194="En riesgo",K194="Atrasada"),L194=""),"Falta código de motivo",IF(AND(L194="OTR",N194=""),"Explica OTR en las notas",IF(AND(K194="Finalizada",I194&lt;H194,L194=""),"Falta código de motivo","")))</f>
        <v/>
      </c>
      <c r="P194" s="9" t="str">
        <f aca="false">IF(OR(D194="",A194=""),"",IF(COUNTIFS(Revision_previa!$B:$B,D194,Revision_previa!$A:$A,"&gt;="&amp;A194,Revision_previa!$A:$A,"&lt;"&amp;(A194+1))=0,"Sin revisión",IF(COUNTIFS(Revision_previa!$B:$B,D194,Revision_previa!$A:$A,"&gt;="&amp;A194,Revision_previa!$A:$A,"&lt;"&amp;(A194+1),Revision_previa!$D:$D,"Falla")+COUNTIFS(Revision_previa!$B:$B,D194,Revision_previa!$A:$A,"&gt;="&amp;A194,Revision_previa!$A:$A,"&lt;"&amp;(A194+1),Revision_previa!$E:$E,"Falla")+COUNTIFS(Revision_previa!$B:$B,D194,Revision_previa!$A:$A,"&gt;="&amp;A194,Revision_previa!$A:$A,"&lt;"&amp;(A194+1),Revision_previa!$F:$F,"Falla")+COUNTIFS(Revision_previa!$B:$B,D194,Revision_previa!$A:$A,"&gt;="&amp;A194,Revision_previa!$A:$A,"&lt;"&amp;(A194+1),Revision_previa!$H:$H,"Encendido")&gt;0,"No apto","Apto")))</f>
        <v/>
      </c>
    </row>
    <row r="195" customFormat="false" ht="15" hidden="false" customHeight="false" outlineLevel="0" collapsed="false">
      <c r="A195" s="23"/>
      <c r="B195" s="9"/>
      <c r="C195" s="9"/>
      <c r="D195" s="9"/>
      <c r="E195" s="9" t="str">
        <f aca="false">IF(C195="","",IFERROR(INDEX(Conductores!$B:$B,MATCH(C195,Conductores!$A:$A,0)),"ID no encontrado"))</f>
        <v/>
      </c>
      <c r="F195" s="9" t="str">
        <f aca="false">IF(B195="","",IFERROR(INDEX(Rutas!$B:$B,MATCH(B195,Rutas!$A:$A,0)),"ID no encontrado"))</f>
        <v/>
      </c>
      <c r="G195" s="9" t="str">
        <f aca="false">IF(OR(B195="",C195="",D195=""),"",IF(OR(ISNA(MATCH(B195,Rutas!$A:$A,0)),ISNA(MATCH(C195,Conductores!$A:$A,0)),ISNA(MATCH(D195,Vehículos!$A:$A,0))),"REVISAR: ID no encontrado",IF(INDEX(Rutas!$C:$C,MATCH(B195,Rutas!$A:$A,0))&lt;&gt;INDEX(Vehículos!$B:$B,MATCH(D195,Vehículos!$A:$A,0)),"REVISAR: el vehículo no corresponde a la ruta",IF(INDEX(Rutas!$C:$C,MATCH(B195,Rutas!$A:$A,0))&lt;&gt;INDEX(Conductores!$D:$D,MATCH(C195,Conductores!$A:$A,0)),"REVISAR: el conductor no corresponde a la ruta",IF(OR(INDEX(Vehículos!$E:$E,MATCH(D195,Vehículos!$A:$A,0))="Taller",INDEX(Vehículos!$E:$E,MATCH(D195,Vehículos!$A:$A,0))="Fuera de servicio"),"REVISAR: vehículo no disponible",IF(INDEX(Conductores!$G:$G,MATCH(C195,Conductores!$A:$A,0))&lt;&gt;"Activo","REVISAR: conductor no activo",IF(COUNTIFS($A:$A,A195,$C:$C,C195)&gt;1,"REVISAR: conductor asignado dos veces",IF(COUNTIFS($A:$A,A195,$D:$D,D195)&gt;1,"REVISAR: vehículo asignado dos veces","OK"))))))))</f>
        <v/>
      </c>
      <c r="H195" s="9"/>
      <c r="I195" s="9"/>
      <c r="J195" s="14" t="str">
        <f aca="false">IF(OR(H195="",H195=0),"",I195/H195)</f>
        <v/>
      </c>
      <c r="K195" s="9"/>
      <c r="L195" s="9"/>
      <c r="M195" s="24"/>
      <c r="N195" s="9"/>
      <c r="O195" s="9" t="str">
        <f aca="false">IF(AND(OR(K195="En riesgo",K195="Atrasada"),L195=""),"Falta código de motivo",IF(AND(L195="OTR",N195=""),"Explica OTR en las notas",IF(AND(K195="Finalizada",I195&lt;H195,L195=""),"Falta código de motivo","")))</f>
        <v/>
      </c>
      <c r="P195" s="9" t="str">
        <f aca="false">IF(OR(D195="",A195=""),"",IF(COUNTIFS(Revision_previa!$B:$B,D195,Revision_previa!$A:$A,"&gt;="&amp;A195,Revision_previa!$A:$A,"&lt;"&amp;(A195+1))=0,"Sin revisión",IF(COUNTIFS(Revision_previa!$B:$B,D195,Revision_previa!$A:$A,"&gt;="&amp;A195,Revision_previa!$A:$A,"&lt;"&amp;(A195+1),Revision_previa!$D:$D,"Falla")+COUNTIFS(Revision_previa!$B:$B,D195,Revision_previa!$A:$A,"&gt;="&amp;A195,Revision_previa!$A:$A,"&lt;"&amp;(A195+1),Revision_previa!$E:$E,"Falla")+COUNTIFS(Revision_previa!$B:$B,D195,Revision_previa!$A:$A,"&gt;="&amp;A195,Revision_previa!$A:$A,"&lt;"&amp;(A195+1),Revision_previa!$F:$F,"Falla")+COUNTIFS(Revision_previa!$B:$B,D195,Revision_previa!$A:$A,"&gt;="&amp;A195,Revision_previa!$A:$A,"&lt;"&amp;(A195+1),Revision_previa!$H:$H,"Encendido")&gt;0,"No apto","Apto")))</f>
        <v/>
      </c>
    </row>
    <row r="196" customFormat="false" ht="15" hidden="false" customHeight="false" outlineLevel="0" collapsed="false">
      <c r="A196" s="23"/>
      <c r="B196" s="9"/>
      <c r="C196" s="9"/>
      <c r="D196" s="9"/>
      <c r="E196" s="9" t="str">
        <f aca="false">IF(C196="","",IFERROR(INDEX(Conductores!$B:$B,MATCH(C196,Conductores!$A:$A,0)),"ID no encontrado"))</f>
        <v/>
      </c>
      <c r="F196" s="9" t="str">
        <f aca="false">IF(B196="","",IFERROR(INDEX(Rutas!$B:$B,MATCH(B196,Rutas!$A:$A,0)),"ID no encontrado"))</f>
        <v/>
      </c>
      <c r="G196" s="9" t="str">
        <f aca="false">IF(OR(B196="",C196="",D196=""),"",IF(OR(ISNA(MATCH(B196,Rutas!$A:$A,0)),ISNA(MATCH(C196,Conductores!$A:$A,0)),ISNA(MATCH(D196,Vehículos!$A:$A,0))),"REVISAR: ID no encontrado",IF(INDEX(Rutas!$C:$C,MATCH(B196,Rutas!$A:$A,0))&lt;&gt;INDEX(Vehículos!$B:$B,MATCH(D196,Vehículos!$A:$A,0)),"REVISAR: el vehículo no corresponde a la ruta",IF(INDEX(Rutas!$C:$C,MATCH(B196,Rutas!$A:$A,0))&lt;&gt;INDEX(Conductores!$D:$D,MATCH(C196,Conductores!$A:$A,0)),"REVISAR: el conductor no corresponde a la ruta",IF(OR(INDEX(Vehículos!$E:$E,MATCH(D196,Vehículos!$A:$A,0))="Taller",INDEX(Vehículos!$E:$E,MATCH(D196,Vehículos!$A:$A,0))="Fuera de servicio"),"REVISAR: vehículo no disponible",IF(INDEX(Conductores!$G:$G,MATCH(C196,Conductores!$A:$A,0))&lt;&gt;"Activo","REVISAR: conductor no activo",IF(COUNTIFS($A:$A,A196,$C:$C,C196)&gt;1,"REVISAR: conductor asignado dos veces",IF(COUNTIFS($A:$A,A196,$D:$D,D196)&gt;1,"REVISAR: vehículo asignado dos veces","OK"))))))))</f>
        <v/>
      </c>
      <c r="H196" s="9"/>
      <c r="I196" s="9"/>
      <c r="J196" s="14" t="str">
        <f aca="false">IF(OR(H196="",H196=0),"",I196/H196)</f>
        <v/>
      </c>
      <c r="K196" s="9"/>
      <c r="L196" s="9"/>
      <c r="M196" s="24"/>
      <c r="N196" s="9"/>
      <c r="O196" s="9" t="str">
        <f aca="false">IF(AND(OR(K196="En riesgo",K196="Atrasada"),L196=""),"Falta código de motivo",IF(AND(L196="OTR",N196=""),"Explica OTR en las notas",IF(AND(K196="Finalizada",I196&lt;H196,L196=""),"Falta código de motivo","")))</f>
        <v/>
      </c>
      <c r="P196" s="9" t="str">
        <f aca="false">IF(OR(D196="",A196=""),"",IF(COUNTIFS(Revision_previa!$B:$B,D196,Revision_previa!$A:$A,"&gt;="&amp;A196,Revision_previa!$A:$A,"&lt;"&amp;(A196+1))=0,"Sin revisión",IF(COUNTIFS(Revision_previa!$B:$B,D196,Revision_previa!$A:$A,"&gt;="&amp;A196,Revision_previa!$A:$A,"&lt;"&amp;(A196+1),Revision_previa!$D:$D,"Falla")+COUNTIFS(Revision_previa!$B:$B,D196,Revision_previa!$A:$A,"&gt;="&amp;A196,Revision_previa!$A:$A,"&lt;"&amp;(A196+1),Revision_previa!$E:$E,"Falla")+COUNTIFS(Revision_previa!$B:$B,D196,Revision_previa!$A:$A,"&gt;="&amp;A196,Revision_previa!$A:$A,"&lt;"&amp;(A196+1),Revision_previa!$F:$F,"Falla")+COUNTIFS(Revision_previa!$B:$B,D196,Revision_previa!$A:$A,"&gt;="&amp;A196,Revision_previa!$A:$A,"&lt;"&amp;(A196+1),Revision_previa!$H:$H,"Encendido")&gt;0,"No apto","Apto")))</f>
        <v/>
      </c>
    </row>
    <row r="197" customFormat="false" ht="15" hidden="false" customHeight="false" outlineLevel="0" collapsed="false">
      <c r="A197" s="23"/>
      <c r="B197" s="9"/>
      <c r="C197" s="9"/>
      <c r="D197" s="9"/>
      <c r="E197" s="9" t="str">
        <f aca="false">IF(C197="","",IFERROR(INDEX(Conductores!$B:$B,MATCH(C197,Conductores!$A:$A,0)),"ID no encontrado"))</f>
        <v/>
      </c>
      <c r="F197" s="9" t="str">
        <f aca="false">IF(B197="","",IFERROR(INDEX(Rutas!$B:$B,MATCH(B197,Rutas!$A:$A,0)),"ID no encontrado"))</f>
        <v/>
      </c>
      <c r="G197" s="9" t="str">
        <f aca="false">IF(OR(B197="",C197="",D197=""),"",IF(OR(ISNA(MATCH(B197,Rutas!$A:$A,0)),ISNA(MATCH(C197,Conductores!$A:$A,0)),ISNA(MATCH(D197,Vehículos!$A:$A,0))),"REVISAR: ID no encontrado",IF(INDEX(Rutas!$C:$C,MATCH(B197,Rutas!$A:$A,0))&lt;&gt;INDEX(Vehículos!$B:$B,MATCH(D197,Vehículos!$A:$A,0)),"REVISAR: el vehículo no corresponde a la ruta",IF(INDEX(Rutas!$C:$C,MATCH(B197,Rutas!$A:$A,0))&lt;&gt;INDEX(Conductores!$D:$D,MATCH(C197,Conductores!$A:$A,0)),"REVISAR: el conductor no corresponde a la ruta",IF(OR(INDEX(Vehículos!$E:$E,MATCH(D197,Vehículos!$A:$A,0))="Taller",INDEX(Vehículos!$E:$E,MATCH(D197,Vehículos!$A:$A,0))="Fuera de servicio"),"REVISAR: vehículo no disponible",IF(INDEX(Conductores!$G:$G,MATCH(C197,Conductores!$A:$A,0))&lt;&gt;"Activo","REVISAR: conductor no activo",IF(COUNTIFS($A:$A,A197,$C:$C,C197)&gt;1,"REVISAR: conductor asignado dos veces",IF(COUNTIFS($A:$A,A197,$D:$D,D197)&gt;1,"REVISAR: vehículo asignado dos veces","OK"))))))))</f>
        <v/>
      </c>
      <c r="H197" s="9"/>
      <c r="I197" s="9"/>
      <c r="J197" s="14" t="str">
        <f aca="false">IF(OR(H197="",H197=0),"",I197/H197)</f>
        <v/>
      </c>
      <c r="K197" s="9"/>
      <c r="L197" s="9"/>
      <c r="M197" s="24"/>
      <c r="N197" s="9"/>
      <c r="O197" s="9" t="str">
        <f aca="false">IF(AND(OR(K197="En riesgo",K197="Atrasada"),L197=""),"Falta código de motivo",IF(AND(L197="OTR",N197=""),"Explica OTR en las notas",IF(AND(K197="Finalizada",I197&lt;H197,L197=""),"Falta código de motivo","")))</f>
        <v/>
      </c>
      <c r="P197" s="9" t="str">
        <f aca="false">IF(OR(D197="",A197=""),"",IF(COUNTIFS(Revision_previa!$B:$B,D197,Revision_previa!$A:$A,"&gt;="&amp;A197,Revision_previa!$A:$A,"&lt;"&amp;(A197+1))=0,"Sin revisión",IF(COUNTIFS(Revision_previa!$B:$B,D197,Revision_previa!$A:$A,"&gt;="&amp;A197,Revision_previa!$A:$A,"&lt;"&amp;(A197+1),Revision_previa!$D:$D,"Falla")+COUNTIFS(Revision_previa!$B:$B,D197,Revision_previa!$A:$A,"&gt;="&amp;A197,Revision_previa!$A:$A,"&lt;"&amp;(A197+1),Revision_previa!$E:$E,"Falla")+COUNTIFS(Revision_previa!$B:$B,D197,Revision_previa!$A:$A,"&gt;="&amp;A197,Revision_previa!$A:$A,"&lt;"&amp;(A197+1),Revision_previa!$F:$F,"Falla")+COUNTIFS(Revision_previa!$B:$B,D197,Revision_previa!$A:$A,"&gt;="&amp;A197,Revision_previa!$A:$A,"&lt;"&amp;(A197+1),Revision_previa!$H:$H,"Encendido")&gt;0,"No apto","Apto")))</f>
        <v/>
      </c>
    </row>
    <row r="198" customFormat="false" ht="15" hidden="false" customHeight="false" outlineLevel="0" collapsed="false">
      <c r="A198" s="23"/>
      <c r="B198" s="9"/>
      <c r="C198" s="9"/>
      <c r="D198" s="9"/>
      <c r="E198" s="9" t="str">
        <f aca="false">IF(C198="","",IFERROR(INDEX(Conductores!$B:$B,MATCH(C198,Conductores!$A:$A,0)),"ID no encontrado"))</f>
        <v/>
      </c>
      <c r="F198" s="9" t="str">
        <f aca="false">IF(B198="","",IFERROR(INDEX(Rutas!$B:$B,MATCH(B198,Rutas!$A:$A,0)),"ID no encontrado"))</f>
        <v/>
      </c>
      <c r="G198" s="9" t="str">
        <f aca="false">IF(OR(B198="",C198="",D198=""),"",IF(OR(ISNA(MATCH(B198,Rutas!$A:$A,0)),ISNA(MATCH(C198,Conductores!$A:$A,0)),ISNA(MATCH(D198,Vehículos!$A:$A,0))),"REVISAR: ID no encontrado",IF(INDEX(Rutas!$C:$C,MATCH(B198,Rutas!$A:$A,0))&lt;&gt;INDEX(Vehículos!$B:$B,MATCH(D198,Vehículos!$A:$A,0)),"REVISAR: el vehículo no corresponde a la ruta",IF(INDEX(Rutas!$C:$C,MATCH(B198,Rutas!$A:$A,0))&lt;&gt;INDEX(Conductores!$D:$D,MATCH(C198,Conductores!$A:$A,0)),"REVISAR: el conductor no corresponde a la ruta",IF(OR(INDEX(Vehículos!$E:$E,MATCH(D198,Vehículos!$A:$A,0))="Taller",INDEX(Vehículos!$E:$E,MATCH(D198,Vehículos!$A:$A,0))="Fuera de servicio"),"REVISAR: vehículo no disponible",IF(INDEX(Conductores!$G:$G,MATCH(C198,Conductores!$A:$A,0))&lt;&gt;"Activo","REVISAR: conductor no activo",IF(COUNTIFS($A:$A,A198,$C:$C,C198)&gt;1,"REVISAR: conductor asignado dos veces",IF(COUNTIFS($A:$A,A198,$D:$D,D198)&gt;1,"REVISAR: vehículo asignado dos veces","OK"))))))))</f>
        <v/>
      </c>
      <c r="H198" s="9"/>
      <c r="I198" s="9"/>
      <c r="J198" s="14" t="str">
        <f aca="false">IF(OR(H198="",H198=0),"",I198/H198)</f>
        <v/>
      </c>
      <c r="K198" s="9"/>
      <c r="L198" s="9"/>
      <c r="M198" s="24"/>
      <c r="N198" s="9"/>
      <c r="O198" s="9" t="str">
        <f aca="false">IF(AND(OR(K198="En riesgo",K198="Atrasada"),L198=""),"Falta código de motivo",IF(AND(L198="OTR",N198=""),"Explica OTR en las notas",IF(AND(K198="Finalizada",I198&lt;H198,L198=""),"Falta código de motivo","")))</f>
        <v/>
      </c>
      <c r="P198" s="9" t="str">
        <f aca="false">IF(OR(D198="",A198=""),"",IF(COUNTIFS(Revision_previa!$B:$B,D198,Revision_previa!$A:$A,"&gt;="&amp;A198,Revision_previa!$A:$A,"&lt;"&amp;(A198+1))=0,"Sin revisión",IF(COUNTIFS(Revision_previa!$B:$B,D198,Revision_previa!$A:$A,"&gt;="&amp;A198,Revision_previa!$A:$A,"&lt;"&amp;(A198+1),Revision_previa!$D:$D,"Falla")+COUNTIFS(Revision_previa!$B:$B,D198,Revision_previa!$A:$A,"&gt;="&amp;A198,Revision_previa!$A:$A,"&lt;"&amp;(A198+1),Revision_previa!$E:$E,"Falla")+COUNTIFS(Revision_previa!$B:$B,D198,Revision_previa!$A:$A,"&gt;="&amp;A198,Revision_previa!$A:$A,"&lt;"&amp;(A198+1),Revision_previa!$F:$F,"Falla")+COUNTIFS(Revision_previa!$B:$B,D198,Revision_previa!$A:$A,"&gt;="&amp;A198,Revision_previa!$A:$A,"&lt;"&amp;(A198+1),Revision_previa!$H:$H,"Encendido")&gt;0,"No apto","Apto")))</f>
        <v/>
      </c>
    </row>
    <row r="199" customFormat="false" ht="15" hidden="false" customHeight="false" outlineLevel="0" collapsed="false">
      <c r="A199" s="23"/>
      <c r="B199" s="9"/>
      <c r="C199" s="9"/>
      <c r="D199" s="9"/>
      <c r="E199" s="9" t="str">
        <f aca="false">IF(C199="","",IFERROR(INDEX(Conductores!$B:$B,MATCH(C199,Conductores!$A:$A,0)),"ID no encontrado"))</f>
        <v/>
      </c>
      <c r="F199" s="9" t="str">
        <f aca="false">IF(B199="","",IFERROR(INDEX(Rutas!$B:$B,MATCH(B199,Rutas!$A:$A,0)),"ID no encontrado"))</f>
        <v/>
      </c>
      <c r="G199" s="9" t="str">
        <f aca="false">IF(OR(B199="",C199="",D199=""),"",IF(OR(ISNA(MATCH(B199,Rutas!$A:$A,0)),ISNA(MATCH(C199,Conductores!$A:$A,0)),ISNA(MATCH(D199,Vehículos!$A:$A,0))),"REVISAR: ID no encontrado",IF(INDEX(Rutas!$C:$C,MATCH(B199,Rutas!$A:$A,0))&lt;&gt;INDEX(Vehículos!$B:$B,MATCH(D199,Vehículos!$A:$A,0)),"REVISAR: el vehículo no corresponde a la ruta",IF(INDEX(Rutas!$C:$C,MATCH(B199,Rutas!$A:$A,0))&lt;&gt;INDEX(Conductores!$D:$D,MATCH(C199,Conductores!$A:$A,0)),"REVISAR: el conductor no corresponde a la ruta",IF(OR(INDEX(Vehículos!$E:$E,MATCH(D199,Vehículos!$A:$A,0))="Taller",INDEX(Vehículos!$E:$E,MATCH(D199,Vehículos!$A:$A,0))="Fuera de servicio"),"REVISAR: vehículo no disponible",IF(INDEX(Conductores!$G:$G,MATCH(C199,Conductores!$A:$A,0))&lt;&gt;"Activo","REVISAR: conductor no activo",IF(COUNTIFS($A:$A,A199,$C:$C,C199)&gt;1,"REVISAR: conductor asignado dos veces",IF(COUNTIFS($A:$A,A199,$D:$D,D199)&gt;1,"REVISAR: vehículo asignado dos veces","OK"))))))))</f>
        <v/>
      </c>
      <c r="H199" s="9"/>
      <c r="I199" s="9"/>
      <c r="J199" s="14" t="str">
        <f aca="false">IF(OR(H199="",H199=0),"",I199/H199)</f>
        <v/>
      </c>
      <c r="K199" s="9"/>
      <c r="L199" s="9"/>
      <c r="M199" s="24"/>
      <c r="N199" s="9"/>
      <c r="O199" s="9" t="str">
        <f aca="false">IF(AND(OR(K199="En riesgo",K199="Atrasada"),L199=""),"Falta código de motivo",IF(AND(L199="OTR",N199=""),"Explica OTR en las notas",IF(AND(K199="Finalizada",I199&lt;H199,L199=""),"Falta código de motivo","")))</f>
        <v/>
      </c>
      <c r="P199" s="9" t="str">
        <f aca="false">IF(OR(D199="",A199=""),"",IF(COUNTIFS(Revision_previa!$B:$B,D199,Revision_previa!$A:$A,"&gt;="&amp;A199,Revision_previa!$A:$A,"&lt;"&amp;(A199+1))=0,"Sin revisión",IF(COUNTIFS(Revision_previa!$B:$B,D199,Revision_previa!$A:$A,"&gt;="&amp;A199,Revision_previa!$A:$A,"&lt;"&amp;(A199+1),Revision_previa!$D:$D,"Falla")+COUNTIFS(Revision_previa!$B:$B,D199,Revision_previa!$A:$A,"&gt;="&amp;A199,Revision_previa!$A:$A,"&lt;"&amp;(A199+1),Revision_previa!$E:$E,"Falla")+COUNTIFS(Revision_previa!$B:$B,D199,Revision_previa!$A:$A,"&gt;="&amp;A199,Revision_previa!$A:$A,"&lt;"&amp;(A199+1),Revision_previa!$F:$F,"Falla")+COUNTIFS(Revision_previa!$B:$B,D199,Revision_previa!$A:$A,"&gt;="&amp;A199,Revision_previa!$A:$A,"&lt;"&amp;(A199+1),Revision_previa!$H:$H,"Encendido")&gt;0,"No apto","Apto")))</f>
        <v/>
      </c>
    </row>
    <row r="200" customFormat="false" ht="15" hidden="false" customHeight="false" outlineLevel="0" collapsed="false">
      <c r="A200" s="23"/>
      <c r="B200" s="9"/>
      <c r="C200" s="9"/>
      <c r="D200" s="9"/>
      <c r="E200" s="9" t="str">
        <f aca="false">IF(C200="","",IFERROR(INDEX(Conductores!$B:$B,MATCH(C200,Conductores!$A:$A,0)),"ID no encontrado"))</f>
        <v/>
      </c>
      <c r="F200" s="9" t="str">
        <f aca="false">IF(B200="","",IFERROR(INDEX(Rutas!$B:$B,MATCH(B200,Rutas!$A:$A,0)),"ID no encontrado"))</f>
        <v/>
      </c>
      <c r="G200" s="9" t="str">
        <f aca="false">IF(OR(B200="",C200="",D200=""),"",IF(OR(ISNA(MATCH(B200,Rutas!$A:$A,0)),ISNA(MATCH(C200,Conductores!$A:$A,0)),ISNA(MATCH(D200,Vehículos!$A:$A,0))),"REVISAR: ID no encontrado",IF(INDEX(Rutas!$C:$C,MATCH(B200,Rutas!$A:$A,0))&lt;&gt;INDEX(Vehículos!$B:$B,MATCH(D200,Vehículos!$A:$A,0)),"REVISAR: el vehículo no corresponde a la ruta",IF(INDEX(Rutas!$C:$C,MATCH(B200,Rutas!$A:$A,0))&lt;&gt;INDEX(Conductores!$D:$D,MATCH(C200,Conductores!$A:$A,0)),"REVISAR: el conductor no corresponde a la ruta",IF(OR(INDEX(Vehículos!$E:$E,MATCH(D200,Vehículos!$A:$A,0))="Taller",INDEX(Vehículos!$E:$E,MATCH(D200,Vehículos!$A:$A,0))="Fuera de servicio"),"REVISAR: vehículo no disponible",IF(INDEX(Conductores!$G:$G,MATCH(C200,Conductores!$A:$A,0))&lt;&gt;"Activo","REVISAR: conductor no activo",IF(COUNTIFS($A:$A,A200,$C:$C,C200)&gt;1,"REVISAR: conductor asignado dos veces",IF(COUNTIFS($A:$A,A200,$D:$D,D200)&gt;1,"REVISAR: vehículo asignado dos veces","OK"))))))))</f>
        <v/>
      </c>
      <c r="H200" s="9"/>
      <c r="I200" s="9"/>
      <c r="J200" s="14" t="str">
        <f aca="false">IF(OR(H200="",H200=0),"",I200/H200)</f>
        <v/>
      </c>
      <c r="K200" s="9"/>
      <c r="L200" s="9"/>
      <c r="M200" s="24"/>
      <c r="N200" s="9"/>
      <c r="O200" s="9" t="str">
        <f aca="false">IF(AND(OR(K200="En riesgo",K200="Atrasada"),L200=""),"Falta código de motivo",IF(AND(L200="OTR",N200=""),"Explica OTR en las notas",IF(AND(K200="Finalizada",I200&lt;H200,L200=""),"Falta código de motivo","")))</f>
        <v/>
      </c>
      <c r="P200" s="9" t="str">
        <f aca="false">IF(OR(D200="",A200=""),"",IF(COUNTIFS(Revision_previa!$B:$B,D200,Revision_previa!$A:$A,"&gt;="&amp;A200,Revision_previa!$A:$A,"&lt;"&amp;(A200+1))=0,"Sin revisión",IF(COUNTIFS(Revision_previa!$B:$B,D200,Revision_previa!$A:$A,"&gt;="&amp;A200,Revision_previa!$A:$A,"&lt;"&amp;(A200+1),Revision_previa!$D:$D,"Falla")+COUNTIFS(Revision_previa!$B:$B,D200,Revision_previa!$A:$A,"&gt;="&amp;A200,Revision_previa!$A:$A,"&lt;"&amp;(A200+1),Revision_previa!$E:$E,"Falla")+COUNTIFS(Revision_previa!$B:$B,D200,Revision_previa!$A:$A,"&gt;="&amp;A200,Revision_previa!$A:$A,"&lt;"&amp;(A200+1),Revision_previa!$F:$F,"Falla")+COUNTIFS(Revision_previa!$B:$B,D200,Revision_previa!$A:$A,"&gt;="&amp;A200,Revision_previa!$A:$A,"&lt;"&amp;(A200+1),Revision_previa!$H:$H,"Encendido")&gt;0,"No apto","Apto")))</f>
        <v/>
      </c>
    </row>
    <row r="201" customFormat="false" ht="15" hidden="false" customHeight="false" outlineLevel="0" collapsed="false">
      <c r="A201" s="23"/>
      <c r="B201" s="9"/>
      <c r="C201" s="9"/>
      <c r="D201" s="9"/>
      <c r="E201" s="9" t="str">
        <f aca="false">IF(C201="","",IFERROR(INDEX(Conductores!$B:$B,MATCH(C201,Conductores!$A:$A,0)),"ID no encontrado"))</f>
        <v/>
      </c>
      <c r="F201" s="9" t="str">
        <f aca="false">IF(B201="","",IFERROR(INDEX(Rutas!$B:$B,MATCH(B201,Rutas!$A:$A,0)),"ID no encontrado"))</f>
        <v/>
      </c>
      <c r="G201" s="9" t="str">
        <f aca="false">IF(OR(B201="",C201="",D201=""),"",IF(OR(ISNA(MATCH(B201,Rutas!$A:$A,0)),ISNA(MATCH(C201,Conductores!$A:$A,0)),ISNA(MATCH(D201,Vehículos!$A:$A,0))),"REVISAR: ID no encontrado",IF(INDEX(Rutas!$C:$C,MATCH(B201,Rutas!$A:$A,0))&lt;&gt;INDEX(Vehículos!$B:$B,MATCH(D201,Vehículos!$A:$A,0)),"REVISAR: el vehículo no corresponde a la ruta",IF(INDEX(Rutas!$C:$C,MATCH(B201,Rutas!$A:$A,0))&lt;&gt;INDEX(Conductores!$D:$D,MATCH(C201,Conductores!$A:$A,0)),"REVISAR: el conductor no corresponde a la ruta",IF(OR(INDEX(Vehículos!$E:$E,MATCH(D201,Vehículos!$A:$A,0))="Taller",INDEX(Vehículos!$E:$E,MATCH(D201,Vehículos!$A:$A,0))="Fuera de servicio"),"REVISAR: vehículo no disponible",IF(INDEX(Conductores!$G:$G,MATCH(C201,Conductores!$A:$A,0))&lt;&gt;"Activo","REVISAR: conductor no activo",IF(COUNTIFS($A:$A,A201,$C:$C,C201)&gt;1,"REVISAR: conductor asignado dos veces",IF(COUNTIFS($A:$A,A201,$D:$D,D201)&gt;1,"REVISAR: vehículo asignado dos veces","OK"))))))))</f>
        <v/>
      </c>
      <c r="H201" s="9"/>
      <c r="I201" s="9"/>
      <c r="J201" s="14" t="str">
        <f aca="false">IF(OR(H201="",H201=0),"",I201/H201)</f>
        <v/>
      </c>
      <c r="K201" s="9"/>
      <c r="L201" s="9"/>
      <c r="M201" s="24"/>
      <c r="N201" s="9"/>
      <c r="O201" s="9" t="str">
        <f aca="false">IF(AND(OR(K201="En riesgo",K201="Atrasada"),L201=""),"Falta código de motivo",IF(AND(L201="OTR",N201=""),"Explica OTR en las notas",IF(AND(K201="Finalizada",I201&lt;H201,L201=""),"Falta código de motivo","")))</f>
        <v/>
      </c>
      <c r="P201" s="9" t="str">
        <f aca="false">IF(OR(D201="",A201=""),"",IF(COUNTIFS(Revision_previa!$B:$B,D201,Revision_previa!$A:$A,"&gt;="&amp;A201,Revision_previa!$A:$A,"&lt;"&amp;(A201+1))=0,"Sin revisión",IF(COUNTIFS(Revision_previa!$B:$B,D201,Revision_previa!$A:$A,"&gt;="&amp;A201,Revision_previa!$A:$A,"&lt;"&amp;(A201+1),Revision_previa!$D:$D,"Falla")+COUNTIFS(Revision_previa!$B:$B,D201,Revision_previa!$A:$A,"&gt;="&amp;A201,Revision_previa!$A:$A,"&lt;"&amp;(A201+1),Revision_previa!$E:$E,"Falla")+COUNTIFS(Revision_previa!$B:$B,D201,Revision_previa!$A:$A,"&gt;="&amp;A201,Revision_previa!$A:$A,"&lt;"&amp;(A201+1),Revision_previa!$F:$F,"Falla")+COUNTIFS(Revision_previa!$B:$B,D201,Revision_previa!$A:$A,"&gt;="&amp;A201,Revision_previa!$A:$A,"&lt;"&amp;(A201+1),Revision_previa!$H:$H,"Encendido")&gt;0,"No apto","Apto")))</f>
        <v/>
      </c>
    </row>
    <row r="202" customFormat="false" ht="15" hidden="false" customHeight="false" outlineLevel="0" collapsed="false">
      <c r="A202" s="23"/>
      <c r="B202" s="9"/>
      <c r="C202" s="9"/>
      <c r="D202" s="9"/>
      <c r="E202" s="9" t="str">
        <f aca="false">IF(C202="","",IFERROR(INDEX(Conductores!$B:$B,MATCH(C202,Conductores!$A:$A,0)),"ID no encontrado"))</f>
        <v/>
      </c>
      <c r="F202" s="9" t="str">
        <f aca="false">IF(B202="","",IFERROR(INDEX(Rutas!$B:$B,MATCH(B202,Rutas!$A:$A,0)),"ID no encontrado"))</f>
        <v/>
      </c>
      <c r="G202" s="9" t="str">
        <f aca="false">IF(OR(B202="",C202="",D202=""),"",IF(OR(ISNA(MATCH(B202,Rutas!$A:$A,0)),ISNA(MATCH(C202,Conductores!$A:$A,0)),ISNA(MATCH(D202,Vehículos!$A:$A,0))),"REVISAR: ID no encontrado",IF(INDEX(Rutas!$C:$C,MATCH(B202,Rutas!$A:$A,0))&lt;&gt;INDEX(Vehículos!$B:$B,MATCH(D202,Vehículos!$A:$A,0)),"REVISAR: el vehículo no corresponde a la ruta",IF(INDEX(Rutas!$C:$C,MATCH(B202,Rutas!$A:$A,0))&lt;&gt;INDEX(Conductores!$D:$D,MATCH(C202,Conductores!$A:$A,0)),"REVISAR: el conductor no corresponde a la ruta",IF(OR(INDEX(Vehículos!$E:$E,MATCH(D202,Vehículos!$A:$A,0))="Taller",INDEX(Vehículos!$E:$E,MATCH(D202,Vehículos!$A:$A,0))="Fuera de servicio"),"REVISAR: vehículo no disponible",IF(INDEX(Conductores!$G:$G,MATCH(C202,Conductores!$A:$A,0))&lt;&gt;"Activo","REVISAR: conductor no activo",IF(COUNTIFS($A:$A,A202,$C:$C,C202)&gt;1,"REVISAR: conductor asignado dos veces",IF(COUNTIFS($A:$A,A202,$D:$D,D202)&gt;1,"REVISAR: vehículo asignado dos veces","OK"))))))))</f>
        <v/>
      </c>
      <c r="H202" s="9"/>
      <c r="I202" s="9"/>
      <c r="J202" s="14" t="str">
        <f aca="false">IF(OR(H202="",H202=0),"",I202/H202)</f>
        <v/>
      </c>
      <c r="K202" s="9"/>
      <c r="L202" s="9"/>
      <c r="M202" s="24"/>
      <c r="N202" s="9"/>
      <c r="O202" s="9" t="str">
        <f aca="false">IF(AND(OR(K202="En riesgo",K202="Atrasada"),L202=""),"Falta código de motivo",IF(AND(L202="OTR",N202=""),"Explica OTR en las notas",IF(AND(K202="Finalizada",I202&lt;H202,L202=""),"Falta código de motivo","")))</f>
        <v/>
      </c>
      <c r="P202" s="9" t="str">
        <f aca="false">IF(OR(D202="",A202=""),"",IF(COUNTIFS(Revision_previa!$B:$B,D202,Revision_previa!$A:$A,"&gt;="&amp;A202,Revision_previa!$A:$A,"&lt;"&amp;(A202+1))=0,"Sin revisión",IF(COUNTIFS(Revision_previa!$B:$B,D202,Revision_previa!$A:$A,"&gt;="&amp;A202,Revision_previa!$A:$A,"&lt;"&amp;(A202+1),Revision_previa!$D:$D,"Falla")+COUNTIFS(Revision_previa!$B:$B,D202,Revision_previa!$A:$A,"&gt;="&amp;A202,Revision_previa!$A:$A,"&lt;"&amp;(A202+1),Revision_previa!$E:$E,"Falla")+COUNTIFS(Revision_previa!$B:$B,D202,Revision_previa!$A:$A,"&gt;="&amp;A202,Revision_previa!$A:$A,"&lt;"&amp;(A202+1),Revision_previa!$F:$F,"Falla")+COUNTIFS(Revision_previa!$B:$B,D202,Revision_previa!$A:$A,"&gt;="&amp;A202,Revision_previa!$A:$A,"&lt;"&amp;(A202+1),Revision_previa!$H:$H,"Encendido")&gt;0,"No apto","Apto")))</f>
        <v/>
      </c>
    </row>
    <row r="203" customFormat="false" ht="15" hidden="false" customHeight="false" outlineLevel="0" collapsed="false">
      <c r="A203" s="23"/>
      <c r="B203" s="9"/>
      <c r="C203" s="9"/>
      <c r="D203" s="9"/>
      <c r="E203" s="9" t="str">
        <f aca="false">IF(C203="","",IFERROR(INDEX(Conductores!$B:$B,MATCH(C203,Conductores!$A:$A,0)),"ID no encontrado"))</f>
        <v/>
      </c>
      <c r="F203" s="9" t="str">
        <f aca="false">IF(B203="","",IFERROR(INDEX(Rutas!$B:$B,MATCH(B203,Rutas!$A:$A,0)),"ID no encontrado"))</f>
        <v/>
      </c>
      <c r="G203" s="9" t="str">
        <f aca="false">IF(OR(B203="",C203="",D203=""),"",IF(OR(ISNA(MATCH(B203,Rutas!$A:$A,0)),ISNA(MATCH(C203,Conductores!$A:$A,0)),ISNA(MATCH(D203,Vehículos!$A:$A,0))),"REVISAR: ID no encontrado",IF(INDEX(Rutas!$C:$C,MATCH(B203,Rutas!$A:$A,0))&lt;&gt;INDEX(Vehículos!$B:$B,MATCH(D203,Vehículos!$A:$A,0)),"REVISAR: el vehículo no corresponde a la ruta",IF(INDEX(Rutas!$C:$C,MATCH(B203,Rutas!$A:$A,0))&lt;&gt;INDEX(Conductores!$D:$D,MATCH(C203,Conductores!$A:$A,0)),"REVISAR: el conductor no corresponde a la ruta",IF(OR(INDEX(Vehículos!$E:$E,MATCH(D203,Vehículos!$A:$A,0))="Taller",INDEX(Vehículos!$E:$E,MATCH(D203,Vehículos!$A:$A,0))="Fuera de servicio"),"REVISAR: vehículo no disponible",IF(INDEX(Conductores!$G:$G,MATCH(C203,Conductores!$A:$A,0))&lt;&gt;"Activo","REVISAR: conductor no activo",IF(COUNTIFS($A:$A,A203,$C:$C,C203)&gt;1,"REVISAR: conductor asignado dos veces",IF(COUNTIFS($A:$A,A203,$D:$D,D203)&gt;1,"REVISAR: vehículo asignado dos veces","OK"))))))))</f>
        <v/>
      </c>
      <c r="H203" s="9"/>
      <c r="I203" s="9"/>
      <c r="J203" s="14" t="str">
        <f aca="false">IF(OR(H203="",H203=0),"",I203/H203)</f>
        <v/>
      </c>
      <c r="K203" s="9"/>
      <c r="L203" s="9"/>
      <c r="M203" s="24"/>
      <c r="N203" s="9"/>
      <c r="O203" s="9" t="str">
        <f aca="false">IF(AND(OR(K203="En riesgo",K203="Atrasada"),L203=""),"Falta código de motivo",IF(AND(L203="OTR",N203=""),"Explica OTR en las notas",IF(AND(K203="Finalizada",I203&lt;H203,L203=""),"Falta código de motivo","")))</f>
        <v/>
      </c>
      <c r="P203" s="9" t="str">
        <f aca="false">IF(OR(D203="",A203=""),"",IF(COUNTIFS(Revision_previa!$B:$B,D203,Revision_previa!$A:$A,"&gt;="&amp;A203,Revision_previa!$A:$A,"&lt;"&amp;(A203+1))=0,"Sin revisión",IF(COUNTIFS(Revision_previa!$B:$B,D203,Revision_previa!$A:$A,"&gt;="&amp;A203,Revision_previa!$A:$A,"&lt;"&amp;(A203+1),Revision_previa!$D:$D,"Falla")+COUNTIFS(Revision_previa!$B:$B,D203,Revision_previa!$A:$A,"&gt;="&amp;A203,Revision_previa!$A:$A,"&lt;"&amp;(A203+1),Revision_previa!$E:$E,"Falla")+COUNTIFS(Revision_previa!$B:$B,D203,Revision_previa!$A:$A,"&gt;="&amp;A203,Revision_previa!$A:$A,"&lt;"&amp;(A203+1),Revision_previa!$F:$F,"Falla")+COUNTIFS(Revision_previa!$B:$B,D203,Revision_previa!$A:$A,"&gt;="&amp;A203,Revision_previa!$A:$A,"&lt;"&amp;(A203+1),Revision_previa!$H:$H,"Encendido")&gt;0,"No apto","Apto")))</f>
        <v/>
      </c>
    </row>
    <row r="204" customFormat="false" ht="15" hidden="false" customHeight="false" outlineLevel="0" collapsed="false">
      <c r="A204" s="23"/>
      <c r="B204" s="9"/>
      <c r="C204" s="9"/>
      <c r="D204" s="9"/>
      <c r="E204" s="9" t="str">
        <f aca="false">IF(C204="","",IFERROR(INDEX(Conductores!$B:$B,MATCH(C204,Conductores!$A:$A,0)),"ID no encontrado"))</f>
        <v/>
      </c>
      <c r="F204" s="9" t="str">
        <f aca="false">IF(B204="","",IFERROR(INDEX(Rutas!$B:$B,MATCH(B204,Rutas!$A:$A,0)),"ID no encontrado"))</f>
        <v/>
      </c>
      <c r="G204" s="9" t="str">
        <f aca="false">IF(OR(B204="",C204="",D204=""),"",IF(OR(ISNA(MATCH(B204,Rutas!$A:$A,0)),ISNA(MATCH(C204,Conductores!$A:$A,0)),ISNA(MATCH(D204,Vehículos!$A:$A,0))),"REVISAR: ID no encontrado",IF(INDEX(Rutas!$C:$C,MATCH(B204,Rutas!$A:$A,0))&lt;&gt;INDEX(Vehículos!$B:$B,MATCH(D204,Vehículos!$A:$A,0)),"REVISAR: el vehículo no corresponde a la ruta",IF(INDEX(Rutas!$C:$C,MATCH(B204,Rutas!$A:$A,0))&lt;&gt;INDEX(Conductores!$D:$D,MATCH(C204,Conductores!$A:$A,0)),"REVISAR: el conductor no corresponde a la ruta",IF(OR(INDEX(Vehículos!$E:$E,MATCH(D204,Vehículos!$A:$A,0))="Taller",INDEX(Vehículos!$E:$E,MATCH(D204,Vehículos!$A:$A,0))="Fuera de servicio"),"REVISAR: vehículo no disponible",IF(INDEX(Conductores!$G:$G,MATCH(C204,Conductores!$A:$A,0))&lt;&gt;"Activo","REVISAR: conductor no activo",IF(COUNTIFS($A:$A,A204,$C:$C,C204)&gt;1,"REVISAR: conductor asignado dos veces",IF(COUNTIFS($A:$A,A204,$D:$D,D204)&gt;1,"REVISAR: vehículo asignado dos veces","OK"))))))))</f>
        <v/>
      </c>
      <c r="H204" s="9"/>
      <c r="I204" s="9"/>
      <c r="J204" s="14" t="str">
        <f aca="false">IF(OR(H204="",H204=0),"",I204/H204)</f>
        <v/>
      </c>
      <c r="K204" s="9"/>
      <c r="L204" s="9"/>
      <c r="M204" s="24"/>
      <c r="N204" s="9"/>
      <c r="O204" s="9" t="str">
        <f aca="false">IF(AND(OR(K204="En riesgo",K204="Atrasada"),L204=""),"Falta código de motivo",IF(AND(L204="OTR",N204=""),"Explica OTR en las notas",IF(AND(K204="Finalizada",I204&lt;H204,L204=""),"Falta código de motivo","")))</f>
        <v/>
      </c>
      <c r="P204" s="9" t="str">
        <f aca="false">IF(OR(D204="",A204=""),"",IF(COUNTIFS(Revision_previa!$B:$B,D204,Revision_previa!$A:$A,"&gt;="&amp;A204,Revision_previa!$A:$A,"&lt;"&amp;(A204+1))=0,"Sin revisión",IF(COUNTIFS(Revision_previa!$B:$B,D204,Revision_previa!$A:$A,"&gt;="&amp;A204,Revision_previa!$A:$A,"&lt;"&amp;(A204+1),Revision_previa!$D:$D,"Falla")+COUNTIFS(Revision_previa!$B:$B,D204,Revision_previa!$A:$A,"&gt;="&amp;A204,Revision_previa!$A:$A,"&lt;"&amp;(A204+1),Revision_previa!$E:$E,"Falla")+COUNTIFS(Revision_previa!$B:$B,D204,Revision_previa!$A:$A,"&gt;="&amp;A204,Revision_previa!$A:$A,"&lt;"&amp;(A204+1),Revision_previa!$F:$F,"Falla")+COUNTIFS(Revision_previa!$B:$B,D204,Revision_previa!$A:$A,"&gt;="&amp;A204,Revision_previa!$A:$A,"&lt;"&amp;(A204+1),Revision_previa!$H:$H,"Encendido")&gt;0,"No apto","Apto")))</f>
        <v/>
      </c>
    </row>
    <row r="205" customFormat="false" ht="15" hidden="false" customHeight="false" outlineLevel="0" collapsed="false">
      <c r="A205" s="23"/>
      <c r="B205" s="9"/>
      <c r="C205" s="9"/>
      <c r="D205" s="9"/>
      <c r="E205" s="9" t="str">
        <f aca="false">IF(C205="","",IFERROR(INDEX(Conductores!$B:$B,MATCH(C205,Conductores!$A:$A,0)),"ID no encontrado"))</f>
        <v/>
      </c>
      <c r="F205" s="9" t="str">
        <f aca="false">IF(B205="","",IFERROR(INDEX(Rutas!$B:$B,MATCH(B205,Rutas!$A:$A,0)),"ID no encontrado"))</f>
        <v/>
      </c>
      <c r="G205" s="9" t="str">
        <f aca="false">IF(OR(B205="",C205="",D205=""),"",IF(OR(ISNA(MATCH(B205,Rutas!$A:$A,0)),ISNA(MATCH(C205,Conductores!$A:$A,0)),ISNA(MATCH(D205,Vehículos!$A:$A,0))),"REVISAR: ID no encontrado",IF(INDEX(Rutas!$C:$C,MATCH(B205,Rutas!$A:$A,0))&lt;&gt;INDEX(Vehículos!$B:$B,MATCH(D205,Vehículos!$A:$A,0)),"REVISAR: el vehículo no corresponde a la ruta",IF(INDEX(Rutas!$C:$C,MATCH(B205,Rutas!$A:$A,0))&lt;&gt;INDEX(Conductores!$D:$D,MATCH(C205,Conductores!$A:$A,0)),"REVISAR: el conductor no corresponde a la ruta",IF(OR(INDEX(Vehículos!$E:$E,MATCH(D205,Vehículos!$A:$A,0))="Taller",INDEX(Vehículos!$E:$E,MATCH(D205,Vehículos!$A:$A,0))="Fuera de servicio"),"REVISAR: vehículo no disponible",IF(INDEX(Conductores!$G:$G,MATCH(C205,Conductores!$A:$A,0))&lt;&gt;"Activo","REVISAR: conductor no activo",IF(COUNTIFS($A:$A,A205,$C:$C,C205)&gt;1,"REVISAR: conductor asignado dos veces",IF(COUNTIFS($A:$A,A205,$D:$D,D205)&gt;1,"REVISAR: vehículo asignado dos veces","OK"))))))))</f>
        <v/>
      </c>
      <c r="H205" s="9"/>
      <c r="I205" s="9"/>
      <c r="J205" s="14" t="str">
        <f aca="false">IF(OR(H205="",H205=0),"",I205/H205)</f>
        <v/>
      </c>
      <c r="K205" s="9"/>
      <c r="L205" s="9"/>
      <c r="M205" s="24"/>
      <c r="N205" s="9"/>
      <c r="O205" s="9" t="str">
        <f aca="false">IF(AND(OR(K205="En riesgo",K205="Atrasada"),L205=""),"Falta código de motivo",IF(AND(L205="OTR",N205=""),"Explica OTR en las notas",IF(AND(K205="Finalizada",I205&lt;H205,L205=""),"Falta código de motivo","")))</f>
        <v/>
      </c>
      <c r="P205" s="9" t="str">
        <f aca="false">IF(OR(D205="",A205=""),"",IF(COUNTIFS(Revision_previa!$B:$B,D205,Revision_previa!$A:$A,"&gt;="&amp;A205,Revision_previa!$A:$A,"&lt;"&amp;(A205+1))=0,"Sin revisión",IF(COUNTIFS(Revision_previa!$B:$B,D205,Revision_previa!$A:$A,"&gt;="&amp;A205,Revision_previa!$A:$A,"&lt;"&amp;(A205+1),Revision_previa!$D:$D,"Falla")+COUNTIFS(Revision_previa!$B:$B,D205,Revision_previa!$A:$A,"&gt;="&amp;A205,Revision_previa!$A:$A,"&lt;"&amp;(A205+1),Revision_previa!$E:$E,"Falla")+COUNTIFS(Revision_previa!$B:$B,D205,Revision_previa!$A:$A,"&gt;="&amp;A205,Revision_previa!$A:$A,"&lt;"&amp;(A205+1),Revision_previa!$F:$F,"Falla")+COUNTIFS(Revision_previa!$B:$B,D205,Revision_previa!$A:$A,"&gt;="&amp;A205,Revision_previa!$A:$A,"&lt;"&amp;(A205+1),Revision_previa!$H:$H,"Encendido")&gt;0,"No apto","Apto")))</f>
        <v/>
      </c>
    </row>
    <row r="206" customFormat="false" ht="15" hidden="false" customHeight="false" outlineLevel="0" collapsed="false">
      <c r="A206" s="23"/>
      <c r="B206" s="9"/>
      <c r="C206" s="9"/>
      <c r="D206" s="9"/>
      <c r="E206" s="9" t="str">
        <f aca="false">IF(C206="","",IFERROR(INDEX(Conductores!$B:$B,MATCH(C206,Conductores!$A:$A,0)),"ID no encontrado"))</f>
        <v/>
      </c>
      <c r="F206" s="9" t="str">
        <f aca="false">IF(B206="","",IFERROR(INDEX(Rutas!$B:$B,MATCH(B206,Rutas!$A:$A,0)),"ID no encontrado"))</f>
        <v/>
      </c>
      <c r="G206" s="9" t="str">
        <f aca="false">IF(OR(B206="",C206="",D206=""),"",IF(OR(ISNA(MATCH(B206,Rutas!$A:$A,0)),ISNA(MATCH(C206,Conductores!$A:$A,0)),ISNA(MATCH(D206,Vehículos!$A:$A,0))),"REVISAR: ID no encontrado",IF(INDEX(Rutas!$C:$C,MATCH(B206,Rutas!$A:$A,0))&lt;&gt;INDEX(Vehículos!$B:$B,MATCH(D206,Vehículos!$A:$A,0)),"REVISAR: el vehículo no corresponde a la ruta",IF(INDEX(Rutas!$C:$C,MATCH(B206,Rutas!$A:$A,0))&lt;&gt;INDEX(Conductores!$D:$D,MATCH(C206,Conductores!$A:$A,0)),"REVISAR: el conductor no corresponde a la ruta",IF(OR(INDEX(Vehículos!$E:$E,MATCH(D206,Vehículos!$A:$A,0))="Taller",INDEX(Vehículos!$E:$E,MATCH(D206,Vehículos!$A:$A,0))="Fuera de servicio"),"REVISAR: vehículo no disponible",IF(INDEX(Conductores!$G:$G,MATCH(C206,Conductores!$A:$A,0))&lt;&gt;"Activo","REVISAR: conductor no activo",IF(COUNTIFS($A:$A,A206,$C:$C,C206)&gt;1,"REVISAR: conductor asignado dos veces",IF(COUNTIFS($A:$A,A206,$D:$D,D206)&gt;1,"REVISAR: vehículo asignado dos veces","OK"))))))))</f>
        <v/>
      </c>
      <c r="H206" s="9"/>
      <c r="I206" s="9"/>
      <c r="J206" s="14" t="str">
        <f aca="false">IF(OR(H206="",H206=0),"",I206/H206)</f>
        <v/>
      </c>
      <c r="K206" s="9"/>
      <c r="L206" s="9"/>
      <c r="M206" s="24"/>
      <c r="N206" s="9"/>
      <c r="O206" s="9" t="str">
        <f aca="false">IF(AND(OR(K206="En riesgo",K206="Atrasada"),L206=""),"Falta código de motivo",IF(AND(L206="OTR",N206=""),"Explica OTR en las notas",IF(AND(K206="Finalizada",I206&lt;H206,L206=""),"Falta código de motivo","")))</f>
        <v/>
      </c>
      <c r="P206" s="9" t="str">
        <f aca="false">IF(OR(D206="",A206=""),"",IF(COUNTIFS(Revision_previa!$B:$B,D206,Revision_previa!$A:$A,"&gt;="&amp;A206,Revision_previa!$A:$A,"&lt;"&amp;(A206+1))=0,"Sin revisión",IF(COUNTIFS(Revision_previa!$B:$B,D206,Revision_previa!$A:$A,"&gt;="&amp;A206,Revision_previa!$A:$A,"&lt;"&amp;(A206+1),Revision_previa!$D:$D,"Falla")+COUNTIFS(Revision_previa!$B:$B,D206,Revision_previa!$A:$A,"&gt;="&amp;A206,Revision_previa!$A:$A,"&lt;"&amp;(A206+1),Revision_previa!$E:$E,"Falla")+COUNTIFS(Revision_previa!$B:$B,D206,Revision_previa!$A:$A,"&gt;="&amp;A206,Revision_previa!$A:$A,"&lt;"&amp;(A206+1),Revision_previa!$F:$F,"Falla")+COUNTIFS(Revision_previa!$B:$B,D206,Revision_previa!$A:$A,"&gt;="&amp;A206,Revision_previa!$A:$A,"&lt;"&amp;(A206+1),Revision_previa!$H:$H,"Encendido")&gt;0,"No apto","Apto")))</f>
        <v/>
      </c>
    </row>
    <row r="207" customFormat="false" ht="15" hidden="false" customHeight="false" outlineLevel="0" collapsed="false">
      <c r="A207" s="23"/>
      <c r="B207" s="9"/>
      <c r="C207" s="9"/>
      <c r="D207" s="9"/>
      <c r="E207" s="9" t="str">
        <f aca="false">IF(C207="","",IFERROR(INDEX(Conductores!$B:$B,MATCH(C207,Conductores!$A:$A,0)),"ID no encontrado"))</f>
        <v/>
      </c>
      <c r="F207" s="9" t="str">
        <f aca="false">IF(B207="","",IFERROR(INDEX(Rutas!$B:$B,MATCH(B207,Rutas!$A:$A,0)),"ID no encontrado"))</f>
        <v/>
      </c>
      <c r="G207" s="9" t="str">
        <f aca="false">IF(OR(B207="",C207="",D207=""),"",IF(OR(ISNA(MATCH(B207,Rutas!$A:$A,0)),ISNA(MATCH(C207,Conductores!$A:$A,0)),ISNA(MATCH(D207,Vehículos!$A:$A,0))),"REVISAR: ID no encontrado",IF(INDEX(Rutas!$C:$C,MATCH(B207,Rutas!$A:$A,0))&lt;&gt;INDEX(Vehículos!$B:$B,MATCH(D207,Vehículos!$A:$A,0)),"REVISAR: el vehículo no corresponde a la ruta",IF(INDEX(Rutas!$C:$C,MATCH(B207,Rutas!$A:$A,0))&lt;&gt;INDEX(Conductores!$D:$D,MATCH(C207,Conductores!$A:$A,0)),"REVISAR: el conductor no corresponde a la ruta",IF(OR(INDEX(Vehículos!$E:$E,MATCH(D207,Vehículos!$A:$A,0))="Taller",INDEX(Vehículos!$E:$E,MATCH(D207,Vehículos!$A:$A,0))="Fuera de servicio"),"REVISAR: vehículo no disponible",IF(INDEX(Conductores!$G:$G,MATCH(C207,Conductores!$A:$A,0))&lt;&gt;"Activo","REVISAR: conductor no activo",IF(COUNTIFS($A:$A,A207,$C:$C,C207)&gt;1,"REVISAR: conductor asignado dos veces",IF(COUNTIFS($A:$A,A207,$D:$D,D207)&gt;1,"REVISAR: vehículo asignado dos veces","OK"))))))))</f>
        <v/>
      </c>
      <c r="H207" s="9"/>
      <c r="I207" s="9"/>
      <c r="J207" s="14" t="str">
        <f aca="false">IF(OR(H207="",H207=0),"",I207/H207)</f>
        <v/>
      </c>
      <c r="K207" s="9"/>
      <c r="L207" s="9"/>
      <c r="M207" s="24"/>
      <c r="N207" s="9"/>
      <c r="O207" s="9" t="str">
        <f aca="false">IF(AND(OR(K207="En riesgo",K207="Atrasada"),L207=""),"Falta código de motivo",IF(AND(L207="OTR",N207=""),"Explica OTR en las notas",IF(AND(K207="Finalizada",I207&lt;H207,L207=""),"Falta código de motivo","")))</f>
        <v/>
      </c>
      <c r="P207" s="9" t="str">
        <f aca="false">IF(OR(D207="",A207=""),"",IF(COUNTIFS(Revision_previa!$B:$B,D207,Revision_previa!$A:$A,"&gt;="&amp;A207,Revision_previa!$A:$A,"&lt;"&amp;(A207+1))=0,"Sin revisión",IF(COUNTIFS(Revision_previa!$B:$B,D207,Revision_previa!$A:$A,"&gt;="&amp;A207,Revision_previa!$A:$A,"&lt;"&amp;(A207+1),Revision_previa!$D:$D,"Falla")+COUNTIFS(Revision_previa!$B:$B,D207,Revision_previa!$A:$A,"&gt;="&amp;A207,Revision_previa!$A:$A,"&lt;"&amp;(A207+1),Revision_previa!$E:$E,"Falla")+COUNTIFS(Revision_previa!$B:$B,D207,Revision_previa!$A:$A,"&gt;="&amp;A207,Revision_previa!$A:$A,"&lt;"&amp;(A207+1),Revision_previa!$F:$F,"Falla")+COUNTIFS(Revision_previa!$B:$B,D207,Revision_previa!$A:$A,"&gt;="&amp;A207,Revision_previa!$A:$A,"&lt;"&amp;(A207+1),Revision_previa!$H:$H,"Encendido")&gt;0,"No apto","Apto")))</f>
        <v/>
      </c>
    </row>
    <row r="208" customFormat="false" ht="15" hidden="false" customHeight="false" outlineLevel="0" collapsed="false">
      <c r="A208" s="23"/>
      <c r="B208" s="9"/>
      <c r="C208" s="9"/>
      <c r="D208" s="9"/>
      <c r="E208" s="9" t="str">
        <f aca="false">IF(C208="","",IFERROR(INDEX(Conductores!$B:$B,MATCH(C208,Conductores!$A:$A,0)),"ID no encontrado"))</f>
        <v/>
      </c>
      <c r="F208" s="9" t="str">
        <f aca="false">IF(B208="","",IFERROR(INDEX(Rutas!$B:$B,MATCH(B208,Rutas!$A:$A,0)),"ID no encontrado"))</f>
        <v/>
      </c>
      <c r="G208" s="9" t="str">
        <f aca="false">IF(OR(B208="",C208="",D208=""),"",IF(OR(ISNA(MATCH(B208,Rutas!$A:$A,0)),ISNA(MATCH(C208,Conductores!$A:$A,0)),ISNA(MATCH(D208,Vehículos!$A:$A,0))),"REVISAR: ID no encontrado",IF(INDEX(Rutas!$C:$C,MATCH(B208,Rutas!$A:$A,0))&lt;&gt;INDEX(Vehículos!$B:$B,MATCH(D208,Vehículos!$A:$A,0)),"REVISAR: el vehículo no corresponde a la ruta",IF(INDEX(Rutas!$C:$C,MATCH(B208,Rutas!$A:$A,0))&lt;&gt;INDEX(Conductores!$D:$D,MATCH(C208,Conductores!$A:$A,0)),"REVISAR: el conductor no corresponde a la ruta",IF(OR(INDEX(Vehículos!$E:$E,MATCH(D208,Vehículos!$A:$A,0))="Taller",INDEX(Vehículos!$E:$E,MATCH(D208,Vehículos!$A:$A,0))="Fuera de servicio"),"REVISAR: vehículo no disponible",IF(INDEX(Conductores!$G:$G,MATCH(C208,Conductores!$A:$A,0))&lt;&gt;"Activo","REVISAR: conductor no activo",IF(COUNTIFS($A:$A,A208,$C:$C,C208)&gt;1,"REVISAR: conductor asignado dos veces",IF(COUNTIFS($A:$A,A208,$D:$D,D208)&gt;1,"REVISAR: vehículo asignado dos veces","OK"))))))))</f>
        <v/>
      </c>
      <c r="H208" s="9"/>
      <c r="I208" s="9"/>
      <c r="J208" s="14" t="str">
        <f aca="false">IF(OR(H208="",H208=0),"",I208/H208)</f>
        <v/>
      </c>
      <c r="K208" s="9"/>
      <c r="L208" s="9"/>
      <c r="M208" s="24"/>
      <c r="N208" s="9"/>
      <c r="O208" s="9" t="str">
        <f aca="false">IF(AND(OR(K208="En riesgo",K208="Atrasada"),L208=""),"Falta código de motivo",IF(AND(L208="OTR",N208=""),"Explica OTR en las notas",IF(AND(K208="Finalizada",I208&lt;H208,L208=""),"Falta código de motivo","")))</f>
        <v/>
      </c>
      <c r="P208" s="9" t="str">
        <f aca="false">IF(OR(D208="",A208=""),"",IF(COUNTIFS(Revision_previa!$B:$B,D208,Revision_previa!$A:$A,"&gt;="&amp;A208,Revision_previa!$A:$A,"&lt;"&amp;(A208+1))=0,"Sin revisión",IF(COUNTIFS(Revision_previa!$B:$B,D208,Revision_previa!$A:$A,"&gt;="&amp;A208,Revision_previa!$A:$A,"&lt;"&amp;(A208+1),Revision_previa!$D:$D,"Falla")+COUNTIFS(Revision_previa!$B:$B,D208,Revision_previa!$A:$A,"&gt;="&amp;A208,Revision_previa!$A:$A,"&lt;"&amp;(A208+1),Revision_previa!$E:$E,"Falla")+COUNTIFS(Revision_previa!$B:$B,D208,Revision_previa!$A:$A,"&gt;="&amp;A208,Revision_previa!$A:$A,"&lt;"&amp;(A208+1),Revision_previa!$F:$F,"Falla")+COUNTIFS(Revision_previa!$B:$B,D208,Revision_previa!$A:$A,"&gt;="&amp;A208,Revision_previa!$A:$A,"&lt;"&amp;(A208+1),Revision_previa!$H:$H,"Encendido")&gt;0,"No apto","Apto")))</f>
        <v/>
      </c>
    </row>
    <row r="209" customFormat="false" ht="15" hidden="false" customHeight="false" outlineLevel="0" collapsed="false">
      <c r="A209" s="23"/>
      <c r="B209" s="9"/>
      <c r="C209" s="9"/>
      <c r="D209" s="9"/>
      <c r="E209" s="9" t="str">
        <f aca="false">IF(C209="","",IFERROR(INDEX(Conductores!$B:$B,MATCH(C209,Conductores!$A:$A,0)),"ID no encontrado"))</f>
        <v/>
      </c>
      <c r="F209" s="9" t="str">
        <f aca="false">IF(B209="","",IFERROR(INDEX(Rutas!$B:$B,MATCH(B209,Rutas!$A:$A,0)),"ID no encontrado"))</f>
        <v/>
      </c>
      <c r="G209" s="9" t="str">
        <f aca="false">IF(OR(B209="",C209="",D209=""),"",IF(OR(ISNA(MATCH(B209,Rutas!$A:$A,0)),ISNA(MATCH(C209,Conductores!$A:$A,0)),ISNA(MATCH(D209,Vehículos!$A:$A,0))),"REVISAR: ID no encontrado",IF(INDEX(Rutas!$C:$C,MATCH(B209,Rutas!$A:$A,0))&lt;&gt;INDEX(Vehículos!$B:$B,MATCH(D209,Vehículos!$A:$A,0)),"REVISAR: el vehículo no corresponde a la ruta",IF(INDEX(Rutas!$C:$C,MATCH(B209,Rutas!$A:$A,0))&lt;&gt;INDEX(Conductores!$D:$D,MATCH(C209,Conductores!$A:$A,0)),"REVISAR: el conductor no corresponde a la ruta",IF(OR(INDEX(Vehículos!$E:$E,MATCH(D209,Vehículos!$A:$A,0))="Taller",INDEX(Vehículos!$E:$E,MATCH(D209,Vehículos!$A:$A,0))="Fuera de servicio"),"REVISAR: vehículo no disponible",IF(INDEX(Conductores!$G:$G,MATCH(C209,Conductores!$A:$A,0))&lt;&gt;"Activo","REVISAR: conductor no activo",IF(COUNTIFS($A:$A,A209,$C:$C,C209)&gt;1,"REVISAR: conductor asignado dos veces",IF(COUNTIFS($A:$A,A209,$D:$D,D209)&gt;1,"REVISAR: vehículo asignado dos veces","OK"))))))))</f>
        <v/>
      </c>
      <c r="H209" s="9"/>
      <c r="I209" s="9"/>
      <c r="J209" s="14" t="str">
        <f aca="false">IF(OR(H209="",H209=0),"",I209/H209)</f>
        <v/>
      </c>
      <c r="K209" s="9"/>
      <c r="L209" s="9"/>
      <c r="M209" s="24"/>
      <c r="N209" s="9"/>
      <c r="O209" s="9" t="str">
        <f aca="false">IF(AND(OR(K209="En riesgo",K209="Atrasada"),L209=""),"Falta código de motivo",IF(AND(L209="OTR",N209=""),"Explica OTR en las notas",IF(AND(K209="Finalizada",I209&lt;H209,L209=""),"Falta código de motivo","")))</f>
        <v/>
      </c>
      <c r="P209" s="9" t="str">
        <f aca="false">IF(OR(D209="",A209=""),"",IF(COUNTIFS(Revision_previa!$B:$B,D209,Revision_previa!$A:$A,"&gt;="&amp;A209,Revision_previa!$A:$A,"&lt;"&amp;(A209+1))=0,"Sin revisión",IF(COUNTIFS(Revision_previa!$B:$B,D209,Revision_previa!$A:$A,"&gt;="&amp;A209,Revision_previa!$A:$A,"&lt;"&amp;(A209+1),Revision_previa!$D:$D,"Falla")+COUNTIFS(Revision_previa!$B:$B,D209,Revision_previa!$A:$A,"&gt;="&amp;A209,Revision_previa!$A:$A,"&lt;"&amp;(A209+1),Revision_previa!$E:$E,"Falla")+COUNTIFS(Revision_previa!$B:$B,D209,Revision_previa!$A:$A,"&gt;="&amp;A209,Revision_previa!$A:$A,"&lt;"&amp;(A209+1),Revision_previa!$F:$F,"Falla")+COUNTIFS(Revision_previa!$B:$B,D209,Revision_previa!$A:$A,"&gt;="&amp;A209,Revision_previa!$A:$A,"&lt;"&amp;(A209+1),Revision_previa!$H:$H,"Encendido")&gt;0,"No apto","Apto")))</f>
        <v/>
      </c>
    </row>
    <row r="210" customFormat="false" ht="15" hidden="false" customHeight="false" outlineLevel="0" collapsed="false">
      <c r="A210" s="23"/>
      <c r="B210" s="9"/>
      <c r="C210" s="9"/>
      <c r="D210" s="9"/>
      <c r="E210" s="9" t="str">
        <f aca="false">IF(C210="","",IFERROR(INDEX(Conductores!$B:$B,MATCH(C210,Conductores!$A:$A,0)),"ID no encontrado"))</f>
        <v/>
      </c>
      <c r="F210" s="9" t="str">
        <f aca="false">IF(B210="","",IFERROR(INDEX(Rutas!$B:$B,MATCH(B210,Rutas!$A:$A,0)),"ID no encontrado"))</f>
        <v/>
      </c>
      <c r="G210" s="9" t="str">
        <f aca="false">IF(OR(B210="",C210="",D210=""),"",IF(OR(ISNA(MATCH(B210,Rutas!$A:$A,0)),ISNA(MATCH(C210,Conductores!$A:$A,0)),ISNA(MATCH(D210,Vehículos!$A:$A,0))),"REVISAR: ID no encontrado",IF(INDEX(Rutas!$C:$C,MATCH(B210,Rutas!$A:$A,0))&lt;&gt;INDEX(Vehículos!$B:$B,MATCH(D210,Vehículos!$A:$A,0)),"REVISAR: el vehículo no corresponde a la ruta",IF(INDEX(Rutas!$C:$C,MATCH(B210,Rutas!$A:$A,0))&lt;&gt;INDEX(Conductores!$D:$D,MATCH(C210,Conductores!$A:$A,0)),"REVISAR: el conductor no corresponde a la ruta",IF(OR(INDEX(Vehículos!$E:$E,MATCH(D210,Vehículos!$A:$A,0))="Taller",INDEX(Vehículos!$E:$E,MATCH(D210,Vehículos!$A:$A,0))="Fuera de servicio"),"REVISAR: vehículo no disponible",IF(INDEX(Conductores!$G:$G,MATCH(C210,Conductores!$A:$A,0))&lt;&gt;"Activo","REVISAR: conductor no activo",IF(COUNTIFS($A:$A,A210,$C:$C,C210)&gt;1,"REVISAR: conductor asignado dos veces",IF(COUNTIFS($A:$A,A210,$D:$D,D210)&gt;1,"REVISAR: vehículo asignado dos veces","OK"))))))))</f>
        <v/>
      </c>
      <c r="H210" s="9"/>
      <c r="I210" s="9"/>
      <c r="J210" s="14" t="str">
        <f aca="false">IF(OR(H210="",H210=0),"",I210/H210)</f>
        <v/>
      </c>
      <c r="K210" s="9"/>
      <c r="L210" s="9"/>
      <c r="M210" s="24"/>
      <c r="N210" s="9"/>
      <c r="O210" s="9" t="str">
        <f aca="false">IF(AND(OR(K210="En riesgo",K210="Atrasada"),L210=""),"Falta código de motivo",IF(AND(L210="OTR",N210=""),"Explica OTR en las notas",IF(AND(K210="Finalizada",I210&lt;H210,L210=""),"Falta código de motivo","")))</f>
        <v/>
      </c>
      <c r="P210" s="9" t="str">
        <f aca="false">IF(OR(D210="",A210=""),"",IF(COUNTIFS(Revision_previa!$B:$B,D210,Revision_previa!$A:$A,"&gt;="&amp;A210,Revision_previa!$A:$A,"&lt;"&amp;(A210+1))=0,"Sin revisión",IF(COUNTIFS(Revision_previa!$B:$B,D210,Revision_previa!$A:$A,"&gt;="&amp;A210,Revision_previa!$A:$A,"&lt;"&amp;(A210+1),Revision_previa!$D:$D,"Falla")+COUNTIFS(Revision_previa!$B:$B,D210,Revision_previa!$A:$A,"&gt;="&amp;A210,Revision_previa!$A:$A,"&lt;"&amp;(A210+1),Revision_previa!$E:$E,"Falla")+COUNTIFS(Revision_previa!$B:$B,D210,Revision_previa!$A:$A,"&gt;="&amp;A210,Revision_previa!$A:$A,"&lt;"&amp;(A210+1),Revision_previa!$F:$F,"Falla")+COUNTIFS(Revision_previa!$B:$B,D210,Revision_previa!$A:$A,"&gt;="&amp;A210,Revision_previa!$A:$A,"&lt;"&amp;(A210+1),Revision_previa!$H:$H,"Encendido")&gt;0,"No apto","Apto")))</f>
        <v/>
      </c>
    </row>
    <row r="211" customFormat="false" ht="15" hidden="false" customHeight="false" outlineLevel="0" collapsed="false">
      <c r="A211" s="23"/>
      <c r="B211" s="9"/>
      <c r="C211" s="9"/>
      <c r="D211" s="9"/>
      <c r="E211" s="9" t="str">
        <f aca="false">IF(C211="","",IFERROR(INDEX(Conductores!$B:$B,MATCH(C211,Conductores!$A:$A,0)),"ID no encontrado"))</f>
        <v/>
      </c>
      <c r="F211" s="9" t="str">
        <f aca="false">IF(B211="","",IFERROR(INDEX(Rutas!$B:$B,MATCH(B211,Rutas!$A:$A,0)),"ID no encontrado"))</f>
        <v/>
      </c>
      <c r="G211" s="9" t="str">
        <f aca="false">IF(OR(B211="",C211="",D211=""),"",IF(OR(ISNA(MATCH(B211,Rutas!$A:$A,0)),ISNA(MATCH(C211,Conductores!$A:$A,0)),ISNA(MATCH(D211,Vehículos!$A:$A,0))),"REVISAR: ID no encontrado",IF(INDEX(Rutas!$C:$C,MATCH(B211,Rutas!$A:$A,0))&lt;&gt;INDEX(Vehículos!$B:$B,MATCH(D211,Vehículos!$A:$A,0)),"REVISAR: el vehículo no corresponde a la ruta",IF(INDEX(Rutas!$C:$C,MATCH(B211,Rutas!$A:$A,0))&lt;&gt;INDEX(Conductores!$D:$D,MATCH(C211,Conductores!$A:$A,0)),"REVISAR: el conductor no corresponde a la ruta",IF(OR(INDEX(Vehículos!$E:$E,MATCH(D211,Vehículos!$A:$A,0))="Taller",INDEX(Vehículos!$E:$E,MATCH(D211,Vehículos!$A:$A,0))="Fuera de servicio"),"REVISAR: vehículo no disponible",IF(INDEX(Conductores!$G:$G,MATCH(C211,Conductores!$A:$A,0))&lt;&gt;"Activo","REVISAR: conductor no activo",IF(COUNTIFS($A:$A,A211,$C:$C,C211)&gt;1,"REVISAR: conductor asignado dos veces",IF(COUNTIFS($A:$A,A211,$D:$D,D211)&gt;1,"REVISAR: vehículo asignado dos veces","OK"))))))))</f>
        <v/>
      </c>
      <c r="H211" s="9"/>
      <c r="I211" s="9"/>
      <c r="J211" s="14" t="str">
        <f aca="false">IF(OR(H211="",H211=0),"",I211/H211)</f>
        <v/>
      </c>
      <c r="K211" s="9"/>
      <c r="L211" s="9"/>
      <c r="M211" s="24"/>
      <c r="N211" s="9"/>
      <c r="O211" s="9" t="str">
        <f aca="false">IF(AND(OR(K211="En riesgo",K211="Atrasada"),L211=""),"Falta código de motivo",IF(AND(L211="OTR",N211=""),"Explica OTR en las notas",IF(AND(K211="Finalizada",I211&lt;H211,L211=""),"Falta código de motivo","")))</f>
        <v/>
      </c>
      <c r="P211" s="9" t="str">
        <f aca="false">IF(OR(D211="",A211=""),"",IF(COUNTIFS(Revision_previa!$B:$B,D211,Revision_previa!$A:$A,"&gt;="&amp;A211,Revision_previa!$A:$A,"&lt;"&amp;(A211+1))=0,"Sin revisión",IF(COUNTIFS(Revision_previa!$B:$B,D211,Revision_previa!$A:$A,"&gt;="&amp;A211,Revision_previa!$A:$A,"&lt;"&amp;(A211+1),Revision_previa!$D:$D,"Falla")+COUNTIFS(Revision_previa!$B:$B,D211,Revision_previa!$A:$A,"&gt;="&amp;A211,Revision_previa!$A:$A,"&lt;"&amp;(A211+1),Revision_previa!$E:$E,"Falla")+COUNTIFS(Revision_previa!$B:$B,D211,Revision_previa!$A:$A,"&gt;="&amp;A211,Revision_previa!$A:$A,"&lt;"&amp;(A211+1),Revision_previa!$F:$F,"Falla")+COUNTIFS(Revision_previa!$B:$B,D211,Revision_previa!$A:$A,"&gt;="&amp;A211,Revision_previa!$A:$A,"&lt;"&amp;(A211+1),Revision_previa!$H:$H,"Encendido")&gt;0,"No apto","Apto")))</f>
        <v/>
      </c>
    </row>
    <row r="212" customFormat="false" ht="15" hidden="false" customHeight="false" outlineLevel="0" collapsed="false">
      <c r="A212" s="23"/>
      <c r="B212" s="9"/>
      <c r="C212" s="9"/>
      <c r="D212" s="9"/>
      <c r="E212" s="9" t="str">
        <f aca="false">IF(C212="","",IFERROR(INDEX(Conductores!$B:$B,MATCH(C212,Conductores!$A:$A,0)),"ID no encontrado"))</f>
        <v/>
      </c>
      <c r="F212" s="9" t="str">
        <f aca="false">IF(B212="","",IFERROR(INDEX(Rutas!$B:$B,MATCH(B212,Rutas!$A:$A,0)),"ID no encontrado"))</f>
        <v/>
      </c>
      <c r="G212" s="9" t="str">
        <f aca="false">IF(OR(B212="",C212="",D212=""),"",IF(OR(ISNA(MATCH(B212,Rutas!$A:$A,0)),ISNA(MATCH(C212,Conductores!$A:$A,0)),ISNA(MATCH(D212,Vehículos!$A:$A,0))),"REVISAR: ID no encontrado",IF(INDEX(Rutas!$C:$C,MATCH(B212,Rutas!$A:$A,0))&lt;&gt;INDEX(Vehículos!$B:$B,MATCH(D212,Vehículos!$A:$A,0)),"REVISAR: el vehículo no corresponde a la ruta",IF(INDEX(Rutas!$C:$C,MATCH(B212,Rutas!$A:$A,0))&lt;&gt;INDEX(Conductores!$D:$D,MATCH(C212,Conductores!$A:$A,0)),"REVISAR: el conductor no corresponde a la ruta",IF(OR(INDEX(Vehículos!$E:$E,MATCH(D212,Vehículos!$A:$A,0))="Taller",INDEX(Vehículos!$E:$E,MATCH(D212,Vehículos!$A:$A,0))="Fuera de servicio"),"REVISAR: vehículo no disponible",IF(INDEX(Conductores!$G:$G,MATCH(C212,Conductores!$A:$A,0))&lt;&gt;"Activo","REVISAR: conductor no activo",IF(COUNTIFS($A:$A,A212,$C:$C,C212)&gt;1,"REVISAR: conductor asignado dos veces",IF(COUNTIFS($A:$A,A212,$D:$D,D212)&gt;1,"REVISAR: vehículo asignado dos veces","OK"))))))))</f>
        <v/>
      </c>
      <c r="H212" s="9"/>
      <c r="I212" s="9"/>
      <c r="J212" s="14" t="str">
        <f aca="false">IF(OR(H212="",H212=0),"",I212/H212)</f>
        <v/>
      </c>
      <c r="K212" s="9"/>
      <c r="L212" s="9"/>
      <c r="M212" s="24"/>
      <c r="N212" s="9"/>
      <c r="O212" s="9" t="str">
        <f aca="false">IF(AND(OR(K212="En riesgo",K212="Atrasada"),L212=""),"Falta código de motivo",IF(AND(L212="OTR",N212=""),"Explica OTR en las notas",IF(AND(K212="Finalizada",I212&lt;H212,L212=""),"Falta código de motivo","")))</f>
        <v/>
      </c>
      <c r="P212" s="9" t="str">
        <f aca="false">IF(OR(D212="",A212=""),"",IF(COUNTIFS(Revision_previa!$B:$B,D212,Revision_previa!$A:$A,"&gt;="&amp;A212,Revision_previa!$A:$A,"&lt;"&amp;(A212+1))=0,"Sin revisión",IF(COUNTIFS(Revision_previa!$B:$B,D212,Revision_previa!$A:$A,"&gt;="&amp;A212,Revision_previa!$A:$A,"&lt;"&amp;(A212+1),Revision_previa!$D:$D,"Falla")+COUNTIFS(Revision_previa!$B:$B,D212,Revision_previa!$A:$A,"&gt;="&amp;A212,Revision_previa!$A:$A,"&lt;"&amp;(A212+1),Revision_previa!$E:$E,"Falla")+COUNTIFS(Revision_previa!$B:$B,D212,Revision_previa!$A:$A,"&gt;="&amp;A212,Revision_previa!$A:$A,"&lt;"&amp;(A212+1),Revision_previa!$F:$F,"Falla")+COUNTIFS(Revision_previa!$B:$B,D212,Revision_previa!$A:$A,"&gt;="&amp;A212,Revision_previa!$A:$A,"&lt;"&amp;(A212+1),Revision_previa!$H:$H,"Encendido")&gt;0,"No apto","Apto")))</f>
        <v/>
      </c>
    </row>
    <row r="213" customFormat="false" ht="15" hidden="false" customHeight="false" outlineLevel="0" collapsed="false">
      <c r="A213" s="23"/>
      <c r="B213" s="9"/>
      <c r="C213" s="9"/>
      <c r="D213" s="9"/>
      <c r="E213" s="9" t="str">
        <f aca="false">IF(C213="","",IFERROR(INDEX(Conductores!$B:$B,MATCH(C213,Conductores!$A:$A,0)),"ID no encontrado"))</f>
        <v/>
      </c>
      <c r="F213" s="9" t="str">
        <f aca="false">IF(B213="","",IFERROR(INDEX(Rutas!$B:$B,MATCH(B213,Rutas!$A:$A,0)),"ID no encontrado"))</f>
        <v/>
      </c>
      <c r="G213" s="9" t="str">
        <f aca="false">IF(OR(B213="",C213="",D213=""),"",IF(OR(ISNA(MATCH(B213,Rutas!$A:$A,0)),ISNA(MATCH(C213,Conductores!$A:$A,0)),ISNA(MATCH(D213,Vehículos!$A:$A,0))),"REVISAR: ID no encontrado",IF(INDEX(Rutas!$C:$C,MATCH(B213,Rutas!$A:$A,0))&lt;&gt;INDEX(Vehículos!$B:$B,MATCH(D213,Vehículos!$A:$A,0)),"REVISAR: el vehículo no corresponde a la ruta",IF(INDEX(Rutas!$C:$C,MATCH(B213,Rutas!$A:$A,0))&lt;&gt;INDEX(Conductores!$D:$D,MATCH(C213,Conductores!$A:$A,0)),"REVISAR: el conductor no corresponde a la ruta",IF(OR(INDEX(Vehículos!$E:$E,MATCH(D213,Vehículos!$A:$A,0))="Taller",INDEX(Vehículos!$E:$E,MATCH(D213,Vehículos!$A:$A,0))="Fuera de servicio"),"REVISAR: vehículo no disponible",IF(INDEX(Conductores!$G:$G,MATCH(C213,Conductores!$A:$A,0))&lt;&gt;"Activo","REVISAR: conductor no activo",IF(COUNTIFS($A:$A,A213,$C:$C,C213)&gt;1,"REVISAR: conductor asignado dos veces",IF(COUNTIFS($A:$A,A213,$D:$D,D213)&gt;1,"REVISAR: vehículo asignado dos veces","OK"))))))))</f>
        <v/>
      </c>
      <c r="H213" s="9"/>
      <c r="I213" s="9"/>
      <c r="J213" s="14" t="str">
        <f aca="false">IF(OR(H213="",H213=0),"",I213/H213)</f>
        <v/>
      </c>
      <c r="K213" s="9"/>
      <c r="L213" s="9"/>
      <c r="M213" s="24"/>
      <c r="N213" s="9"/>
      <c r="O213" s="9" t="str">
        <f aca="false">IF(AND(OR(K213="En riesgo",K213="Atrasada"),L213=""),"Falta código de motivo",IF(AND(L213="OTR",N213=""),"Explica OTR en las notas",IF(AND(K213="Finalizada",I213&lt;H213,L213=""),"Falta código de motivo","")))</f>
        <v/>
      </c>
      <c r="P213" s="9" t="str">
        <f aca="false">IF(OR(D213="",A213=""),"",IF(COUNTIFS(Revision_previa!$B:$B,D213,Revision_previa!$A:$A,"&gt;="&amp;A213,Revision_previa!$A:$A,"&lt;"&amp;(A213+1))=0,"Sin revisión",IF(COUNTIFS(Revision_previa!$B:$B,D213,Revision_previa!$A:$A,"&gt;="&amp;A213,Revision_previa!$A:$A,"&lt;"&amp;(A213+1),Revision_previa!$D:$D,"Falla")+COUNTIFS(Revision_previa!$B:$B,D213,Revision_previa!$A:$A,"&gt;="&amp;A213,Revision_previa!$A:$A,"&lt;"&amp;(A213+1),Revision_previa!$E:$E,"Falla")+COUNTIFS(Revision_previa!$B:$B,D213,Revision_previa!$A:$A,"&gt;="&amp;A213,Revision_previa!$A:$A,"&lt;"&amp;(A213+1),Revision_previa!$F:$F,"Falla")+COUNTIFS(Revision_previa!$B:$B,D213,Revision_previa!$A:$A,"&gt;="&amp;A213,Revision_previa!$A:$A,"&lt;"&amp;(A213+1),Revision_previa!$H:$H,"Encendido")&gt;0,"No apto","Apto")))</f>
        <v/>
      </c>
    </row>
    <row r="214" customFormat="false" ht="15" hidden="false" customHeight="false" outlineLevel="0" collapsed="false">
      <c r="A214" s="23"/>
      <c r="B214" s="9"/>
      <c r="C214" s="9"/>
      <c r="D214" s="9"/>
      <c r="E214" s="9" t="str">
        <f aca="false">IF(C214="","",IFERROR(INDEX(Conductores!$B:$B,MATCH(C214,Conductores!$A:$A,0)),"ID no encontrado"))</f>
        <v/>
      </c>
      <c r="F214" s="9" t="str">
        <f aca="false">IF(B214="","",IFERROR(INDEX(Rutas!$B:$B,MATCH(B214,Rutas!$A:$A,0)),"ID no encontrado"))</f>
        <v/>
      </c>
      <c r="G214" s="9" t="str">
        <f aca="false">IF(OR(B214="",C214="",D214=""),"",IF(OR(ISNA(MATCH(B214,Rutas!$A:$A,0)),ISNA(MATCH(C214,Conductores!$A:$A,0)),ISNA(MATCH(D214,Vehículos!$A:$A,0))),"REVISAR: ID no encontrado",IF(INDEX(Rutas!$C:$C,MATCH(B214,Rutas!$A:$A,0))&lt;&gt;INDEX(Vehículos!$B:$B,MATCH(D214,Vehículos!$A:$A,0)),"REVISAR: el vehículo no corresponde a la ruta",IF(INDEX(Rutas!$C:$C,MATCH(B214,Rutas!$A:$A,0))&lt;&gt;INDEX(Conductores!$D:$D,MATCH(C214,Conductores!$A:$A,0)),"REVISAR: el conductor no corresponde a la ruta",IF(OR(INDEX(Vehículos!$E:$E,MATCH(D214,Vehículos!$A:$A,0))="Taller",INDEX(Vehículos!$E:$E,MATCH(D214,Vehículos!$A:$A,0))="Fuera de servicio"),"REVISAR: vehículo no disponible",IF(INDEX(Conductores!$G:$G,MATCH(C214,Conductores!$A:$A,0))&lt;&gt;"Activo","REVISAR: conductor no activo",IF(COUNTIFS($A:$A,A214,$C:$C,C214)&gt;1,"REVISAR: conductor asignado dos veces",IF(COUNTIFS($A:$A,A214,$D:$D,D214)&gt;1,"REVISAR: vehículo asignado dos veces","OK"))))))))</f>
        <v/>
      </c>
      <c r="H214" s="9"/>
      <c r="I214" s="9"/>
      <c r="J214" s="14" t="str">
        <f aca="false">IF(OR(H214="",H214=0),"",I214/H214)</f>
        <v/>
      </c>
      <c r="K214" s="9"/>
      <c r="L214" s="9"/>
      <c r="M214" s="24"/>
      <c r="N214" s="9"/>
      <c r="O214" s="9" t="str">
        <f aca="false">IF(AND(OR(K214="En riesgo",K214="Atrasada"),L214=""),"Falta código de motivo",IF(AND(L214="OTR",N214=""),"Explica OTR en las notas",IF(AND(K214="Finalizada",I214&lt;H214,L214=""),"Falta código de motivo","")))</f>
        <v/>
      </c>
      <c r="P214" s="9" t="str">
        <f aca="false">IF(OR(D214="",A214=""),"",IF(COUNTIFS(Revision_previa!$B:$B,D214,Revision_previa!$A:$A,"&gt;="&amp;A214,Revision_previa!$A:$A,"&lt;"&amp;(A214+1))=0,"Sin revisión",IF(COUNTIFS(Revision_previa!$B:$B,D214,Revision_previa!$A:$A,"&gt;="&amp;A214,Revision_previa!$A:$A,"&lt;"&amp;(A214+1),Revision_previa!$D:$D,"Falla")+COUNTIFS(Revision_previa!$B:$B,D214,Revision_previa!$A:$A,"&gt;="&amp;A214,Revision_previa!$A:$A,"&lt;"&amp;(A214+1),Revision_previa!$E:$E,"Falla")+COUNTIFS(Revision_previa!$B:$B,D214,Revision_previa!$A:$A,"&gt;="&amp;A214,Revision_previa!$A:$A,"&lt;"&amp;(A214+1),Revision_previa!$F:$F,"Falla")+COUNTIFS(Revision_previa!$B:$B,D214,Revision_previa!$A:$A,"&gt;="&amp;A214,Revision_previa!$A:$A,"&lt;"&amp;(A214+1),Revision_previa!$H:$H,"Encendido")&gt;0,"No apto","Apto")))</f>
        <v/>
      </c>
    </row>
    <row r="215" customFormat="false" ht="15" hidden="false" customHeight="false" outlineLevel="0" collapsed="false">
      <c r="A215" s="23"/>
      <c r="B215" s="9"/>
      <c r="C215" s="9"/>
      <c r="D215" s="9"/>
      <c r="E215" s="9" t="str">
        <f aca="false">IF(C215="","",IFERROR(INDEX(Conductores!$B:$B,MATCH(C215,Conductores!$A:$A,0)),"ID no encontrado"))</f>
        <v/>
      </c>
      <c r="F215" s="9" t="str">
        <f aca="false">IF(B215="","",IFERROR(INDEX(Rutas!$B:$B,MATCH(B215,Rutas!$A:$A,0)),"ID no encontrado"))</f>
        <v/>
      </c>
      <c r="G215" s="9" t="str">
        <f aca="false">IF(OR(B215="",C215="",D215=""),"",IF(OR(ISNA(MATCH(B215,Rutas!$A:$A,0)),ISNA(MATCH(C215,Conductores!$A:$A,0)),ISNA(MATCH(D215,Vehículos!$A:$A,0))),"REVISAR: ID no encontrado",IF(INDEX(Rutas!$C:$C,MATCH(B215,Rutas!$A:$A,0))&lt;&gt;INDEX(Vehículos!$B:$B,MATCH(D215,Vehículos!$A:$A,0)),"REVISAR: el vehículo no corresponde a la ruta",IF(INDEX(Rutas!$C:$C,MATCH(B215,Rutas!$A:$A,0))&lt;&gt;INDEX(Conductores!$D:$D,MATCH(C215,Conductores!$A:$A,0)),"REVISAR: el conductor no corresponde a la ruta",IF(OR(INDEX(Vehículos!$E:$E,MATCH(D215,Vehículos!$A:$A,0))="Taller",INDEX(Vehículos!$E:$E,MATCH(D215,Vehículos!$A:$A,0))="Fuera de servicio"),"REVISAR: vehículo no disponible",IF(INDEX(Conductores!$G:$G,MATCH(C215,Conductores!$A:$A,0))&lt;&gt;"Activo","REVISAR: conductor no activo",IF(COUNTIFS($A:$A,A215,$C:$C,C215)&gt;1,"REVISAR: conductor asignado dos veces",IF(COUNTIFS($A:$A,A215,$D:$D,D215)&gt;1,"REVISAR: vehículo asignado dos veces","OK"))))))))</f>
        <v/>
      </c>
      <c r="H215" s="9"/>
      <c r="I215" s="9"/>
      <c r="J215" s="14" t="str">
        <f aca="false">IF(OR(H215="",H215=0),"",I215/H215)</f>
        <v/>
      </c>
      <c r="K215" s="9"/>
      <c r="L215" s="9"/>
      <c r="M215" s="24"/>
      <c r="N215" s="9"/>
      <c r="O215" s="9" t="str">
        <f aca="false">IF(AND(OR(K215="En riesgo",K215="Atrasada"),L215=""),"Falta código de motivo",IF(AND(L215="OTR",N215=""),"Explica OTR en las notas",IF(AND(K215="Finalizada",I215&lt;H215,L215=""),"Falta código de motivo","")))</f>
        <v/>
      </c>
      <c r="P215" s="9" t="str">
        <f aca="false">IF(OR(D215="",A215=""),"",IF(COUNTIFS(Revision_previa!$B:$B,D215,Revision_previa!$A:$A,"&gt;="&amp;A215,Revision_previa!$A:$A,"&lt;"&amp;(A215+1))=0,"Sin revisión",IF(COUNTIFS(Revision_previa!$B:$B,D215,Revision_previa!$A:$A,"&gt;="&amp;A215,Revision_previa!$A:$A,"&lt;"&amp;(A215+1),Revision_previa!$D:$D,"Falla")+COUNTIFS(Revision_previa!$B:$B,D215,Revision_previa!$A:$A,"&gt;="&amp;A215,Revision_previa!$A:$A,"&lt;"&amp;(A215+1),Revision_previa!$E:$E,"Falla")+COUNTIFS(Revision_previa!$B:$B,D215,Revision_previa!$A:$A,"&gt;="&amp;A215,Revision_previa!$A:$A,"&lt;"&amp;(A215+1),Revision_previa!$F:$F,"Falla")+COUNTIFS(Revision_previa!$B:$B,D215,Revision_previa!$A:$A,"&gt;="&amp;A215,Revision_previa!$A:$A,"&lt;"&amp;(A215+1),Revision_previa!$H:$H,"Encendido")&gt;0,"No apto","Apto")))</f>
        <v/>
      </c>
    </row>
    <row r="216" customFormat="false" ht="15" hidden="false" customHeight="false" outlineLevel="0" collapsed="false">
      <c r="A216" s="23"/>
      <c r="B216" s="9"/>
      <c r="C216" s="9"/>
      <c r="D216" s="9"/>
      <c r="E216" s="9" t="str">
        <f aca="false">IF(C216="","",IFERROR(INDEX(Conductores!$B:$B,MATCH(C216,Conductores!$A:$A,0)),"ID no encontrado"))</f>
        <v/>
      </c>
      <c r="F216" s="9" t="str">
        <f aca="false">IF(B216="","",IFERROR(INDEX(Rutas!$B:$B,MATCH(B216,Rutas!$A:$A,0)),"ID no encontrado"))</f>
        <v/>
      </c>
      <c r="G216" s="9" t="str">
        <f aca="false">IF(OR(B216="",C216="",D216=""),"",IF(OR(ISNA(MATCH(B216,Rutas!$A:$A,0)),ISNA(MATCH(C216,Conductores!$A:$A,0)),ISNA(MATCH(D216,Vehículos!$A:$A,0))),"REVISAR: ID no encontrado",IF(INDEX(Rutas!$C:$C,MATCH(B216,Rutas!$A:$A,0))&lt;&gt;INDEX(Vehículos!$B:$B,MATCH(D216,Vehículos!$A:$A,0)),"REVISAR: el vehículo no corresponde a la ruta",IF(INDEX(Rutas!$C:$C,MATCH(B216,Rutas!$A:$A,0))&lt;&gt;INDEX(Conductores!$D:$D,MATCH(C216,Conductores!$A:$A,0)),"REVISAR: el conductor no corresponde a la ruta",IF(OR(INDEX(Vehículos!$E:$E,MATCH(D216,Vehículos!$A:$A,0))="Taller",INDEX(Vehículos!$E:$E,MATCH(D216,Vehículos!$A:$A,0))="Fuera de servicio"),"REVISAR: vehículo no disponible",IF(INDEX(Conductores!$G:$G,MATCH(C216,Conductores!$A:$A,0))&lt;&gt;"Activo","REVISAR: conductor no activo",IF(COUNTIFS($A:$A,A216,$C:$C,C216)&gt;1,"REVISAR: conductor asignado dos veces",IF(COUNTIFS($A:$A,A216,$D:$D,D216)&gt;1,"REVISAR: vehículo asignado dos veces","OK"))))))))</f>
        <v/>
      </c>
      <c r="H216" s="9"/>
      <c r="I216" s="9"/>
      <c r="J216" s="14" t="str">
        <f aca="false">IF(OR(H216="",H216=0),"",I216/H216)</f>
        <v/>
      </c>
      <c r="K216" s="9"/>
      <c r="L216" s="9"/>
      <c r="M216" s="24"/>
      <c r="N216" s="9"/>
      <c r="O216" s="9" t="str">
        <f aca="false">IF(AND(OR(K216="En riesgo",K216="Atrasada"),L216=""),"Falta código de motivo",IF(AND(L216="OTR",N216=""),"Explica OTR en las notas",IF(AND(K216="Finalizada",I216&lt;H216,L216=""),"Falta código de motivo","")))</f>
        <v/>
      </c>
      <c r="P216" s="9" t="str">
        <f aca="false">IF(OR(D216="",A216=""),"",IF(COUNTIFS(Revision_previa!$B:$B,D216,Revision_previa!$A:$A,"&gt;="&amp;A216,Revision_previa!$A:$A,"&lt;"&amp;(A216+1))=0,"Sin revisión",IF(COUNTIFS(Revision_previa!$B:$B,D216,Revision_previa!$A:$A,"&gt;="&amp;A216,Revision_previa!$A:$A,"&lt;"&amp;(A216+1),Revision_previa!$D:$D,"Falla")+COUNTIFS(Revision_previa!$B:$B,D216,Revision_previa!$A:$A,"&gt;="&amp;A216,Revision_previa!$A:$A,"&lt;"&amp;(A216+1),Revision_previa!$E:$E,"Falla")+COUNTIFS(Revision_previa!$B:$B,D216,Revision_previa!$A:$A,"&gt;="&amp;A216,Revision_previa!$A:$A,"&lt;"&amp;(A216+1),Revision_previa!$F:$F,"Falla")+COUNTIFS(Revision_previa!$B:$B,D216,Revision_previa!$A:$A,"&gt;="&amp;A216,Revision_previa!$A:$A,"&lt;"&amp;(A216+1),Revision_previa!$H:$H,"Encendido")&gt;0,"No apto","Apto")))</f>
        <v/>
      </c>
    </row>
    <row r="217" customFormat="false" ht="15" hidden="false" customHeight="false" outlineLevel="0" collapsed="false">
      <c r="A217" s="23"/>
      <c r="B217" s="9"/>
      <c r="C217" s="9"/>
      <c r="D217" s="9"/>
      <c r="E217" s="9" t="str">
        <f aca="false">IF(C217="","",IFERROR(INDEX(Conductores!$B:$B,MATCH(C217,Conductores!$A:$A,0)),"ID no encontrado"))</f>
        <v/>
      </c>
      <c r="F217" s="9" t="str">
        <f aca="false">IF(B217="","",IFERROR(INDEX(Rutas!$B:$B,MATCH(B217,Rutas!$A:$A,0)),"ID no encontrado"))</f>
        <v/>
      </c>
      <c r="G217" s="9" t="str">
        <f aca="false">IF(OR(B217="",C217="",D217=""),"",IF(OR(ISNA(MATCH(B217,Rutas!$A:$A,0)),ISNA(MATCH(C217,Conductores!$A:$A,0)),ISNA(MATCH(D217,Vehículos!$A:$A,0))),"REVISAR: ID no encontrado",IF(INDEX(Rutas!$C:$C,MATCH(B217,Rutas!$A:$A,0))&lt;&gt;INDEX(Vehículos!$B:$B,MATCH(D217,Vehículos!$A:$A,0)),"REVISAR: el vehículo no corresponde a la ruta",IF(INDEX(Rutas!$C:$C,MATCH(B217,Rutas!$A:$A,0))&lt;&gt;INDEX(Conductores!$D:$D,MATCH(C217,Conductores!$A:$A,0)),"REVISAR: el conductor no corresponde a la ruta",IF(OR(INDEX(Vehículos!$E:$E,MATCH(D217,Vehículos!$A:$A,0))="Taller",INDEX(Vehículos!$E:$E,MATCH(D217,Vehículos!$A:$A,0))="Fuera de servicio"),"REVISAR: vehículo no disponible",IF(INDEX(Conductores!$G:$G,MATCH(C217,Conductores!$A:$A,0))&lt;&gt;"Activo","REVISAR: conductor no activo",IF(COUNTIFS($A:$A,A217,$C:$C,C217)&gt;1,"REVISAR: conductor asignado dos veces",IF(COUNTIFS($A:$A,A217,$D:$D,D217)&gt;1,"REVISAR: vehículo asignado dos veces","OK"))))))))</f>
        <v/>
      </c>
      <c r="H217" s="9"/>
      <c r="I217" s="9"/>
      <c r="J217" s="14" t="str">
        <f aca="false">IF(OR(H217="",H217=0),"",I217/H217)</f>
        <v/>
      </c>
      <c r="K217" s="9"/>
      <c r="L217" s="9"/>
      <c r="M217" s="24"/>
      <c r="N217" s="9"/>
      <c r="O217" s="9" t="str">
        <f aca="false">IF(AND(OR(K217="En riesgo",K217="Atrasada"),L217=""),"Falta código de motivo",IF(AND(L217="OTR",N217=""),"Explica OTR en las notas",IF(AND(K217="Finalizada",I217&lt;H217,L217=""),"Falta código de motivo","")))</f>
        <v/>
      </c>
      <c r="P217" s="9" t="str">
        <f aca="false">IF(OR(D217="",A217=""),"",IF(COUNTIFS(Revision_previa!$B:$B,D217,Revision_previa!$A:$A,"&gt;="&amp;A217,Revision_previa!$A:$A,"&lt;"&amp;(A217+1))=0,"Sin revisión",IF(COUNTIFS(Revision_previa!$B:$B,D217,Revision_previa!$A:$A,"&gt;="&amp;A217,Revision_previa!$A:$A,"&lt;"&amp;(A217+1),Revision_previa!$D:$D,"Falla")+COUNTIFS(Revision_previa!$B:$B,D217,Revision_previa!$A:$A,"&gt;="&amp;A217,Revision_previa!$A:$A,"&lt;"&amp;(A217+1),Revision_previa!$E:$E,"Falla")+COUNTIFS(Revision_previa!$B:$B,D217,Revision_previa!$A:$A,"&gt;="&amp;A217,Revision_previa!$A:$A,"&lt;"&amp;(A217+1),Revision_previa!$F:$F,"Falla")+COUNTIFS(Revision_previa!$B:$B,D217,Revision_previa!$A:$A,"&gt;="&amp;A217,Revision_previa!$A:$A,"&lt;"&amp;(A217+1),Revision_previa!$H:$H,"Encendido")&gt;0,"No apto","Apto")))</f>
        <v/>
      </c>
    </row>
    <row r="218" customFormat="false" ht="15" hidden="false" customHeight="false" outlineLevel="0" collapsed="false">
      <c r="A218" s="23"/>
      <c r="B218" s="9"/>
      <c r="C218" s="9"/>
      <c r="D218" s="9"/>
      <c r="E218" s="9" t="str">
        <f aca="false">IF(C218="","",IFERROR(INDEX(Conductores!$B:$B,MATCH(C218,Conductores!$A:$A,0)),"ID no encontrado"))</f>
        <v/>
      </c>
      <c r="F218" s="9" t="str">
        <f aca="false">IF(B218="","",IFERROR(INDEX(Rutas!$B:$B,MATCH(B218,Rutas!$A:$A,0)),"ID no encontrado"))</f>
        <v/>
      </c>
      <c r="G218" s="9" t="str">
        <f aca="false">IF(OR(B218="",C218="",D218=""),"",IF(OR(ISNA(MATCH(B218,Rutas!$A:$A,0)),ISNA(MATCH(C218,Conductores!$A:$A,0)),ISNA(MATCH(D218,Vehículos!$A:$A,0))),"REVISAR: ID no encontrado",IF(INDEX(Rutas!$C:$C,MATCH(B218,Rutas!$A:$A,0))&lt;&gt;INDEX(Vehículos!$B:$B,MATCH(D218,Vehículos!$A:$A,0)),"REVISAR: el vehículo no corresponde a la ruta",IF(INDEX(Rutas!$C:$C,MATCH(B218,Rutas!$A:$A,0))&lt;&gt;INDEX(Conductores!$D:$D,MATCH(C218,Conductores!$A:$A,0)),"REVISAR: el conductor no corresponde a la ruta",IF(OR(INDEX(Vehículos!$E:$E,MATCH(D218,Vehículos!$A:$A,0))="Taller",INDEX(Vehículos!$E:$E,MATCH(D218,Vehículos!$A:$A,0))="Fuera de servicio"),"REVISAR: vehículo no disponible",IF(INDEX(Conductores!$G:$G,MATCH(C218,Conductores!$A:$A,0))&lt;&gt;"Activo","REVISAR: conductor no activo",IF(COUNTIFS($A:$A,A218,$C:$C,C218)&gt;1,"REVISAR: conductor asignado dos veces",IF(COUNTIFS($A:$A,A218,$D:$D,D218)&gt;1,"REVISAR: vehículo asignado dos veces","OK"))))))))</f>
        <v/>
      </c>
      <c r="H218" s="9"/>
      <c r="I218" s="9"/>
      <c r="J218" s="14" t="str">
        <f aca="false">IF(OR(H218="",H218=0),"",I218/H218)</f>
        <v/>
      </c>
      <c r="K218" s="9"/>
      <c r="L218" s="9"/>
      <c r="M218" s="24"/>
      <c r="N218" s="9"/>
      <c r="O218" s="9" t="str">
        <f aca="false">IF(AND(OR(K218="En riesgo",K218="Atrasada"),L218=""),"Falta código de motivo",IF(AND(L218="OTR",N218=""),"Explica OTR en las notas",IF(AND(K218="Finalizada",I218&lt;H218,L218=""),"Falta código de motivo","")))</f>
        <v/>
      </c>
      <c r="P218" s="9" t="str">
        <f aca="false">IF(OR(D218="",A218=""),"",IF(COUNTIFS(Revision_previa!$B:$B,D218,Revision_previa!$A:$A,"&gt;="&amp;A218,Revision_previa!$A:$A,"&lt;"&amp;(A218+1))=0,"Sin revisión",IF(COUNTIFS(Revision_previa!$B:$B,D218,Revision_previa!$A:$A,"&gt;="&amp;A218,Revision_previa!$A:$A,"&lt;"&amp;(A218+1),Revision_previa!$D:$D,"Falla")+COUNTIFS(Revision_previa!$B:$B,D218,Revision_previa!$A:$A,"&gt;="&amp;A218,Revision_previa!$A:$A,"&lt;"&amp;(A218+1),Revision_previa!$E:$E,"Falla")+COUNTIFS(Revision_previa!$B:$B,D218,Revision_previa!$A:$A,"&gt;="&amp;A218,Revision_previa!$A:$A,"&lt;"&amp;(A218+1),Revision_previa!$F:$F,"Falla")+COUNTIFS(Revision_previa!$B:$B,D218,Revision_previa!$A:$A,"&gt;="&amp;A218,Revision_previa!$A:$A,"&lt;"&amp;(A218+1),Revision_previa!$H:$H,"Encendido")&gt;0,"No apto","Apto")))</f>
        <v/>
      </c>
    </row>
    <row r="219" customFormat="false" ht="15" hidden="false" customHeight="false" outlineLevel="0" collapsed="false">
      <c r="A219" s="23"/>
      <c r="B219" s="9"/>
      <c r="C219" s="9"/>
      <c r="D219" s="9"/>
      <c r="E219" s="9" t="str">
        <f aca="false">IF(C219="","",IFERROR(INDEX(Conductores!$B:$B,MATCH(C219,Conductores!$A:$A,0)),"ID no encontrado"))</f>
        <v/>
      </c>
      <c r="F219" s="9" t="str">
        <f aca="false">IF(B219="","",IFERROR(INDEX(Rutas!$B:$B,MATCH(B219,Rutas!$A:$A,0)),"ID no encontrado"))</f>
        <v/>
      </c>
      <c r="G219" s="9" t="str">
        <f aca="false">IF(OR(B219="",C219="",D219=""),"",IF(OR(ISNA(MATCH(B219,Rutas!$A:$A,0)),ISNA(MATCH(C219,Conductores!$A:$A,0)),ISNA(MATCH(D219,Vehículos!$A:$A,0))),"REVISAR: ID no encontrado",IF(INDEX(Rutas!$C:$C,MATCH(B219,Rutas!$A:$A,0))&lt;&gt;INDEX(Vehículos!$B:$B,MATCH(D219,Vehículos!$A:$A,0)),"REVISAR: el vehículo no corresponde a la ruta",IF(INDEX(Rutas!$C:$C,MATCH(B219,Rutas!$A:$A,0))&lt;&gt;INDEX(Conductores!$D:$D,MATCH(C219,Conductores!$A:$A,0)),"REVISAR: el conductor no corresponde a la ruta",IF(OR(INDEX(Vehículos!$E:$E,MATCH(D219,Vehículos!$A:$A,0))="Taller",INDEX(Vehículos!$E:$E,MATCH(D219,Vehículos!$A:$A,0))="Fuera de servicio"),"REVISAR: vehículo no disponible",IF(INDEX(Conductores!$G:$G,MATCH(C219,Conductores!$A:$A,0))&lt;&gt;"Activo","REVISAR: conductor no activo",IF(COUNTIFS($A:$A,A219,$C:$C,C219)&gt;1,"REVISAR: conductor asignado dos veces",IF(COUNTIFS($A:$A,A219,$D:$D,D219)&gt;1,"REVISAR: vehículo asignado dos veces","OK"))))))))</f>
        <v/>
      </c>
      <c r="H219" s="9"/>
      <c r="I219" s="9"/>
      <c r="J219" s="14" t="str">
        <f aca="false">IF(OR(H219="",H219=0),"",I219/H219)</f>
        <v/>
      </c>
      <c r="K219" s="9"/>
      <c r="L219" s="9"/>
      <c r="M219" s="24"/>
      <c r="N219" s="9"/>
      <c r="O219" s="9" t="str">
        <f aca="false">IF(AND(OR(K219="En riesgo",K219="Atrasada"),L219=""),"Falta código de motivo",IF(AND(L219="OTR",N219=""),"Explica OTR en las notas",IF(AND(K219="Finalizada",I219&lt;H219,L219=""),"Falta código de motivo","")))</f>
        <v/>
      </c>
      <c r="P219" s="9" t="str">
        <f aca="false">IF(OR(D219="",A219=""),"",IF(COUNTIFS(Revision_previa!$B:$B,D219,Revision_previa!$A:$A,"&gt;="&amp;A219,Revision_previa!$A:$A,"&lt;"&amp;(A219+1))=0,"Sin revisión",IF(COUNTIFS(Revision_previa!$B:$B,D219,Revision_previa!$A:$A,"&gt;="&amp;A219,Revision_previa!$A:$A,"&lt;"&amp;(A219+1),Revision_previa!$D:$D,"Falla")+COUNTIFS(Revision_previa!$B:$B,D219,Revision_previa!$A:$A,"&gt;="&amp;A219,Revision_previa!$A:$A,"&lt;"&amp;(A219+1),Revision_previa!$E:$E,"Falla")+COUNTIFS(Revision_previa!$B:$B,D219,Revision_previa!$A:$A,"&gt;="&amp;A219,Revision_previa!$A:$A,"&lt;"&amp;(A219+1),Revision_previa!$F:$F,"Falla")+COUNTIFS(Revision_previa!$B:$B,D219,Revision_previa!$A:$A,"&gt;="&amp;A219,Revision_previa!$A:$A,"&lt;"&amp;(A219+1),Revision_previa!$H:$H,"Encendido")&gt;0,"No apto","Apto")))</f>
        <v/>
      </c>
    </row>
    <row r="220" customFormat="false" ht="15" hidden="false" customHeight="false" outlineLevel="0" collapsed="false">
      <c r="A220" s="23"/>
      <c r="B220" s="9"/>
      <c r="C220" s="9"/>
      <c r="D220" s="9"/>
      <c r="E220" s="9" t="str">
        <f aca="false">IF(C220="","",IFERROR(INDEX(Conductores!$B:$B,MATCH(C220,Conductores!$A:$A,0)),"ID no encontrado"))</f>
        <v/>
      </c>
      <c r="F220" s="9" t="str">
        <f aca="false">IF(B220="","",IFERROR(INDEX(Rutas!$B:$B,MATCH(B220,Rutas!$A:$A,0)),"ID no encontrado"))</f>
        <v/>
      </c>
      <c r="G220" s="9" t="str">
        <f aca="false">IF(OR(B220="",C220="",D220=""),"",IF(OR(ISNA(MATCH(B220,Rutas!$A:$A,0)),ISNA(MATCH(C220,Conductores!$A:$A,0)),ISNA(MATCH(D220,Vehículos!$A:$A,0))),"REVISAR: ID no encontrado",IF(INDEX(Rutas!$C:$C,MATCH(B220,Rutas!$A:$A,0))&lt;&gt;INDEX(Vehículos!$B:$B,MATCH(D220,Vehículos!$A:$A,0)),"REVISAR: el vehículo no corresponde a la ruta",IF(INDEX(Rutas!$C:$C,MATCH(B220,Rutas!$A:$A,0))&lt;&gt;INDEX(Conductores!$D:$D,MATCH(C220,Conductores!$A:$A,0)),"REVISAR: el conductor no corresponde a la ruta",IF(OR(INDEX(Vehículos!$E:$E,MATCH(D220,Vehículos!$A:$A,0))="Taller",INDEX(Vehículos!$E:$E,MATCH(D220,Vehículos!$A:$A,0))="Fuera de servicio"),"REVISAR: vehículo no disponible",IF(INDEX(Conductores!$G:$G,MATCH(C220,Conductores!$A:$A,0))&lt;&gt;"Activo","REVISAR: conductor no activo",IF(COUNTIFS($A:$A,A220,$C:$C,C220)&gt;1,"REVISAR: conductor asignado dos veces",IF(COUNTIFS($A:$A,A220,$D:$D,D220)&gt;1,"REVISAR: vehículo asignado dos veces","OK"))))))))</f>
        <v/>
      </c>
      <c r="H220" s="9"/>
      <c r="I220" s="9"/>
      <c r="J220" s="14" t="str">
        <f aca="false">IF(OR(H220="",H220=0),"",I220/H220)</f>
        <v/>
      </c>
      <c r="K220" s="9"/>
      <c r="L220" s="9"/>
      <c r="M220" s="24"/>
      <c r="N220" s="9"/>
      <c r="O220" s="9" t="str">
        <f aca="false">IF(AND(OR(K220="En riesgo",K220="Atrasada"),L220=""),"Falta código de motivo",IF(AND(L220="OTR",N220=""),"Explica OTR en las notas",IF(AND(K220="Finalizada",I220&lt;H220,L220=""),"Falta código de motivo","")))</f>
        <v/>
      </c>
      <c r="P220" s="9" t="str">
        <f aca="false">IF(OR(D220="",A220=""),"",IF(COUNTIFS(Revision_previa!$B:$B,D220,Revision_previa!$A:$A,"&gt;="&amp;A220,Revision_previa!$A:$A,"&lt;"&amp;(A220+1))=0,"Sin revisión",IF(COUNTIFS(Revision_previa!$B:$B,D220,Revision_previa!$A:$A,"&gt;="&amp;A220,Revision_previa!$A:$A,"&lt;"&amp;(A220+1),Revision_previa!$D:$D,"Falla")+COUNTIFS(Revision_previa!$B:$B,D220,Revision_previa!$A:$A,"&gt;="&amp;A220,Revision_previa!$A:$A,"&lt;"&amp;(A220+1),Revision_previa!$E:$E,"Falla")+COUNTIFS(Revision_previa!$B:$B,D220,Revision_previa!$A:$A,"&gt;="&amp;A220,Revision_previa!$A:$A,"&lt;"&amp;(A220+1),Revision_previa!$F:$F,"Falla")+COUNTIFS(Revision_previa!$B:$B,D220,Revision_previa!$A:$A,"&gt;="&amp;A220,Revision_previa!$A:$A,"&lt;"&amp;(A220+1),Revision_previa!$H:$H,"Encendido")&gt;0,"No apto","Apto")))</f>
        <v/>
      </c>
    </row>
    <row r="221" customFormat="false" ht="15" hidden="false" customHeight="false" outlineLevel="0" collapsed="false">
      <c r="A221" s="23"/>
      <c r="B221" s="9"/>
      <c r="C221" s="9"/>
      <c r="D221" s="9"/>
      <c r="E221" s="9" t="str">
        <f aca="false">IF(C221="","",IFERROR(INDEX(Conductores!$B:$B,MATCH(C221,Conductores!$A:$A,0)),"ID no encontrado"))</f>
        <v/>
      </c>
      <c r="F221" s="9" t="str">
        <f aca="false">IF(B221="","",IFERROR(INDEX(Rutas!$B:$B,MATCH(B221,Rutas!$A:$A,0)),"ID no encontrado"))</f>
        <v/>
      </c>
      <c r="G221" s="9" t="str">
        <f aca="false">IF(OR(B221="",C221="",D221=""),"",IF(OR(ISNA(MATCH(B221,Rutas!$A:$A,0)),ISNA(MATCH(C221,Conductores!$A:$A,0)),ISNA(MATCH(D221,Vehículos!$A:$A,0))),"REVISAR: ID no encontrado",IF(INDEX(Rutas!$C:$C,MATCH(B221,Rutas!$A:$A,0))&lt;&gt;INDEX(Vehículos!$B:$B,MATCH(D221,Vehículos!$A:$A,0)),"REVISAR: el vehículo no corresponde a la ruta",IF(INDEX(Rutas!$C:$C,MATCH(B221,Rutas!$A:$A,0))&lt;&gt;INDEX(Conductores!$D:$D,MATCH(C221,Conductores!$A:$A,0)),"REVISAR: el conductor no corresponde a la ruta",IF(OR(INDEX(Vehículos!$E:$E,MATCH(D221,Vehículos!$A:$A,0))="Taller",INDEX(Vehículos!$E:$E,MATCH(D221,Vehículos!$A:$A,0))="Fuera de servicio"),"REVISAR: vehículo no disponible",IF(INDEX(Conductores!$G:$G,MATCH(C221,Conductores!$A:$A,0))&lt;&gt;"Activo","REVISAR: conductor no activo",IF(COUNTIFS($A:$A,A221,$C:$C,C221)&gt;1,"REVISAR: conductor asignado dos veces",IF(COUNTIFS($A:$A,A221,$D:$D,D221)&gt;1,"REVISAR: vehículo asignado dos veces","OK"))))))))</f>
        <v/>
      </c>
      <c r="H221" s="9"/>
      <c r="I221" s="9"/>
      <c r="J221" s="14" t="str">
        <f aca="false">IF(OR(H221="",H221=0),"",I221/H221)</f>
        <v/>
      </c>
      <c r="K221" s="9"/>
      <c r="L221" s="9"/>
      <c r="M221" s="24"/>
      <c r="N221" s="9"/>
      <c r="O221" s="9" t="str">
        <f aca="false">IF(AND(OR(K221="En riesgo",K221="Atrasada"),L221=""),"Falta código de motivo",IF(AND(L221="OTR",N221=""),"Explica OTR en las notas",IF(AND(K221="Finalizada",I221&lt;H221,L221=""),"Falta código de motivo","")))</f>
        <v/>
      </c>
      <c r="P221" s="9" t="str">
        <f aca="false">IF(OR(D221="",A221=""),"",IF(COUNTIFS(Revision_previa!$B:$B,D221,Revision_previa!$A:$A,"&gt;="&amp;A221,Revision_previa!$A:$A,"&lt;"&amp;(A221+1))=0,"Sin revisión",IF(COUNTIFS(Revision_previa!$B:$B,D221,Revision_previa!$A:$A,"&gt;="&amp;A221,Revision_previa!$A:$A,"&lt;"&amp;(A221+1),Revision_previa!$D:$D,"Falla")+COUNTIFS(Revision_previa!$B:$B,D221,Revision_previa!$A:$A,"&gt;="&amp;A221,Revision_previa!$A:$A,"&lt;"&amp;(A221+1),Revision_previa!$E:$E,"Falla")+COUNTIFS(Revision_previa!$B:$B,D221,Revision_previa!$A:$A,"&gt;="&amp;A221,Revision_previa!$A:$A,"&lt;"&amp;(A221+1),Revision_previa!$F:$F,"Falla")+COUNTIFS(Revision_previa!$B:$B,D221,Revision_previa!$A:$A,"&gt;="&amp;A221,Revision_previa!$A:$A,"&lt;"&amp;(A221+1),Revision_previa!$H:$H,"Encendido")&gt;0,"No apto","Apto")))</f>
        <v/>
      </c>
    </row>
    <row r="222" customFormat="false" ht="15" hidden="false" customHeight="false" outlineLevel="0" collapsed="false">
      <c r="A222" s="23"/>
      <c r="B222" s="9"/>
      <c r="C222" s="9"/>
      <c r="D222" s="9"/>
      <c r="E222" s="9" t="str">
        <f aca="false">IF(C222="","",IFERROR(INDEX(Conductores!$B:$B,MATCH(C222,Conductores!$A:$A,0)),"ID no encontrado"))</f>
        <v/>
      </c>
      <c r="F222" s="9" t="str">
        <f aca="false">IF(B222="","",IFERROR(INDEX(Rutas!$B:$B,MATCH(B222,Rutas!$A:$A,0)),"ID no encontrado"))</f>
        <v/>
      </c>
      <c r="G222" s="9" t="str">
        <f aca="false">IF(OR(B222="",C222="",D222=""),"",IF(OR(ISNA(MATCH(B222,Rutas!$A:$A,0)),ISNA(MATCH(C222,Conductores!$A:$A,0)),ISNA(MATCH(D222,Vehículos!$A:$A,0))),"REVISAR: ID no encontrado",IF(INDEX(Rutas!$C:$C,MATCH(B222,Rutas!$A:$A,0))&lt;&gt;INDEX(Vehículos!$B:$B,MATCH(D222,Vehículos!$A:$A,0)),"REVISAR: el vehículo no corresponde a la ruta",IF(INDEX(Rutas!$C:$C,MATCH(B222,Rutas!$A:$A,0))&lt;&gt;INDEX(Conductores!$D:$D,MATCH(C222,Conductores!$A:$A,0)),"REVISAR: el conductor no corresponde a la ruta",IF(OR(INDEX(Vehículos!$E:$E,MATCH(D222,Vehículos!$A:$A,0))="Taller",INDEX(Vehículos!$E:$E,MATCH(D222,Vehículos!$A:$A,0))="Fuera de servicio"),"REVISAR: vehículo no disponible",IF(INDEX(Conductores!$G:$G,MATCH(C222,Conductores!$A:$A,0))&lt;&gt;"Activo","REVISAR: conductor no activo",IF(COUNTIFS($A:$A,A222,$C:$C,C222)&gt;1,"REVISAR: conductor asignado dos veces",IF(COUNTIFS($A:$A,A222,$D:$D,D222)&gt;1,"REVISAR: vehículo asignado dos veces","OK"))))))))</f>
        <v/>
      </c>
      <c r="H222" s="9"/>
      <c r="I222" s="9"/>
      <c r="J222" s="14" t="str">
        <f aca="false">IF(OR(H222="",H222=0),"",I222/H222)</f>
        <v/>
      </c>
      <c r="K222" s="9"/>
      <c r="L222" s="9"/>
      <c r="M222" s="24"/>
      <c r="N222" s="9"/>
      <c r="O222" s="9" t="str">
        <f aca="false">IF(AND(OR(K222="En riesgo",K222="Atrasada"),L222=""),"Falta código de motivo",IF(AND(L222="OTR",N222=""),"Explica OTR en las notas",IF(AND(K222="Finalizada",I222&lt;H222,L222=""),"Falta código de motivo","")))</f>
        <v/>
      </c>
      <c r="P222" s="9" t="str">
        <f aca="false">IF(OR(D222="",A222=""),"",IF(COUNTIFS(Revision_previa!$B:$B,D222,Revision_previa!$A:$A,"&gt;="&amp;A222,Revision_previa!$A:$A,"&lt;"&amp;(A222+1))=0,"Sin revisión",IF(COUNTIFS(Revision_previa!$B:$B,D222,Revision_previa!$A:$A,"&gt;="&amp;A222,Revision_previa!$A:$A,"&lt;"&amp;(A222+1),Revision_previa!$D:$D,"Falla")+COUNTIFS(Revision_previa!$B:$B,D222,Revision_previa!$A:$A,"&gt;="&amp;A222,Revision_previa!$A:$A,"&lt;"&amp;(A222+1),Revision_previa!$E:$E,"Falla")+COUNTIFS(Revision_previa!$B:$B,D222,Revision_previa!$A:$A,"&gt;="&amp;A222,Revision_previa!$A:$A,"&lt;"&amp;(A222+1),Revision_previa!$F:$F,"Falla")+COUNTIFS(Revision_previa!$B:$B,D222,Revision_previa!$A:$A,"&gt;="&amp;A222,Revision_previa!$A:$A,"&lt;"&amp;(A222+1),Revision_previa!$H:$H,"Encendido")&gt;0,"No apto","Apto")))</f>
        <v/>
      </c>
    </row>
    <row r="223" customFormat="false" ht="15" hidden="false" customHeight="false" outlineLevel="0" collapsed="false">
      <c r="A223" s="23"/>
      <c r="B223" s="9"/>
      <c r="C223" s="9"/>
      <c r="D223" s="9"/>
      <c r="E223" s="9" t="str">
        <f aca="false">IF(C223="","",IFERROR(INDEX(Conductores!$B:$B,MATCH(C223,Conductores!$A:$A,0)),"ID no encontrado"))</f>
        <v/>
      </c>
      <c r="F223" s="9" t="str">
        <f aca="false">IF(B223="","",IFERROR(INDEX(Rutas!$B:$B,MATCH(B223,Rutas!$A:$A,0)),"ID no encontrado"))</f>
        <v/>
      </c>
      <c r="G223" s="9" t="str">
        <f aca="false">IF(OR(B223="",C223="",D223=""),"",IF(OR(ISNA(MATCH(B223,Rutas!$A:$A,0)),ISNA(MATCH(C223,Conductores!$A:$A,0)),ISNA(MATCH(D223,Vehículos!$A:$A,0))),"REVISAR: ID no encontrado",IF(INDEX(Rutas!$C:$C,MATCH(B223,Rutas!$A:$A,0))&lt;&gt;INDEX(Vehículos!$B:$B,MATCH(D223,Vehículos!$A:$A,0)),"REVISAR: el vehículo no corresponde a la ruta",IF(INDEX(Rutas!$C:$C,MATCH(B223,Rutas!$A:$A,0))&lt;&gt;INDEX(Conductores!$D:$D,MATCH(C223,Conductores!$A:$A,0)),"REVISAR: el conductor no corresponde a la ruta",IF(OR(INDEX(Vehículos!$E:$E,MATCH(D223,Vehículos!$A:$A,0))="Taller",INDEX(Vehículos!$E:$E,MATCH(D223,Vehículos!$A:$A,0))="Fuera de servicio"),"REVISAR: vehículo no disponible",IF(INDEX(Conductores!$G:$G,MATCH(C223,Conductores!$A:$A,0))&lt;&gt;"Activo","REVISAR: conductor no activo",IF(COUNTIFS($A:$A,A223,$C:$C,C223)&gt;1,"REVISAR: conductor asignado dos veces",IF(COUNTIFS($A:$A,A223,$D:$D,D223)&gt;1,"REVISAR: vehículo asignado dos veces","OK"))))))))</f>
        <v/>
      </c>
      <c r="H223" s="9"/>
      <c r="I223" s="9"/>
      <c r="J223" s="14" t="str">
        <f aca="false">IF(OR(H223="",H223=0),"",I223/H223)</f>
        <v/>
      </c>
      <c r="K223" s="9"/>
      <c r="L223" s="9"/>
      <c r="M223" s="24"/>
      <c r="N223" s="9"/>
      <c r="O223" s="9" t="str">
        <f aca="false">IF(AND(OR(K223="En riesgo",K223="Atrasada"),L223=""),"Falta código de motivo",IF(AND(L223="OTR",N223=""),"Explica OTR en las notas",IF(AND(K223="Finalizada",I223&lt;H223,L223=""),"Falta código de motivo","")))</f>
        <v/>
      </c>
      <c r="P223" s="9" t="str">
        <f aca="false">IF(OR(D223="",A223=""),"",IF(COUNTIFS(Revision_previa!$B:$B,D223,Revision_previa!$A:$A,"&gt;="&amp;A223,Revision_previa!$A:$A,"&lt;"&amp;(A223+1))=0,"Sin revisión",IF(COUNTIFS(Revision_previa!$B:$B,D223,Revision_previa!$A:$A,"&gt;="&amp;A223,Revision_previa!$A:$A,"&lt;"&amp;(A223+1),Revision_previa!$D:$D,"Falla")+COUNTIFS(Revision_previa!$B:$B,D223,Revision_previa!$A:$A,"&gt;="&amp;A223,Revision_previa!$A:$A,"&lt;"&amp;(A223+1),Revision_previa!$E:$E,"Falla")+COUNTIFS(Revision_previa!$B:$B,D223,Revision_previa!$A:$A,"&gt;="&amp;A223,Revision_previa!$A:$A,"&lt;"&amp;(A223+1),Revision_previa!$F:$F,"Falla")+COUNTIFS(Revision_previa!$B:$B,D223,Revision_previa!$A:$A,"&gt;="&amp;A223,Revision_previa!$A:$A,"&lt;"&amp;(A223+1),Revision_previa!$H:$H,"Encendido")&gt;0,"No apto","Apto")))</f>
        <v/>
      </c>
    </row>
    <row r="224" customFormat="false" ht="15" hidden="false" customHeight="false" outlineLevel="0" collapsed="false">
      <c r="A224" s="23"/>
      <c r="B224" s="9"/>
      <c r="C224" s="9"/>
      <c r="D224" s="9"/>
      <c r="E224" s="9" t="str">
        <f aca="false">IF(C224="","",IFERROR(INDEX(Conductores!$B:$B,MATCH(C224,Conductores!$A:$A,0)),"ID no encontrado"))</f>
        <v/>
      </c>
      <c r="F224" s="9" t="str">
        <f aca="false">IF(B224="","",IFERROR(INDEX(Rutas!$B:$B,MATCH(B224,Rutas!$A:$A,0)),"ID no encontrado"))</f>
        <v/>
      </c>
      <c r="G224" s="9" t="str">
        <f aca="false">IF(OR(B224="",C224="",D224=""),"",IF(OR(ISNA(MATCH(B224,Rutas!$A:$A,0)),ISNA(MATCH(C224,Conductores!$A:$A,0)),ISNA(MATCH(D224,Vehículos!$A:$A,0))),"REVISAR: ID no encontrado",IF(INDEX(Rutas!$C:$C,MATCH(B224,Rutas!$A:$A,0))&lt;&gt;INDEX(Vehículos!$B:$B,MATCH(D224,Vehículos!$A:$A,0)),"REVISAR: el vehículo no corresponde a la ruta",IF(INDEX(Rutas!$C:$C,MATCH(B224,Rutas!$A:$A,0))&lt;&gt;INDEX(Conductores!$D:$D,MATCH(C224,Conductores!$A:$A,0)),"REVISAR: el conductor no corresponde a la ruta",IF(OR(INDEX(Vehículos!$E:$E,MATCH(D224,Vehículos!$A:$A,0))="Taller",INDEX(Vehículos!$E:$E,MATCH(D224,Vehículos!$A:$A,0))="Fuera de servicio"),"REVISAR: vehículo no disponible",IF(INDEX(Conductores!$G:$G,MATCH(C224,Conductores!$A:$A,0))&lt;&gt;"Activo","REVISAR: conductor no activo",IF(COUNTIFS($A:$A,A224,$C:$C,C224)&gt;1,"REVISAR: conductor asignado dos veces",IF(COUNTIFS($A:$A,A224,$D:$D,D224)&gt;1,"REVISAR: vehículo asignado dos veces","OK"))))))))</f>
        <v/>
      </c>
      <c r="H224" s="9"/>
      <c r="I224" s="9"/>
      <c r="J224" s="14" t="str">
        <f aca="false">IF(OR(H224="",H224=0),"",I224/H224)</f>
        <v/>
      </c>
      <c r="K224" s="9"/>
      <c r="L224" s="9"/>
      <c r="M224" s="24"/>
      <c r="N224" s="9"/>
      <c r="O224" s="9" t="str">
        <f aca="false">IF(AND(OR(K224="En riesgo",K224="Atrasada"),L224=""),"Falta código de motivo",IF(AND(L224="OTR",N224=""),"Explica OTR en las notas",IF(AND(K224="Finalizada",I224&lt;H224,L224=""),"Falta código de motivo","")))</f>
        <v/>
      </c>
      <c r="P224" s="9" t="str">
        <f aca="false">IF(OR(D224="",A224=""),"",IF(COUNTIFS(Revision_previa!$B:$B,D224,Revision_previa!$A:$A,"&gt;="&amp;A224,Revision_previa!$A:$A,"&lt;"&amp;(A224+1))=0,"Sin revisión",IF(COUNTIFS(Revision_previa!$B:$B,D224,Revision_previa!$A:$A,"&gt;="&amp;A224,Revision_previa!$A:$A,"&lt;"&amp;(A224+1),Revision_previa!$D:$D,"Falla")+COUNTIFS(Revision_previa!$B:$B,D224,Revision_previa!$A:$A,"&gt;="&amp;A224,Revision_previa!$A:$A,"&lt;"&amp;(A224+1),Revision_previa!$E:$E,"Falla")+COUNTIFS(Revision_previa!$B:$B,D224,Revision_previa!$A:$A,"&gt;="&amp;A224,Revision_previa!$A:$A,"&lt;"&amp;(A224+1),Revision_previa!$F:$F,"Falla")+COUNTIFS(Revision_previa!$B:$B,D224,Revision_previa!$A:$A,"&gt;="&amp;A224,Revision_previa!$A:$A,"&lt;"&amp;(A224+1),Revision_previa!$H:$H,"Encendido")&gt;0,"No apto","Apto")))</f>
        <v/>
      </c>
    </row>
    <row r="225" customFormat="false" ht="15" hidden="false" customHeight="false" outlineLevel="0" collapsed="false">
      <c r="A225" s="23"/>
      <c r="B225" s="9"/>
      <c r="C225" s="9"/>
      <c r="D225" s="9"/>
      <c r="E225" s="9" t="str">
        <f aca="false">IF(C225="","",IFERROR(INDEX(Conductores!$B:$B,MATCH(C225,Conductores!$A:$A,0)),"ID no encontrado"))</f>
        <v/>
      </c>
      <c r="F225" s="9" t="str">
        <f aca="false">IF(B225="","",IFERROR(INDEX(Rutas!$B:$B,MATCH(B225,Rutas!$A:$A,0)),"ID no encontrado"))</f>
        <v/>
      </c>
      <c r="G225" s="9" t="str">
        <f aca="false">IF(OR(B225="",C225="",D225=""),"",IF(OR(ISNA(MATCH(B225,Rutas!$A:$A,0)),ISNA(MATCH(C225,Conductores!$A:$A,0)),ISNA(MATCH(D225,Vehículos!$A:$A,0))),"REVISAR: ID no encontrado",IF(INDEX(Rutas!$C:$C,MATCH(B225,Rutas!$A:$A,0))&lt;&gt;INDEX(Vehículos!$B:$B,MATCH(D225,Vehículos!$A:$A,0)),"REVISAR: el vehículo no corresponde a la ruta",IF(INDEX(Rutas!$C:$C,MATCH(B225,Rutas!$A:$A,0))&lt;&gt;INDEX(Conductores!$D:$D,MATCH(C225,Conductores!$A:$A,0)),"REVISAR: el conductor no corresponde a la ruta",IF(OR(INDEX(Vehículos!$E:$E,MATCH(D225,Vehículos!$A:$A,0))="Taller",INDEX(Vehículos!$E:$E,MATCH(D225,Vehículos!$A:$A,0))="Fuera de servicio"),"REVISAR: vehículo no disponible",IF(INDEX(Conductores!$G:$G,MATCH(C225,Conductores!$A:$A,0))&lt;&gt;"Activo","REVISAR: conductor no activo",IF(COUNTIFS($A:$A,A225,$C:$C,C225)&gt;1,"REVISAR: conductor asignado dos veces",IF(COUNTIFS($A:$A,A225,$D:$D,D225)&gt;1,"REVISAR: vehículo asignado dos veces","OK"))))))))</f>
        <v/>
      </c>
      <c r="H225" s="9"/>
      <c r="I225" s="9"/>
      <c r="J225" s="14" t="str">
        <f aca="false">IF(OR(H225="",H225=0),"",I225/H225)</f>
        <v/>
      </c>
      <c r="K225" s="9"/>
      <c r="L225" s="9"/>
      <c r="M225" s="24"/>
      <c r="N225" s="9"/>
      <c r="O225" s="9" t="str">
        <f aca="false">IF(AND(OR(K225="En riesgo",K225="Atrasada"),L225=""),"Falta código de motivo",IF(AND(L225="OTR",N225=""),"Explica OTR en las notas",IF(AND(K225="Finalizada",I225&lt;H225,L225=""),"Falta código de motivo","")))</f>
        <v/>
      </c>
      <c r="P225" s="9" t="str">
        <f aca="false">IF(OR(D225="",A225=""),"",IF(COUNTIFS(Revision_previa!$B:$B,D225,Revision_previa!$A:$A,"&gt;="&amp;A225,Revision_previa!$A:$A,"&lt;"&amp;(A225+1))=0,"Sin revisión",IF(COUNTIFS(Revision_previa!$B:$B,D225,Revision_previa!$A:$A,"&gt;="&amp;A225,Revision_previa!$A:$A,"&lt;"&amp;(A225+1),Revision_previa!$D:$D,"Falla")+COUNTIFS(Revision_previa!$B:$B,D225,Revision_previa!$A:$A,"&gt;="&amp;A225,Revision_previa!$A:$A,"&lt;"&amp;(A225+1),Revision_previa!$E:$E,"Falla")+COUNTIFS(Revision_previa!$B:$B,D225,Revision_previa!$A:$A,"&gt;="&amp;A225,Revision_previa!$A:$A,"&lt;"&amp;(A225+1),Revision_previa!$F:$F,"Falla")+COUNTIFS(Revision_previa!$B:$B,D225,Revision_previa!$A:$A,"&gt;="&amp;A225,Revision_previa!$A:$A,"&lt;"&amp;(A225+1),Revision_previa!$H:$H,"Encendido")&gt;0,"No apto","Apto")))</f>
        <v/>
      </c>
    </row>
    <row r="226" customFormat="false" ht="15" hidden="false" customHeight="false" outlineLevel="0" collapsed="false">
      <c r="A226" s="23"/>
      <c r="B226" s="9"/>
      <c r="C226" s="9"/>
      <c r="D226" s="9"/>
      <c r="E226" s="9" t="str">
        <f aca="false">IF(C226="","",IFERROR(INDEX(Conductores!$B:$B,MATCH(C226,Conductores!$A:$A,0)),"ID no encontrado"))</f>
        <v/>
      </c>
      <c r="F226" s="9" t="str">
        <f aca="false">IF(B226="","",IFERROR(INDEX(Rutas!$B:$B,MATCH(B226,Rutas!$A:$A,0)),"ID no encontrado"))</f>
        <v/>
      </c>
      <c r="G226" s="9" t="str">
        <f aca="false">IF(OR(B226="",C226="",D226=""),"",IF(OR(ISNA(MATCH(B226,Rutas!$A:$A,0)),ISNA(MATCH(C226,Conductores!$A:$A,0)),ISNA(MATCH(D226,Vehículos!$A:$A,0))),"REVISAR: ID no encontrado",IF(INDEX(Rutas!$C:$C,MATCH(B226,Rutas!$A:$A,0))&lt;&gt;INDEX(Vehículos!$B:$B,MATCH(D226,Vehículos!$A:$A,0)),"REVISAR: el vehículo no corresponde a la ruta",IF(INDEX(Rutas!$C:$C,MATCH(B226,Rutas!$A:$A,0))&lt;&gt;INDEX(Conductores!$D:$D,MATCH(C226,Conductores!$A:$A,0)),"REVISAR: el conductor no corresponde a la ruta",IF(OR(INDEX(Vehículos!$E:$E,MATCH(D226,Vehículos!$A:$A,0))="Taller",INDEX(Vehículos!$E:$E,MATCH(D226,Vehículos!$A:$A,0))="Fuera de servicio"),"REVISAR: vehículo no disponible",IF(INDEX(Conductores!$G:$G,MATCH(C226,Conductores!$A:$A,0))&lt;&gt;"Activo","REVISAR: conductor no activo",IF(COUNTIFS($A:$A,A226,$C:$C,C226)&gt;1,"REVISAR: conductor asignado dos veces",IF(COUNTIFS($A:$A,A226,$D:$D,D226)&gt;1,"REVISAR: vehículo asignado dos veces","OK"))))))))</f>
        <v/>
      </c>
      <c r="H226" s="9"/>
      <c r="I226" s="9"/>
      <c r="J226" s="14" t="str">
        <f aca="false">IF(OR(H226="",H226=0),"",I226/H226)</f>
        <v/>
      </c>
      <c r="K226" s="9"/>
      <c r="L226" s="9"/>
      <c r="M226" s="24"/>
      <c r="N226" s="9"/>
      <c r="O226" s="9" t="str">
        <f aca="false">IF(AND(OR(K226="En riesgo",K226="Atrasada"),L226=""),"Falta código de motivo",IF(AND(L226="OTR",N226=""),"Explica OTR en las notas",IF(AND(K226="Finalizada",I226&lt;H226,L226=""),"Falta código de motivo","")))</f>
        <v/>
      </c>
      <c r="P226" s="9" t="str">
        <f aca="false">IF(OR(D226="",A226=""),"",IF(COUNTIFS(Revision_previa!$B:$B,D226,Revision_previa!$A:$A,"&gt;="&amp;A226,Revision_previa!$A:$A,"&lt;"&amp;(A226+1))=0,"Sin revisión",IF(COUNTIFS(Revision_previa!$B:$B,D226,Revision_previa!$A:$A,"&gt;="&amp;A226,Revision_previa!$A:$A,"&lt;"&amp;(A226+1),Revision_previa!$D:$D,"Falla")+COUNTIFS(Revision_previa!$B:$B,D226,Revision_previa!$A:$A,"&gt;="&amp;A226,Revision_previa!$A:$A,"&lt;"&amp;(A226+1),Revision_previa!$E:$E,"Falla")+COUNTIFS(Revision_previa!$B:$B,D226,Revision_previa!$A:$A,"&gt;="&amp;A226,Revision_previa!$A:$A,"&lt;"&amp;(A226+1),Revision_previa!$F:$F,"Falla")+COUNTIFS(Revision_previa!$B:$B,D226,Revision_previa!$A:$A,"&gt;="&amp;A226,Revision_previa!$A:$A,"&lt;"&amp;(A226+1),Revision_previa!$H:$H,"Encendido")&gt;0,"No apto","Apto")))</f>
        <v/>
      </c>
    </row>
    <row r="227" customFormat="false" ht="15" hidden="false" customHeight="false" outlineLevel="0" collapsed="false">
      <c r="A227" s="23"/>
      <c r="B227" s="9"/>
      <c r="C227" s="9"/>
      <c r="D227" s="9"/>
      <c r="E227" s="9" t="str">
        <f aca="false">IF(C227="","",IFERROR(INDEX(Conductores!$B:$B,MATCH(C227,Conductores!$A:$A,0)),"ID no encontrado"))</f>
        <v/>
      </c>
      <c r="F227" s="9" t="str">
        <f aca="false">IF(B227="","",IFERROR(INDEX(Rutas!$B:$B,MATCH(B227,Rutas!$A:$A,0)),"ID no encontrado"))</f>
        <v/>
      </c>
      <c r="G227" s="9" t="str">
        <f aca="false">IF(OR(B227="",C227="",D227=""),"",IF(OR(ISNA(MATCH(B227,Rutas!$A:$A,0)),ISNA(MATCH(C227,Conductores!$A:$A,0)),ISNA(MATCH(D227,Vehículos!$A:$A,0))),"REVISAR: ID no encontrado",IF(INDEX(Rutas!$C:$C,MATCH(B227,Rutas!$A:$A,0))&lt;&gt;INDEX(Vehículos!$B:$B,MATCH(D227,Vehículos!$A:$A,0)),"REVISAR: el vehículo no corresponde a la ruta",IF(INDEX(Rutas!$C:$C,MATCH(B227,Rutas!$A:$A,0))&lt;&gt;INDEX(Conductores!$D:$D,MATCH(C227,Conductores!$A:$A,0)),"REVISAR: el conductor no corresponde a la ruta",IF(OR(INDEX(Vehículos!$E:$E,MATCH(D227,Vehículos!$A:$A,0))="Taller",INDEX(Vehículos!$E:$E,MATCH(D227,Vehículos!$A:$A,0))="Fuera de servicio"),"REVISAR: vehículo no disponible",IF(INDEX(Conductores!$G:$G,MATCH(C227,Conductores!$A:$A,0))&lt;&gt;"Activo","REVISAR: conductor no activo",IF(COUNTIFS($A:$A,A227,$C:$C,C227)&gt;1,"REVISAR: conductor asignado dos veces",IF(COUNTIFS($A:$A,A227,$D:$D,D227)&gt;1,"REVISAR: vehículo asignado dos veces","OK"))))))))</f>
        <v/>
      </c>
      <c r="H227" s="9"/>
      <c r="I227" s="9"/>
      <c r="J227" s="14" t="str">
        <f aca="false">IF(OR(H227="",H227=0),"",I227/H227)</f>
        <v/>
      </c>
      <c r="K227" s="9"/>
      <c r="L227" s="9"/>
      <c r="M227" s="24"/>
      <c r="N227" s="9"/>
      <c r="O227" s="9" t="str">
        <f aca="false">IF(AND(OR(K227="En riesgo",K227="Atrasada"),L227=""),"Falta código de motivo",IF(AND(L227="OTR",N227=""),"Explica OTR en las notas",IF(AND(K227="Finalizada",I227&lt;H227,L227=""),"Falta código de motivo","")))</f>
        <v/>
      </c>
      <c r="P227" s="9" t="str">
        <f aca="false">IF(OR(D227="",A227=""),"",IF(COUNTIFS(Revision_previa!$B:$B,D227,Revision_previa!$A:$A,"&gt;="&amp;A227,Revision_previa!$A:$A,"&lt;"&amp;(A227+1))=0,"Sin revisión",IF(COUNTIFS(Revision_previa!$B:$B,D227,Revision_previa!$A:$A,"&gt;="&amp;A227,Revision_previa!$A:$A,"&lt;"&amp;(A227+1),Revision_previa!$D:$D,"Falla")+COUNTIFS(Revision_previa!$B:$B,D227,Revision_previa!$A:$A,"&gt;="&amp;A227,Revision_previa!$A:$A,"&lt;"&amp;(A227+1),Revision_previa!$E:$E,"Falla")+COUNTIFS(Revision_previa!$B:$B,D227,Revision_previa!$A:$A,"&gt;="&amp;A227,Revision_previa!$A:$A,"&lt;"&amp;(A227+1),Revision_previa!$F:$F,"Falla")+COUNTIFS(Revision_previa!$B:$B,D227,Revision_previa!$A:$A,"&gt;="&amp;A227,Revision_previa!$A:$A,"&lt;"&amp;(A227+1),Revision_previa!$H:$H,"Encendido")&gt;0,"No apto","Apto")))</f>
        <v/>
      </c>
    </row>
    <row r="228" customFormat="false" ht="15" hidden="false" customHeight="false" outlineLevel="0" collapsed="false">
      <c r="A228" s="23"/>
      <c r="B228" s="9"/>
      <c r="C228" s="9"/>
      <c r="D228" s="9"/>
      <c r="E228" s="9" t="str">
        <f aca="false">IF(C228="","",IFERROR(INDEX(Conductores!$B:$B,MATCH(C228,Conductores!$A:$A,0)),"ID no encontrado"))</f>
        <v/>
      </c>
      <c r="F228" s="9" t="str">
        <f aca="false">IF(B228="","",IFERROR(INDEX(Rutas!$B:$B,MATCH(B228,Rutas!$A:$A,0)),"ID no encontrado"))</f>
        <v/>
      </c>
      <c r="G228" s="9" t="str">
        <f aca="false">IF(OR(B228="",C228="",D228=""),"",IF(OR(ISNA(MATCH(B228,Rutas!$A:$A,0)),ISNA(MATCH(C228,Conductores!$A:$A,0)),ISNA(MATCH(D228,Vehículos!$A:$A,0))),"REVISAR: ID no encontrado",IF(INDEX(Rutas!$C:$C,MATCH(B228,Rutas!$A:$A,0))&lt;&gt;INDEX(Vehículos!$B:$B,MATCH(D228,Vehículos!$A:$A,0)),"REVISAR: el vehículo no corresponde a la ruta",IF(INDEX(Rutas!$C:$C,MATCH(B228,Rutas!$A:$A,0))&lt;&gt;INDEX(Conductores!$D:$D,MATCH(C228,Conductores!$A:$A,0)),"REVISAR: el conductor no corresponde a la ruta",IF(OR(INDEX(Vehículos!$E:$E,MATCH(D228,Vehículos!$A:$A,0))="Taller",INDEX(Vehículos!$E:$E,MATCH(D228,Vehículos!$A:$A,0))="Fuera de servicio"),"REVISAR: vehículo no disponible",IF(INDEX(Conductores!$G:$G,MATCH(C228,Conductores!$A:$A,0))&lt;&gt;"Activo","REVISAR: conductor no activo",IF(COUNTIFS($A:$A,A228,$C:$C,C228)&gt;1,"REVISAR: conductor asignado dos veces",IF(COUNTIFS($A:$A,A228,$D:$D,D228)&gt;1,"REVISAR: vehículo asignado dos veces","OK"))))))))</f>
        <v/>
      </c>
      <c r="H228" s="9"/>
      <c r="I228" s="9"/>
      <c r="J228" s="14" t="str">
        <f aca="false">IF(OR(H228="",H228=0),"",I228/H228)</f>
        <v/>
      </c>
      <c r="K228" s="9"/>
      <c r="L228" s="9"/>
      <c r="M228" s="24"/>
      <c r="N228" s="9"/>
      <c r="O228" s="9" t="str">
        <f aca="false">IF(AND(OR(K228="En riesgo",K228="Atrasada"),L228=""),"Falta código de motivo",IF(AND(L228="OTR",N228=""),"Explica OTR en las notas",IF(AND(K228="Finalizada",I228&lt;H228,L228=""),"Falta código de motivo","")))</f>
        <v/>
      </c>
      <c r="P228" s="9" t="str">
        <f aca="false">IF(OR(D228="",A228=""),"",IF(COUNTIFS(Revision_previa!$B:$B,D228,Revision_previa!$A:$A,"&gt;="&amp;A228,Revision_previa!$A:$A,"&lt;"&amp;(A228+1))=0,"Sin revisión",IF(COUNTIFS(Revision_previa!$B:$B,D228,Revision_previa!$A:$A,"&gt;="&amp;A228,Revision_previa!$A:$A,"&lt;"&amp;(A228+1),Revision_previa!$D:$D,"Falla")+COUNTIFS(Revision_previa!$B:$B,D228,Revision_previa!$A:$A,"&gt;="&amp;A228,Revision_previa!$A:$A,"&lt;"&amp;(A228+1),Revision_previa!$E:$E,"Falla")+COUNTIFS(Revision_previa!$B:$B,D228,Revision_previa!$A:$A,"&gt;="&amp;A228,Revision_previa!$A:$A,"&lt;"&amp;(A228+1),Revision_previa!$F:$F,"Falla")+COUNTIFS(Revision_previa!$B:$B,D228,Revision_previa!$A:$A,"&gt;="&amp;A228,Revision_previa!$A:$A,"&lt;"&amp;(A228+1),Revision_previa!$H:$H,"Encendido")&gt;0,"No apto","Apto")))</f>
        <v/>
      </c>
    </row>
    <row r="229" customFormat="false" ht="15" hidden="false" customHeight="false" outlineLevel="0" collapsed="false">
      <c r="A229" s="23"/>
      <c r="B229" s="9"/>
      <c r="C229" s="9"/>
      <c r="D229" s="9"/>
      <c r="E229" s="9" t="str">
        <f aca="false">IF(C229="","",IFERROR(INDEX(Conductores!$B:$B,MATCH(C229,Conductores!$A:$A,0)),"ID no encontrado"))</f>
        <v/>
      </c>
      <c r="F229" s="9" t="str">
        <f aca="false">IF(B229="","",IFERROR(INDEX(Rutas!$B:$B,MATCH(B229,Rutas!$A:$A,0)),"ID no encontrado"))</f>
        <v/>
      </c>
      <c r="G229" s="9" t="str">
        <f aca="false">IF(OR(B229="",C229="",D229=""),"",IF(OR(ISNA(MATCH(B229,Rutas!$A:$A,0)),ISNA(MATCH(C229,Conductores!$A:$A,0)),ISNA(MATCH(D229,Vehículos!$A:$A,0))),"REVISAR: ID no encontrado",IF(INDEX(Rutas!$C:$C,MATCH(B229,Rutas!$A:$A,0))&lt;&gt;INDEX(Vehículos!$B:$B,MATCH(D229,Vehículos!$A:$A,0)),"REVISAR: el vehículo no corresponde a la ruta",IF(INDEX(Rutas!$C:$C,MATCH(B229,Rutas!$A:$A,0))&lt;&gt;INDEX(Conductores!$D:$D,MATCH(C229,Conductores!$A:$A,0)),"REVISAR: el conductor no corresponde a la ruta",IF(OR(INDEX(Vehículos!$E:$E,MATCH(D229,Vehículos!$A:$A,0))="Taller",INDEX(Vehículos!$E:$E,MATCH(D229,Vehículos!$A:$A,0))="Fuera de servicio"),"REVISAR: vehículo no disponible",IF(INDEX(Conductores!$G:$G,MATCH(C229,Conductores!$A:$A,0))&lt;&gt;"Activo","REVISAR: conductor no activo",IF(COUNTIFS($A:$A,A229,$C:$C,C229)&gt;1,"REVISAR: conductor asignado dos veces",IF(COUNTIFS($A:$A,A229,$D:$D,D229)&gt;1,"REVISAR: vehículo asignado dos veces","OK"))))))))</f>
        <v/>
      </c>
      <c r="H229" s="9"/>
      <c r="I229" s="9"/>
      <c r="J229" s="14" t="str">
        <f aca="false">IF(OR(H229="",H229=0),"",I229/H229)</f>
        <v/>
      </c>
      <c r="K229" s="9"/>
      <c r="L229" s="9"/>
      <c r="M229" s="24"/>
      <c r="N229" s="9"/>
      <c r="O229" s="9" t="str">
        <f aca="false">IF(AND(OR(K229="En riesgo",K229="Atrasada"),L229=""),"Falta código de motivo",IF(AND(L229="OTR",N229=""),"Explica OTR en las notas",IF(AND(K229="Finalizada",I229&lt;H229,L229=""),"Falta código de motivo","")))</f>
        <v/>
      </c>
      <c r="P229" s="9" t="str">
        <f aca="false">IF(OR(D229="",A229=""),"",IF(COUNTIFS(Revision_previa!$B:$B,D229,Revision_previa!$A:$A,"&gt;="&amp;A229,Revision_previa!$A:$A,"&lt;"&amp;(A229+1))=0,"Sin revisión",IF(COUNTIFS(Revision_previa!$B:$B,D229,Revision_previa!$A:$A,"&gt;="&amp;A229,Revision_previa!$A:$A,"&lt;"&amp;(A229+1),Revision_previa!$D:$D,"Falla")+COUNTIFS(Revision_previa!$B:$B,D229,Revision_previa!$A:$A,"&gt;="&amp;A229,Revision_previa!$A:$A,"&lt;"&amp;(A229+1),Revision_previa!$E:$E,"Falla")+COUNTIFS(Revision_previa!$B:$B,D229,Revision_previa!$A:$A,"&gt;="&amp;A229,Revision_previa!$A:$A,"&lt;"&amp;(A229+1),Revision_previa!$F:$F,"Falla")+COUNTIFS(Revision_previa!$B:$B,D229,Revision_previa!$A:$A,"&gt;="&amp;A229,Revision_previa!$A:$A,"&lt;"&amp;(A229+1),Revision_previa!$H:$H,"Encendido")&gt;0,"No apto","Apto")))</f>
        <v/>
      </c>
    </row>
    <row r="230" customFormat="false" ht="15" hidden="false" customHeight="false" outlineLevel="0" collapsed="false">
      <c r="A230" s="23"/>
      <c r="B230" s="9"/>
      <c r="C230" s="9"/>
      <c r="D230" s="9"/>
      <c r="E230" s="9" t="str">
        <f aca="false">IF(C230="","",IFERROR(INDEX(Conductores!$B:$B,MATCH(C230,Conductores!$A:$A,0)),"ID no encontrado"))</f>
        <v/>
      </c>
      <c r="F230" s="9" t="str">
        <f aca="false">IF(B230="","",IFERROR(INDEX(Rutas!$B:$B,MATCH(B230,Rutas!$A:$A,0)),"ID no encontrado"))</f>
        <v/>
      </c>
      <c r="G230" s="9" t="str">
        <f aca="false">IF(OR(B230="",C230="",D230=""),"",IF(OR(ISNA(MATCH(B230,Rutas!$A:$A,0)),ISNA(MATCH(C230,Conductores!$A:$A,0)),ISNA(MATCH(D230,Vehículos!$A:$A,0))),"REVISAR: ID no encontrado",IF(INDEX(Rutas!$C:$C,MATCH(B230,Rutas!$A:$A,0))&lt;&gt;INDEX(Vehículos!$B:$B,MATCH(D230,Vehículos!$A:$A,0)),"REVISAR: el vehículo no corresponde a la ruta",IF(INDEX(Rutas!$C:$C,MATCH(B230,Rutas!$A:$A,0))&lt;&gt;INDEX(Conductores!$D:$D,MATCH(C230,Conductores!$A:$A,0)),"REVISAR: el conductor no corresponde a la ruta",IF(OR(INDEX(Vehículos!$E:$E,MATCH(D230,Vehículos!$A:$A,0))="Taller",INDEX(Vehículos!$E:$E,MATCH(D230,Vehículos!$A:$A,0))="Fuera de servicio"),"REVISAR: vehículo no disponible",IF(INDEX(Conductores!$G:$G,MATCH(C230,Conductores!$A:$A,0))&lt;&gt;"Activo","REVISAR: conductor no activo",IF(COUNTIFS($A:$A,A230,$C:$C,C230)&gt;1,"REVISAR: conductor asignado dos veces",IF(COUNTIFS($A:$A,A230,$D:$D,D230)&gt;1,"REVISAR: vehículo asignado dos veces","OK"))))))))</f>
        <v/>
      </c>
      <c r="H230" s="9"/>
      <c r="I230" s="9"/>
      <c r="J230" s="14" t="str">
        <f aca="false">IF(OR(H230="",H230=0),"",I230/H230)</f>
        <v/>
      </c>
      <c r="K230" s="9"/>
      <c r="L230" s="9"/>
      <c r="M230" s="24"/>
      <c r="N230" s="9"/>
      <c r="O230" s="9" t="str">
        <f aca="false">IF(AND(OR(K230="En riesgo",K230="Atrasada"),L230=""),"Falta código de motivo",IF(AND(L230="OTR",N230=""),"Explica OTR en las notas",IF(AND(K230="Finalizada",I230&lt;H230,L230=""),"Falta código de motivo","")))</f>
        <v/>
      </c>
      <c r="P230" s="9" t="str">
        <f aca="false">IF(OR(D230="",A230=""),"",IF(COUNTIFS(Revision_previa!$B:$B,D230,Revision_previa!$A:$A,"&gt;="&amp;A230,Revision_previa!$A:$A,"&lt;"&amp;(A230+1))=0,"Sin revisión",IF(COUNTIFS(Revision_previa!$B:$B,D230,Revision_previa!$A:$A,"&gt;="&amp;A230,Revision_previa!$A:$A,"&lt;"&amp;(A230+1),Revision_previa!$D:$D,"Falla")+COUNTIFS(Revision_previa!$B:$B,D230,Revision_previa!$A:$A,"&gt;="&amp;A230,Revision_previa!$A:$A,"&lt;"&amp;(A230+1),Revision_previa!$E:$E,"Falla")+COUNTIFS(Revision_previa!$B:$B,D230,Revision_previa!$A:$A,"&gt;="&amp;A230,Revision_previa!$A:$A,"&lt;"&amp;(A230+1),Revision_previa!$F:$F,"Falla")+COUNTIFS(Revision_previa!$B:$B,D230,Revision_previa!$A:$A,"&gt;="&amp;A230,Revision_previa!$A:$A,"&lt;"&amp;(A230+1),Revision_previa!$H:$H,"Encendido")&gt;0,"No apto","Apto")))</f>
        <v/>
      </c>
    </row>
    <row r="231" customFormat="false" ht="15" hidden="false" customHeight="false" outlineLevel="0" collapsed="false">
      <c r="A231" s="23"/>
      <c r="B231" s="9"/>
      <c r="C231" s="9"/>
      <c r="D231" s="9"/>
      <c r="E231" s="9" t="str">
        <f aca="false">IF(C231="","",IFERROR(INDEX(Conductores!$B:$B,MATCH(C231,Conductores!$A:$A,0)),"ID no encontrado"))</f>
        <v/>
      </c>
      <c r="F231" s="9" t="str">
        <f aca="false">IF(B231="","",IFERROR(INDEX(Rutas!$B:$B,MATCH(B231,Rutas!$A:$A,0)),"ID no encontrado"))</f>
        <v/>
      </c>
      <c r="G231" s="9" t="str">
        <f aca="false">IF(OR(B231="",C231="",D231=""),"",IF(OR(ISNA(MATCH(B231,Rutas!$A:$A,0)),ISNA(MATCH(C231,Conductores!$A:$A,0)),ISNA(MATCH(D231,Vehículos!$A:$A,0))),"REVISAR: ID no encontrado",IF(INDEX(Rutas!$C:$C,MATCH(B231,Rutas!$A:$A,0))&lt;&gt;INDEX(Vehículos!$B:$B,MATCH(D231,Vehículos!$A:$A,0)),"REVISAR: el vehículo no corresponde a la ruta",IF(INDEX(Rutas!$C:$C,MATCH(B231,Rutas!$A:$A,0))&lt;&gt;INDEX(Conductores!$D:$D,MATCH(C231,Conductores!$A:$A,0)),"REVISAR: el conductor no corresponde a la ruta",IF(OR(INDEX(Vehículos!$E:$E,MATCH(D231,Vehículos!$A:$A,0))="Taller",INDEX(Vehículos!$E:$E,MATCH(D231,Vehículos!$A:$A,0))="Fuera de servicio"),"REVISAR: vehículo no disponible",IF(INDEX(Conductores!$G:$G,MATCH(C231,Conductores!$A:$A,0))&lt;&gt;"Activo","REVISAR: conductor no activo",IF(COUNTIFS($A:$A,A231,$C:$C,C231)&gt;1,"REVISAR: conductor asignado dos veces",IF(COUNTIFS($A:$A,A231,$D:$D,D231)&gt;1,"REVISAR: vehículo asignado dos veces","OK"))))))))</f>
        <v/>
      </c>
      <c r="H231" s="9"/>
      <c r="I231" s="9"/>
      <c r="J231" s="14" t="str">
        <f aca="false">IF(OR(H231="",H231=0),"",I231/H231)</f>
        <v/>
      </c>
      <c r="K231" s="9"/>
      <c r="L231" s="9"/>
      <c r="M231" s="24"/>
      <c r="N231" s="9"/>
      <c r="O231" s="9" t="str">
        <f aca="false">IF(AND(OR(K231="En riesgo",K231="Atrasada"),L231=""),"Falta código de motivo",IF(AND(L231="OTR",N231=""),"Explica OTR en las notas",IF(AND(K231="Finalizada",I231&lt;H231,L231=""),"Falta código de motivo","")))</f>
        <v/>
      </c>
      <c r="P231" s="9" t="str">
        <f aca="false">IF(OR(D231="",A231=""),"",IF(COUNTIFS(Revision_previa!$B:$B,D231,Revision_previa!$A:$A,"&gt;="&amp;A231,Revision_previa!$A:$A,"&lt;"&amp;(A231+1))=0,"Sin revisión",IF(COUNTIFS(Revision_previa!$B:$B,D231,Revision_previa!$A:$A,"&gt;="&amp;A231,Revision_previa!$A:$A,"&lt;"&amp;(A231+1),Revision_previa!$D:$D,"Falla")+COUNTIFS(Revision_previa!$B:$B,D231,Revision_previa!$A:$A,"&gt;="&amp;A231,Revision_previa!$A:$A,"&lt;"&amp;(A231+1),Revision_previa!$E:$E,"Falla")+COUNTIFS(Revision_previa!$B:$B,D231,Revision_previa!$A:$A,"&gt;="&amp;A231,Revision_previa!$A:$A,"&lt;"&amp;(A231+1),Revision_previa!$F:$F,"Falla")+COUNTIFS(Revision_previa!$B:$B,D231,Revision_previa!$A:$A,"&gt;="&amp;A231,Revision_previa!$A:$A,"&lt;"&amp;(A231+1),Revision_previa!$H:$H,"Encendido")&gt;0,"No apto","Apto")))</f>
        <v/>
      </c>
    </row>
    <row r="232" customFormat="false" ht="15" hidden="false" customHeight="false" outlineLevel="0" collapsed="false">
      <c r="A232" s="23"/>
      <c r="B232" s="9"/>
      <c r="C232" s="9"/>
      <c r="D232" s="9"/>
      <c r="E232" s="9" t="str">
        <f aca="false">IF(C232="","",IFERROR(INDEX(Conductores!$B:$B,MATCH(C232,Conductores!$A:$A,0)),"ID no encontrado"))</f>
        <v/>
      </c>
      <c r="F232" s="9" t="str">
        <f aca="false">IF(B232="","",IFERROR(INDEX(Rutas!$B:$B,MATCH(B232,Rutas!$A:$A,0)),"ID no encontrado"))</f>
        <v/>
      </c>
      <c r="G232" s="9" t="str">
        <f aca="false">IF(OR(B232="",C232="",D232=""),"",IF(OR(ISNA(MATCH(B232,Rutas!$A:$A,0)),ISNA(MATCH(C232,Conductores!$A:$A,0)),ISNA(MATCH(D232,Vehículos!$A:$A,0))),"REVISAR: ID no encontrado",IF(INDEX(Rutas!$C:$C,MATCH(B232,Rutas!$A:$A,0))&lt;&gt;INDEX(Vehículos!$B:$B,MATCH(D232,Vehículos!$A:$A,0)),"REVISAR: el vehículo no corresponde a la ruta",IF(INDEX(Rutas!$C:$C,MATCH(B232,Rutas!$A:$A,0))&lt;&gt;INDEX(Conductores!$D:$D,MATCH(C232,Conductores!$A:$A,0)),"REVISAR: el conductor no corresponde a la ruta",IF(OR(INDEX(Vehículos!$E:$E,MATCH(D232,Vehículos!$A:$A,0))="Taller",INDEX(Vehículos!$E:$E,MATCH(D232,Vehículos!$A:$A,0))="Fuera de servicio"),"REVISAR: vehículo no disponible",IF(INDEX(Conductores!$G:$G,MATCH(C232,Conductores!$A:$A,0))&lt;&gt;"Activo","REVISAR: conductor no activo",IF(COUNTIFS($A:$A,A232,$C:$C,C232)&gt;1,"REVISAR: conductor asignado dos veces",IF(COUNTIFS($A:$A,A232,$D:$D,D232)&gt;1,"REVISAR: vehículo asignado dos veces","OK"))))))))</f>
        <v/>
      </c>
      <c r="H232" s="9"/>
      <c r="I232" s="9"/>
      <c r="J232" s="14" t="str">
        <f aca="false">IF(OR(H232="",H232=0),"",I232/H232)</f>
        <v/>
      </c>
      <c r="K232" s="9"/>
      <c r="L232" s="9"/>
      <c r="M232" s="24"/>
      <c r="N232" s="9"/>
      <c r="O232" s="9" t="str">
        <f aca="false">IF(AND(OR(K232="En riesgo",K232="Atrasada"),L232=""),"Falta código de motivo",IF(AND(L232="OTR",N232=""),"Explica OTR en las notas",IF(AND(K232="Finalizada",I232&lt;H232,L232=""),"Falta código de motivo","")))</f>
        <v/>
      </c>
      <c r="P232" s="9" t="str">
        <f aca="false">IF(OR(D232="",A232=""),"",IF(COUNTIFS(Revision_previa!$B:$B,D232,Revision_previa!$A:$A,"&gt;="&amp;A232,Revision_previa!$A:$A,"&lt;"&amp;(A232+1))=0,"Sin revisión",IF(COUNTIFS(Revision_previa!$B:$B,D232,Revision_previa!$A:$A,"&gt;="&amp;A232,Revision_previa!$A:$A,"&lt;"&amp;(A232+1),Revision_previa!$D:$D,"Falla")+COUNTIFS(Revision_previa!$B:$B,D232,Revision_previa!$A:$A,"&gt;="&amp;A232,Revision_previa!$A:$A,"&lt;"&amp;(A232+1),Revision_previa!$E:$E,"Falla")+COUNTIFS(Revision_previa!$B:$B,D232,Revision_previa!$A:$A,"&gt;="&amp;A232,Revision_previa!$A:$A,"&lt;"&amp;(A232+1),Revision_previa!$F:$F,"Falla")+COUNTIFS(Revision_previa!$B:$B,D232,Revision_previa!$A:$A,"&gt;="&amp;A232,Revision_previa!$A:$A,"&lt;"&amp;(A232+1),Revision_previa!$H:$H,"Encendido")&gt;0,"No apto","Apto")))</f>
        <v/>
      </c>
    </row>
    <row r="233" customFormat="false" ht="15" hidden="false" customHeight="false" outlineLevel="0" collapsed="false">
      <c r="A233" s="23"/>
      <c r="B233" s="9"/>
      <c r="C233" s="9"/>
      <c r="D233" s="9"/>
      <c r="E233" s="9" t="str">
        <f aca="false">IF(C233="","",IFERROR(INDEX(Conductores!$B:$B,MATCH(C233,Conductores!$A:$A,0)),"ID no encontrado"))</f>
        <v/>
      </c>
      <c r="F233" s="9" t="str">
        <f aca="false">IF(B233="","",IFERROR(INDEX(Rutas!$B:$B,MATCH(B233,Rutas!$A:$A,0)),"ID no encontrado"))</f>
        <v/>
      </c>
      <c r="G233" s="9" t="str">
        <f aca="false">IF(OR(B233="",C233="",D233=""),"",IF(OR(ISNA(MATCH(B233,Rutas!$A:$A,0)),ISNA(MATCH(C233,Conductores!$A:$A,0)),ISNA(MATCH(D233,Vehículos!$A:$A,0))),"REVISAR: ID no encontrado",IF(INDEX(Rutas!$C:$C,MATCH(B233,Rutas!$A:$A,0))&lt;&gt;INDEX(Vehículos!$B:$B,MATCH(D233,Vehículos!$A:$A,0)),"REVISAR: el vehículo no corresponde a la ruta",IF(INDEX(Rutas!$C:$C,MATCH(B233,Rutas!$A:$A,0))&lt;&gt;INDEX(Conductores!$D:$D,MATCH(C233,Conductores!$A:$A,0)),"REVISAR: el conductor no corresponde a la ruta",IF(OR(INDEX(Vehículos!$E:$E,MATCH(D233,Vehículos!$A:$A,0))="Taller",INDEX(Vehículos!$E:$E,MATCH(D233,Vehículos!$A:$A,0))="Fuera de servicio"),"REVISAR: vehículo no disponible",IF(INDEX(Conductores!$G:$G,MATCH(C233,Conductores!$A:$A,0))&lt;&gt;"Activo","REVISAR: conductor no activo",IF(COUNTIFS($A:$A,A233,$C:$C,C233)&gt;1,"REVISAR: conductor asignado dos veces",IF(COUNTIFS($A:$A,A233,$D:$D,D233)&gt;1,"REVISAR: vehículo asignado dos veces","OK"))))))))</f>
        <v/>
      </c>
      <c r="H233" s="9"/>
      <c r="I233" s="9"/>
      <c r="J233" s="14" t="str">
        <f aca="false">IF(OR(H233="",H233=0),"",I233/H233)</f>
        <v/>
      </c>
      <c r="K233" s="9"/>
      <c r="L233" s="9"/>
      <c r="M233" s="24"/>
      <c r="N233" s="9"/>
      <c r="O233" s="9" t="str">
        <f aca="false">IF(AND(OR(K233="En riesgo",K233="Atrasada"),L233=""),"Falta código de motivo",IF(AND(L233="OTR",N233=""),"Explica OTR en las notas",IF(AND(K233="Finalizada",I233&lt;H233,L233=""),"Falta código de motivo","")))</f>
        <v/>
      </c>
      <c r="P233" s="9" t="str">
        <f aca="false">IF(OR(D233="",A233=""),"",IF(COUNTIFS(Revision_previa!$B:$B,D233,Revision_previa!$A:$A,"&gt;="&amp;A233,Revision_previa!$A:$A,"&lt;"&amp;(A233+1))=0,"Sin revisión",IF(COUNTIFS(Revision_previa!$B:$B,D233,Revision_previa!$A:$A,"&gt;="&amp;A233,Revision_previa!$A:$A,"&lt;"&amp;(A233+1),Revision_previa!$D:$D,"Falla")+COUNTIFS(Revision_previa!$B:$B,D233,Revision_previa!$A:$A,"&gt;="&amp;A233,Revision_previa!$A:$A,"&lt;"&amp;(A233+1),Revision_previa!$E:$E,"Falla")+COUNTIFS(Revision_previa!$B:$B,D233,Revision_previa!$A:$A,"&gt;="&amp;A233,Revision_previa!$A:$A,"&lt;"&amp;(A233+1),Revision_previa!$F:$F,"Falla")+COUNTIFS(Revision_previa!$B:$B,D233,Revision_previa!$A:$A,"&gt;="&amp;A233,Revision_previa!$A:$A,"&lt;"&amp;(A233+1),Revision_previa!$H:$H,"Encendido")&gt;0,"No apto","Apto")))</f>
        <v/>
      </c>
    </row>
    <row r="234" customFormat="false" ht="15" hidden="false" customHeight="false" outlineLevel="0" collapsed="false">
      <c r="A234" s="23"/>
      <c r="B234" s="9"/>
      <c r="C234" s="9"/>
      <c r="D234" s="9"/>
      <c r="E234" s="9" t="str">
        <f aca="false">IF(C234="","",IFERROR(INDEX(Conductores!$B:$B,MATCH(C234,Conductores!$A:$A,0)),"ID no encontrado"))</f>
        <v/>
      </c>
      <c r="F234" s="9" t="str">
        <f aca="false">IF(B234="","",IFERROR(INDEX(Rutas!$B:$B,MATCH(B234,Rutas!$A:$A,0)),"ID no encontrado"))</f>
        <v/>
      </c>
      <c r="G234" s="9" t="str">
        <f aca="false">IF(OR(B234="",C234="",D234=""),"",IF(OR(ISNA(MATCH(B234,Rutas!$A:$A,0)),ISNA(MATCH(C234,Conductores!$A:$A,0)),ISNA(MATCH(D234,Vehículos!$A:$A,0))),"REVISAR: ID no encontrado",IF(INDEX(Rutas!$C:$C,MATCH(B234,Rutas!$A:$A,0))&lt;&gt;INDEX(Vehículos!$B:$B,MATCH(D234,Vehículos!$A:$A,0)),"REVISAR: el vehículo no corresponde a la ruta",IF(INDEX(Rutas!$C:$C,MATCH(B234,Rutas!$A:$A,0))&lt;&gt;INDEX(Conductores!$D:$D,MATCH(C234,Conductores!$A:$A,0)),"REVISAR: el conductor no corresponde a la ruta",IF(OR(INDEX(Vehículos!$E:$E,MATCH(D234,Vehículos!$A:$A,0))="Taller",INDEX(Vehículos!$E:$E,MATCH(D234,Vehículos!$A:$A,0))="Fuera de servicio"),"REVISAR: vehículo no disponible",IF(INDEX(Conductores!$G:$G,MATCH(C234,Conductores!$A:$A,0))&lt;&gt;"Activo","REVISAR: conductor no activo",IF(COUNTIFS($A:$A,A234,$C:$C,C234)&gt;1,"REVISAR: conductor asignado dos veces",IF(COUNTIFS($A:$A,A234,$D:$D,D234)&gt;1,"REVISAR: vehículo asignado dos veces","OK"))))))))</f>
        <v/>
      </c>
      <c r="H234" s="9"/>
      <c r="I234" s="9"/>
      <c r="J234" s="14" t="str">
        <f aca="false">IF(OR(H234="",H234=0),"",I234/H234)</f>
        <v/>
      </c>
      <c r="K234" s="9"/>
      <c r="L234" s="9"/>
      <c r="M234" s="24"/>
      <c r="N234" s="9"/>
      <c r="O234" s="9" t="str">
        <f aca="false">IF(AND(OR(K234="En riesgo",K234="Atrasada"),L234=""),"Falta código de motivo",IF(AND(L234="OTR",N234=""),"Explica OTR en las notas",IF(AND(K234="Finalizada",I234&lt;H234,L234=""),"Falta código de motivo","")))</f>
        <v/>
      </c>
      <c r="P234" s="9" t="str">
        <f aca="false">IF(OR(D234="",A234=""),"",IF(COUNTIFS(Revision_previa!$B:$B,D234,Revision_previa!$A:$A,"&gt;="&amp;A234,Revision_previa!$A:$A,"&lt;"&amp;(A234+1))=0,"Sin revisión",IF(COUNTIFS(Revision_previa!$B:$B,D234,Revision_previa!$A:$A,"&gt;="&amp;A234,Revision_previa!$A:$A,"&lt;"&amp;(A234+1),Revision_previa!$D:$D,"Falla")+COUNTIFS(Revision_previa!$B:$B,D234,Revision_previa!$A:$A,"&gt;="&amp;A234,Revision_previa!$A:$A,"&lt;"&amp;(A234+1),Revision_previa!$E:$E,"Falla")+COUNTIFS(Revision_previa!$B:$B,D234,Revision_previa!$A:$A,"&gt;="&amp;A234,Revision_previa!$A:$A,"&lt;"&amp;(A234+1),Revision_previa!$F:$F,"Falla")+COUNTIFS(Revision_previa!$B:$B,D234,Revision_previa!$A:$A,"&gt;="&amp;A234,Revision_previa!$A:$A,"&lt;"&amp;(A234+1),Revision_previa!$H:$H,"Encendido")&gt;0,"No apto","Apto")))</f>
        <v/>
      </c>
    </row>
    <row r="235" customFormat="false" ht="15" hidden="false" customHeight="false" outlineLevel="0" collapsed="false">
      <c r="A235" s="23"/>
      <c r="B235" s="9"/>
      <c r="C235" s="9"/>
      <c r="D235" s="9"/>
      <c r="E235" s="9" t="str">
        <f aca="false">IF(C235="","",IFERROR(INDEX(Conductores!$B:$B,MATCH(C235,Conductores!$A:$A,0)),"ID no encontrado"))</f>
        <v/>
      </c>
      <c r="F235" s="9" t="str">
        <f aca="false">IF(B235="","",IFERROR(INDEX(Rutas!$B:$B,MATCH(B235,Rutas!$A:$A,0)),"ID no encontrado"))</f>
        <v/>
      </c>
      <c r="G235" s="9" t="str">
        <f aca="false">IF(OR(B235="",C235="",D235=""),"",IF(OR(ISNA(MATCH(B235,Rutas!$A:$A,0)),ISNA(MATCH(C235,Conductores!$A:$A,0)),ISNA(MATCH(D235,Vehículos!$A:$A,0))),"REVISAR: ID no encontrado",IF(INDEX(Rutas!$C:$C,MATCH(B235,Rutas!$A:$A,0))&lt;&gt;INDEX(Vehículos!$B:$B,MATCH(D235,Vehículos!$A:$A,0)),"REVISAR: el vehículo no corresponde a la ruta",IF(INDEX(Rutas!$C:$C,MATCH(B235,Rutas!$A:$A,0))&lt;&gt;INDEX(Conductores!$D:$D,MATCH(C235,Conductores!$A:$A,0)),"REVISAR: el conductor no corresponde a la ruta",IF(OR(INDEX(Vehículos!$E:$E,MATCH(D235,Vehículos!$A:$A,0))="Taller",INDEX(Vehículos!$E:$E,MATCH(D235,Vehículos!$A:$A,0))="Fuera de servicio"),"REVISAR: vehículo no disponible",IF(INDEX(Conductores!$G:$G,MATCH(C235,Conductores!$A:$A,0))&lt;&gt;"Activo","REVISAR: conductor no activo",IF(COUNTIFS($A:$A,A235,$C:$C,C235)&gt;1,"REVISAR: conductor asignado dos veces",IF(COUNTIFS($A:$A,A235,$D:$D,D235)&gt;1,"REVISAR: vehículo asignado dos veces","OK"))))))))</f>
        <v/>
      </c>
      <c r="H235" s="9"/>
      <c r="I235" s="9"/>
      <c r="J235" s="14" t="str">
        <f aca="false">IF(OR(H235="",H235=0),"",I235/H235)</f>
        <v/>
      </c>
      <c r="K235" s="9"/>
      <c r="L235" s="9"/>
      <c r="M235" s="24"/>
      <c r="N235" s="9"/>
      <c r="O235" s="9" t="str">
        <f aca="false">IF(AND(OR(K235="En riesgo",K235="Atrasada"),L235=""),"Falta código de motivo",IF(AND(L235="OTR",N235=""),"Explica OTR en las notas",IF(AND(K235="Finalizada",I235&lt;H235,L235=""),"Falta código de motivo","")))</f>
        <v/>
      </c>
      <c r="P235" s="9" t="str">
        <f aca="false">IF(OR(D235="",A235=""),"",IF(COUNTIFS(Revision_previa!$B:$B,D235,Revision_previa!$A:$A,"&gt;="&amp;A235,Revision_previa!$A:$A,"&lt;"&amp;(A235+1))=0,"Sin revisión",IF(COUNTIFS(Revision_previa!$B:$B,D235,Revision_previa!$A:$A,"&gt;="&amp;A235,Revision_previa!$A:$A,"&lt;"&amp;(A235+1),Revision_previa!$D:$D,"Falla")+COUNTIFS(Revision_previa!$B:$B,D235,Revision_previa!$A:$A,"&gt;="&amp;A235,Revision_previa!$A:$A,"&lt;"&amp;(A235+1),Revision_previa!$E:$E,"Falla")+COUNTIFS(Revision_previa!$B:$B,D235,Revision_previa!$A:$A,"&gt;="&amp;A235,Revision_previa!$A:$A,"&lt;"&amp;(A235+1),Revision_previa!$F:$F,"Falla")+COUNTIFS(Revision_previa!$B:$B,D235,Revision_previa!$A:$A,"&gt;="&amp;A235,Revision_previa!$A:$A,"&lt;"&amp;(A235+1),Revision_previa!$H:$H,"Encendido")&gt;0,"No apto","Apto")))</f>
        <v/>
      </c>
    </row>
    <row r="236" customFormat="false" ht="15" hidden="false" customHeight="false" outlineLevel="0" collapsed="false">
      <c r="A236" s="23"/>
      <c r="B236" s="9"/>
      <c r="C236" s="9"/>
      <c r="D236" s="9"/>
      <c r="E236" s="9" t="str">
        <f aca="false">IF(C236="","",IFERROR(INDEX(Conductores!$B:$B,MATCH(C236,Conductores!$A:$A,0)),"ID no encontrado"))</f>
        <v/>
      </c>
      <c r="F236" s="9" t="str">
        <f aca="false">IF(B236="","",IFERROR(INDEX(Rutas!$B:$B,MATCH(B236,Rutas!$A:$A,0)),"ID no encontrado"))</f>
        <v/>
      </c>
      <c r="G236" s="9" t="str">
        <f aca="false">IF(OR(B236="",C236="",D236=""),"",IF(OR(ISNA(MATCH(B236,Rutas!$A:$A,0)),ISNA(MATCH(C236,Conductores!$A:$A,0)),ISNA(MATCH(D236,Vehículos!$A:$A,0))),"REVISAR: ID no encontrado",IF(INDEX(Rutas!$C:$C,MATCH(B236,Rutas!$A:$A,0))&lt;&gt;INDEX(Vehículos!$B:$B,MATCH(D236,Vehículos!$A:$A,0)),"REVISAR: el vehículo no corresponde a la ruta",IF(INDEX(Rutas!$C:$C,MATCH(B236,Rutas!$A:$A,0))&lt;&gt;INDEX(Conductores!$D:$D,MATCH(C236,Conductores!$A:$A,0)),"REVISAR: el conductor no corresponde a la ruta",IF(OR(INDEX(Vehículos!$E:$E,MATCH(D236,Vehículos!$A:$A,0))="Taller",INDEX(Vehículos!$E:$E,MATCH(D236,Vehículos!$A:$A,0))="Fuera de servicio"),"REVISAR: vehículo no disponible",IF(INDEX(Conductores!$G:$G,MATCH(C236,Conductores!$A:$A,0))&lt;&gt;"Activo","REVISAR: conductor no activo",IF(COUNTIFS($A:$A,A236,$C:$C,C236)&gt;1,"REVISAR: conductor asignado dos veces",IF(COUNTIFS($A:$A,A236,$D:$D,D236)&gt;1,"REVISAR: vehículo asignado dos veces","OK"))))))))</f>
        <v/>
      </c>
      <c r="H236" s="9"/>
      <c r="I236" s="9"/>
      <c r="J236" s="14" t="str">
        <f aca="false">IF(OR(H236="",H236=0),"",I236/H236)</f>
        <v/>
      </c>
      <c r="K236" s="9"/>
      <c r="L236" s="9"/>
      <c r="M236" s="24"/>
      <c r="N236" s="9"/>
      <c r="O236" s="9" t="str">
        <f aca="false">IF(AND(OR(K236="En riesgo",K236="Atrasada"),L236=""),"Falta código de motivo",IF(AND(L236="OTR",N236=""),"Explica OTR en las notas",IF(AND(K236="Finalizada",I236&lt;H236,L236=""),"Falta código de motivo","")))</f>
        <v/>
      </c>
      <c r="P236" s="9" t="str">
        <f aca="false">IF(OR(D236="",A236=""),"",IF(COUNTIFS(Revision_previa!$B:$B,D236,Revision_previa!$A:$A,"&gt;="&amp;A236,Revision_previa!$A:$A,"&lt;"&amp;(A236+1))=0,"Sin revisión",IF(COUNTIFS(Revision_previa!$B:$B,D236,Revision_previa!$A:$A,"&gt;="&amp;A236,Revision_previa!$A:$A,"&lt;"&amp;(A236+1),Revision_previa!$D:$D,"Falla")+COUNTIFS(Revision_previa!$B:$B,D236,Revision_previa!$A:$A,"&gt;="&amp;A236,Revision_previa!$A:$A,"&lt;"&amp;(A236+1),Revision_previa!$E:$E,"Falla")+COUNTIFS(Revision_previa!$B:$B,D236,Revision_previa!$A:$A,"&gt;="&amp;A236,Revision_previa!$A:$A,"&lt;"&amp;(A236+1),Revision_previa!$F:$F,"Falla")+COUNTIFS(Revision_previa!$B:$B,D236,Revision_previa!$A:$A,"&gt;="&amp;A236,Revision_previa!$A:$A,"&lt;"&amp;(A236+1),Revision_previa!$H:$H,"Encendido")&gt;0,"No apto","Apto")))</f>
        <v/>
      </c>
    </row>
    <row r="237" customFormat="false" ht="15" hidden="false" customHeight="false" outlineLevel="0" collapsed="false">
      <c r="A237" s="23"/>
      <c r="B237" s="9"/>
      <c r="C237" s="9"/>
      <c r="D237" s="9"/>
      <c r="E237" s="9" t="str">
        <f aca="false">IF(C237="","",IFERROR(INDEX(Conductores!$B:$B,MATCH(C237,Conductores!$A:$A,0)),"ID no encontrado"))</f>
        <v/>
      </c>
      <c r="F237" s="9" t="str">
        <f aca="false">IF(B237="","",IFERROR(INDEX(Rutas!$B:$B,MATCH(B237,Rutas!$A:$A,0)),"ID no encontrado"))</f>
        <v/>
      </c>
      <c r="G237" s="9" t="str">
        <f aca="false">IF(OR(B237="",C237="",D237=""),"",IF(OR(ISNA(MATCH(B237,Rutas!$A:$A,0)),ISNA(MATCH(C237,Conductores!$A:$A,0)),ISNA(MATCH(D237,Vehículos!$A:$A,0))),"REVISAR: ID no encontrado",IF(INDEX(Rutas!$C:$C,MATCH(B237,Rutas!$A:$A,0))&lt;&gt;INDEX(Vehículos!$B:$B,MATCH(D237,Vehículos!$A:$A,0)),"REVISAR: el vehículo no corresponde a la ruta",IF(INDEX(Rutas!$C:$C,MATCH(B237,Rutas!$A:$A,0))&lt;&gt;INDEX(Conductores!$D:$D,MATCH(C237,Conductores!$A:$A,0)),"REVISAR: el conductor no corresponde a la ruta",IF(OR(INDEX(Vehículos!$E:$E,MATCH(D237,Vehículos!$A:$A,0))="Taller",INDEX(Vehículos!$E:$E,MATCH(D237,Vehículos!$A:$A,0))="Fuera de servicio"),"REVISAR: vehículo no disponible",IF(INDEX(Conductores!$G:$G,MATCH(C237,Conductores!$A:$A,0))&lt;&gt;"Activo","REVISAR: conductor no activo",IF(COUNTIFS($A:$A,A237,$C:$C,C237)&gt;1,"REVISAR: conductor asignado dos veces",IF(COUNTIFS($A:$A,A237,$D:$D,D237)&gt;1,"REVISAR: vehículo asignado dos veces","OK"))))))))</f>
        <v/>
      </c>
      <c r="H237" s="9"/>
      <c r="I237" s="9"/>
      <c r="J237" s="14" t="str">
        <f aca="false">IF(OR(H237="",H237=0),"",I237/H237)</f>
        <v/>
      </c>
      <c r="K237" s="9"/>
      <c r="L237" s="9"/>
      <c r="M237" s="24"/>
      <c r="N237" s="9"/>
      <c r="O237" s="9" t="str">
        <f aca="false">IF(AND(OR(K237="En riesgo",K237="Atrasada"),L237=""),"Falta código de motivo",IF(AND(L237="OTR",N237=""),"Explica OTR en las notas",IF(AND(K237="Finalizada",I237&lt;H237,L237=""),"Falta código de motivo","")))</f>
        <v/>
      </c>
      <c r="P237" s="9" t="str">
        <f aca="false">IF(OR(D237="",A237=""),"",IF(COUNTIFS(Revision_previa!$B:$B,D237,Revision_previa!$A:$A,"&gt;="&amp;A237,Revision_previa!$A:$A,"&lt;"&amp;(A237+1))=0,"Sin revisión",IF(COUNTIFS(Revision_previa!$B:$B,D237,Revision_previa!$A:$A,"&gt;="&amp;A237,Revision_previa!$A:$A,"&lt;"&amp;(A237+1),Revision_previa!$D:$D,"Falla")+COUNTIFS(Revision_previa!$B:$B,D237,Revision_previa!$A:$A,"&gt;="&amp;A237,Revision_previa!$A:$A,"&lt;"&amp;(A237+1),Revision_previa!$E:$E,"Falla")+COUNTIFS(Revision_previa!$B:$B,D237,Revision_previa!$A:$A,"&gt;="&amp;A237,Revision_previa!$A:$A,"&lt;"&amp;(A237+1),Revision_previa!$F:$F,"Falla")+COUNTIFS(Revision_previa!$B:$B,D237,Revision_previa!$A:$A,"&gt;="&amp;A237,Revision_previa!$A:$A,"&lt;"&amp;(A237+1),Revision_previa!$H:$H,"Encendido")&gt;0,"No apto","Apto")))</f>
        <v/>
      </c>
    </row>
    <row r="238" customFormat="false" ht="15" hidden="false" customHeight="false" outlineLevel="0" collapsed="false">
      <c r="A238" s="23"/>
      <c r="B238" s="9"/>
      <c r="C238" s="9"/>
      <c r="D238" s="9"/>
      <c r="E238" s="9" t="str">
        <f aca="false">IF(C238="","",IFERROR(INDEX(Conductores!$B:$B,MATCH(C238,Conductores!$A:$A,0)),"ID no encontrado"))</f>
        <v/>
      </c>
      <c r="F238" s="9" t="str">
        <f aca="false">IF(B238="","",IFERROR(INDEX(Rutas!$B:$B,MATCH(B238,Rutas!$A:$A,0)),"ID no encontrado"))</f>
        <v/>
      </c>
      <c r="G238" s="9" t="str">
        <f aca="false">IF(OR(B238="",C238="",D238=""),"",IF(OR(ISNA(MATCH(B238,Rutas!$A:$A,0)),ISNA(MATCH(C238,Conductores!$A:$A,0)),ISNA(MATCH(D238,Vehículos!$A:$A,0))),"REVISAR: ID no encontrado",IF(INDEX(Rutas!$C:$C,MATCH(B238,Rutas!$A:$A,0))&lt;&gt;INDEX(Vehículos!$B:$B,MATCH(D238,Vehículos!$A:$A,0)),"REVISAR: el vehículo no corresponde a la ruta",IF(INDEX(Rutas!$C:$C,MATCH(B238,Rutas!$A:$A,0))&lt;&gt;INDEX(Conductores!$D:$D,MATCH(C238,Conductores!$A:$A,0)),"REVISAR: el conductor no corresponde a la ruta",IF(OR(INDEX(Vehículos!$E:$E,MATCH(D238,Vehículos!$A:$A,0))="Taller",INDEX(Vehículos!$E:$E,MATCH(D238,Vehículos!$A:$A,0))="Fuera de servicio"),"REVISAR: vehículo no disponible",IF(INDEX(Conductores!$G:$G,MATCH(C238,Conductores!$A:$A,0))&lt;&gt;"Activo","REVISAR: conductor no activo",IF(COUNTIFS($A:$A,A238,$C:$C,C238)&gt;1,"REVISAR: conductor asignado dos veces",IF(COUNTIFS($A:$A,A238,$D:$D,D238)&gt;1,"REVISAR: vehículo asignado dos veces","OK"))))))))</f>
        <v/>
      </c>
      <c r="H238" s="9"/>
      <c r="I238" s="9"/>
      <c r="J238" s="14" t="str">
        <f aca="false">IF(OR(H238="",H238=0),"",I238/H238)</f>
        <v/>
      </c>
      <c r="K238" s="9"/>
      <c r="L238" s="9"/>
      <c r="M238" s="24"/>
      <c r="N238" s="9"/>
      <c r="O238" s="9" t="str">
        <f aca="false">IF(AND(OR(K238="En riesgo",K238="Atrasada"),L238=""),"Falta código de motivo",IF(AND(L238="OTR",N238=""),"Explica OTR en las notas",IF(AND(K238="Finalizada",I238&lt;H238,L238=""),"Falta código de motivo","")))</f>
        <v/>
      </c>
      <c r="P238" s="9" t="str">
        <f aca="false">IF(OR(D238="",A238=""),"",IF(COUNTIFS(Revision_previa!$B:$B,D238,Revision_previa!$A:$A,"&gt;="&amp;A238,Revision_previa!$A:$A,"&lt;"&amp;(A238+1))=0,"Sin revisión",IF(COUNTIFS(Revision_previa!$B:$B,D238,Revision_previa!$A:$A,"&gt;="&amp;A238,Revision_previa!$A:$A,"&lt;"&amp;(A238+1),Revision_previa!$D:$D,"Falla")+COUNTIFS(Revision_previa!$B:$B,D238,Revision_previa!$A:$A,"&gt;="&amp;A238,Revision_previa!$A:$A,"&lt;"&amp;(A238+1),Revision_previa!$E:$E,"Falla")+COUNTIFS(Revision_previa!$B:$B,D238,Revision_previa!$A:$A,"&gt;="&amp;A238,Revision_previa!$A:$A,"&lt;"&amp;(A238+1),Revision_previa!$F:$F,"Falla")+COUNTIFS(Revision_previa!$B:$B,D238,Revision_previa!$A:$A,"&gt;="&amp;A238,Revision_previa!$A:$A,"&lt;"&amp;(A238+1),Revision_previa!$H:$H,"Encendido")&gt;0,"No apto","Apto")))</f>
        <v/>
      </c>
    </row>
    <row r="239" customFormat="false" ht="15" hidden="false" customHeight="false" outlineLevel="0" collapsed="false">
      <c r="A239" s="23"/>
      <c r="B239" s="9"/>
      <c r="C239" s="9"/>
      <c r="D239" s="9"/>
      <c r="E239" s="9" t="str">
        <f aca="false">IF(C239="","",IFERROR(INDEX(Conductores!$B:$B,MATCH(C239,Conductores!$A:$A,0)),"ID no encontrado"))</f>
        <v/>
      </c>
      <c r="F239" s="9" t="str">
        <f aca="false">IF(B239="","",IFERROR(INDEX(Rutas!$B:$B,MATCH(B239,Rutas!$A:$A,0)),"ID no encontrado"))</f>
        <v/>
      </c>
      <c r="G239" s="9" t="str">
        <f aca="false">IF(OR(B239="",C239="",D239=""),"",IF(OR(ISNA(MATCH(B239,Rutas!$A:$A,0)),ISNA(MATCH(C239,Conductores!$A:$A,0)),ISNA(MATCH(D239,Vehículos!$A:$A,0))),"REVISAR: ID no encontrado",IF(INDEX(Rutas!$C:$C,MATCH(B239,Rutas!$A:$A,0))&lt;&gt;INDEX(Vehículos!$B:$B,MATCH(D239,Vehículos!$A:$A,0)),"REVISAR: el vehículo no corresponde a la ruta",IF(INDEX(Rutas!$C:$C,MATCH(B239,Rutas!$A:$A,0))&lt;&gt;INDEX(Conductores!$D:$D,MATCH(C239,Conductores!$A:$A,0)),"REVISAR: el conductor no corresponde a la ruta",IF(OR(INDEX(Vehículos!$E:$E,MATCH(D239,Vehículos!$A:$A,0))="Taller",INDEX(Vehículos!$E:$E,MATCH(D239,Vehículos!$A:$A,0))="Fuera de servicio"),"REVISAR: vehículo no disponible",IF(INDEX(Conductores!$G:$G,MATCH(C239,Conductores!$A:$A,0))&lt;&gt;"Activo","REVISAR: conductor no activo",IF(COUNTIFS($A:$A,A239,$C:$C,C239)&gt;1,"REVISAR: conductor asignado dos veces",IF(COUNTIFS($A:$A,A239,$D:$D,D239)&gt;1,"REVISAR: vehículo asignado dos veces","OK"))))))))</f>
        <v/>
      </c>
      <c r="H239" s="9"/>
      <c r="I239" s="9"/>
      <c r="J239" s="14" t="str">
        <f aca="false">IF(OR(H239="",H239=0),"",I239/H239)</f>
        <v/>
      </c>
      <c r="K239" s="9"/>
      <c r="L239" s="9"/>
      <c r="M239" s="24"/>
      <c r="N239" s="9"/>
      <c r="O239" s="9" t="str">
        <f aca="false">IF(AND(OR(K239="En riesgo",K239="Atrasada"),L239=""),"Falta código de motivo",IF(AND(L239="OTR",N239=""),"Explica OTR en las notas",IF(AND(K239="Finalizada",I239&lt;H239,L239=""),"Falta código de motivo","")))</f>
        <v/>
      </c>
      <c r="P239" s="9" t="str">
        <f aca="false">IF(OR(D239="",A239=""),"",IF(COUNTIFS(Revision_previa!$B:$B,D239,Revision_previa!$A:$A,"&gt;="&amp;A239,Revision_previa!$A:$A,"&lt;"&amp;(A239+1))=0,"Sin revisión",IF(COUNTIFS(Revision_previa!$B:$B,D239,Revision_previa!$A:$A,"&gt;="&amp;A239,Revision_previa!$A:$A,"&lt;"&amp;(A239+1),Revision_previa!$D:$D,"Falla")+COUNTIFS(Revision_previa!$B:$B,D239,Revision_previa!$A:$A,"&gt;="&amp;A239,Revision_previa!$A:$A,"&lt;"&amp;(A239+1),Revision_previa!$E:$E,"Falla")+COUNTIFS(Revision_previa!$B:$B,D239,Revision_previa!$A:$A,"&gt;="&amp;A239,Revision_previa!$A:$A,"&lt;"&amp;(A239+1),Revision_previa!$F:$F,"Falla")+COUNTIFS(Revision_previa!$B:$B,D239,Revision_previa!$A:$A,"&gt;="&amp;A239,Revision_previa!$A:$A,"&lt;"&amp;(A239+1),Revision_previa!$H:$H,"Encendido")&gt;0,"No apto","Apto")))</f>
        <v/>
      </c>
    </row>
    <row r="240" customFormat="false" ht="15" hidden="false" customHeight="false" outlineLevel="0" collapsed="false">
      <c r="A240" s="23"/>
      <c r="B240" s="9"/>
      <c r="C240" s="9"/>
      <c r="D240" s="9"/>
      <c r="E240" s="9" t="str">
        <f aca="false">IF(C240="","",IFERROR(INDEX(Conductores!$B:$B,MATCH(C240,Conductores!$A:$A,0)),"ID no encontrado"))</f>
        <v/>
      </c>
      <c r="F240" s="9" t="str">
        <f aca="false">IF(B240="","",IFERROR(INDEX(Rutas!$B:$B,MATCH(B240,Rutas!$A:$A,0)),"ID no encontrado"))</f>
        <v/>
      </c>
      <c r="G240" s="9" t="str">
        <f aca="false">IF(OR(B240="",C240="",D240=""),"",IF(OR(ISNA(MATCH(B240,Rutas!$A:$A,0)),ISNA(MATCH(C240,Conductores!$A:$A,0)),ISNA(MATCH(D240,Vehículos!$A:$A,0))),"REVISAR: ID no encontrado",IF(INDEX(Rutas!$C:$C,MATCH(B240,Rutas!$A:$A,0))&lt;&gt;INDEX(Vehículos!$B:$B,MATCH(D240,Vehículos!$A:$A,0)),"REVISAR: el vehículo no corresponde a la ruta",IF(INDEX(Rutas!$C:$C,MATCH(B240,Rutas!$A:$A,0))&lt;&gt;INDEX(Conductores!$D:$D,MATCH(C240,Conductores!$A:$A,0)),"REVISAR: el conductor no corresponde a la ruta",IF(OR(INDEX(Vehículos!$E:$E,MATCH(D240,Vehículos!$A:$A,0))="Taller",INDEX(Vehículos!$E:$E,MATCH(D240,Vehículos!$A:$A,0))="Fuera de servicio"),"REVISAR: vehículo no disponible",IF(INDEX(Conductores!$G:$G,MATCH(C240,Conductores!$A:$A,0))&lt;&gt;"Activo","REVISAR: conductor no activo",IF(COUNTIFS($A:$A,A240,$C:$C,C240)&gt;1,"REVISAR: conductor asignado dos veces",IF(COUNTIFS($A:$A,A240,$D:$D,D240)&gt;1,"REVISAR: vehículo asignado dos veces","OK"))))))))</f>
        <v/>
      </c>
      <c r="H240" s="9"/>
      <c r="I240" s="9"/>
      <c r="J240" s="14" t="str">
        <f aca="false">IF(OR(H240="",H240=0),"",I240/H240)</f>
        <v/>
      </c>
      <c r="K240" s="9"/>
      <c r="L240" s="9"/>
      <c r="M240" s="24"/>
      <c r="N240" s="9"/>
      <c r="O240" s="9" t="str">
        <f aca="false">IF(AND(OR(K240="En riesgo",K240="Atrasada"),L240=""),"Falta código de motivo",IF(AND(L240="OTR",N240=""),"Explica OTR en las notas",IF(AND(K240="Finalizada",I240&lt;H240,L240=""),"Falta código de motivo","")))</f>
        <v/>
      </c>
      <c r="P240" s="9" t="str">
        <f aca="false">IF(OR(D240="",A240=""),"",IF(COUNTIFS(Revision_previa!$B:$B,D240,Revision_previa!$A:$A,"&gt;="&amp;A240,Revision_previa!$A:$A,"&lt;"&amp;(A240+1))=0,"Sin revisión",IF(COUNTIFS(Revision_previa!$B:$B,D240,Revision_previa!$A:$A,"&gt;="&amp;A240,Revision_previa!$A:$A,"&lt;"&amp;(A240+1),Revision_previa!$D:$D,"Falla")+COUNTIFS(Revision_previa!$B:$B,D240,Revision_previa!$A:$A,"&gt;="&amp;A240,Revision_previa!$A:$A,"&lt;"&amp;(A240+1),Revision_previa!$E:$E,"Falla")+COUNTIFS(Revision_previa!$B:$B,D240,Revision_previa!$A:$A,"&gt;="&amp;A240,Revision_previa!$A:$A,"&lt;"&amp;(A240+1),Revision_previa!$F:$F,"Falla")+COUNTIFS(Revision_previa!$B:$B,D240,Revision_previa!$A:$A,"&gt;="&amp;A240,Revision_previa!$A:$A,"&lt;"&amp;(A240+1),Revision_previa!$H:$H,"Encendido")&gt;0,"No apto","Apto")))</f>
        <v/>
      </c>
    </row>
    <row r="241" customFormat="false" ht="15" hidden="false" customHeight="false" outlineLevel="0" collapsed="false">
      <c r="A241" s="23"/>
      <c r="B241" s="9"/>
      <c r="C241" s="9"/>
      <c r="D241" s="9"/>
      <c r="E241" s="9" t="str">
        <f aca="false">IF(C241="","",IFERROR(INDEX(Conductores!$B:$B,MATCH(C241,Conductores!$A:$A,0)),"ID no encontrado"))</f>
        <v/>
      </c>
      <c r="F241" s="9" t="str">
        <f aca="false">IF(B241="","",IFERROR(INDEX(Rutas!$B:$B,MATCH(B241,Rutas!$A:$A,0)),"ID no encontrado"))</f>
        <v/>
      </c>
      <c r="G241" s="9" t="str">
        <f aca="false">IF(OR(B241="",C241="",D241=""),"",IF(OR(ISNA(MATCH(B241,Rutas!$A:$A,0)),ISNA(MATCH(C241,Conductores!$A:$A,0)),ISNA(MATCH(D241,Vehículos!$A:$A,0))),"REVISAR: ID no encontrado",IF(INDEX(Rutas!$C:$C,MATCH(B241,Rutas!$A:$A,0))&lt;&gt;INDEX(Vehículos!$B:$B,MATCH(D241,Vehículos!$A:$A,0)),"REVISAR: el vehículo no corresponde a la ruta",IF(INDEX(Rutas!$C:$C,MATCH(B241,Rutas!$A:$A,0))&lt;&gt;INDEX(Conductores!$D:$D,MATCH(C241,Conductores!$A:$A,0)),"REVISAR: el conductor no corresponde a la ruta",IF(OR(INDEX(Vehículos!$E:$E,MATCH(D241,Vehículos!$A:$A,0))="Taller",INDEX(Vehículos!$E:$E,MATCH(D241,Vehículos!$A:$A,0))="Fuera de servicio"),"REVISAR: vehículo no disponible",IF(INDEX(Conductores!$G:$G,MATCH(C241,Conductores!$A:$A,0))&lt;&gt;"Activo","REVISAR: conductor no activo",IF(COUNTIFS($A:$A,A241,$C:$C,C241)&gt;1,"REVISAR: conductor asignado dos veces",IF(COUNTIFS($A:$A,A241,$D:$D,D241)&gt;1,"REVISAR: vehículo asignado dos veces","OK"))))))))</f>
        <v/>
      </c>
      <c r="H241" s="9"/>
      <c r="I241" s="9"/>
      <c r="J241" s="14" t="str">
        <f aca="false">IF(OR(H241="",H241=0),"",I241/H241)</f>
        <v/>
      </c>
      <c r="K241" s="9"/>
      <c r="L241" s="9"/>
      <c r="M241" s="24"/>
      <c r="N241" s="9"/>
      <c r="O241" s="9" t="str">
        <f aca="false">IF(AND(OR(K241="En riesgo",K241="Atrasada"),L241=""),"Falta código de motivo",IF(AND(L241="OTR",N241=""),"Explica OTR en las notas",IF(AND(K241="Finalizada",I241&lt;H241,L241=""),"Falta código de motivo","")))</f>
        <v/>
      </c>
      <c r="P241" s="9" t="str">
        <f aca="false">IF(OR(D241="",A241=""),"",IF(COUNTIFS(Revision_previa!$B:$B,D241,Revision_previa!$A:$A,"&gt;="&amp;A241,Revision_previa!$A:$A,"&lt;"&amp;(A241+1))=0,"Sin revisión",IF(COUNTIFS(Revision_previa!$B:$B,D241,Revision_previa!$A:$A,"&gt;="&amp;A241,Revision_previa!$A:$A,"&lt;"&amp;(A241+1),Revision_previa!$D:$D,"Falla")+COUNTIFS(Revision_previa!$B:$B,D241,Revision_previa!$A:$A,"&gt;="&amp;A241,Revision_previa!$A:$A,"&lt;"&amp;(A241+1),Revision_previa!$E:$E,"Falla")+COUNTIFS(Revision_previa!$B:$B,D241,Revision_previa!$A:$A,"&gt;="&amp;A241,Revision_previa!$A:$A,"&lt;"&amp;(A241+1),Revision_previa!$F:$F,"Falla")+COUNTIFS(Revision_previa!$B:$B,D241,Revision_previa!$A:$A,"&gt;="&amp;A241,Revision_previa!$A:$A,"&lt;"&amp;(A241+1),Revision_previa!$H:$H,"Encendido")&gt;0,"No apto","Apto")))</f>
        <v/>
      </c>
    </row>
    <row r="242" customFormat="false" ht="15" hidden="false" customHeight="false" outlineLevel="0" collapsed="false">
      <c r="A242" s="23"/>
      <c r="B242" s="9"/>
      <c r="C242" s="9"/>
      <c r="D242" s="9"/>
      <c r="E242" s="9" t="str">
        <f aca="false">IF(C242="","",IFERROR(INDEX(Conductores!$B:$B,MATCH(C242,Conductores!$A:$A,0)),"ID no encontrado"))</f>
        <v/>
      </c>
      <c r="F242" s="9" t="str">
        <f aca="false">IF(B242="","",IFERROR(INDEX(Rutas!$B:$B,MATCH(B242,Rutas!$A:$A,0)),"ID no encontrado"))</f>
        <v/>
      </c>
      <c r="G242" s="9" t="str">
        <f aca="false">IF(OR(B242="",C242="",D242=""),"",IF(OR(ISNA(MATCH(B242,Rutas!$A:$A,0)),ISNA(MATCH(C242,Conductores!$A:$A,0)),ISNA(MATCH(D242,Vehículos!$A:$A,0))),"REVISAR: ID no encontrado",IF(INDEX(Rutas!$C:$C,MATCH(B242,Rutas!$A:$A,0))&lt;&gt;INDEX(Vehículos!$B:$B,MATCH(D242,Vehículos!$A:$A,0)),"REVISAR: el vehículo no corresponde a la ruta",IF(INDEX(Rutas!$C:$C,MATCH(B242,Rutas!$A:$A,0))&lt;&gt;INDEX(Conductores!$D:$D,MATCH(C242,Conductores!$A:$A,0)),"REVISAR: el conductor no corresponde a la ruta",IF(OR(INDEX(Vehículos!$E:$E,MATCH(D242,Vehículos!$A:$A,0))="Taller",INDEX(Vehículos!$E:$E,MATCH(D242,Vehículos!$A:$A,0))="Fuera de servicio"),"REVISAR: vehículo no disponible",IF(INDEX(Conductores!$G:$G,MATCH(C242,Conductores!$A:$A,0))&lt;&gt;"Activo","REVISAR: conductor no activo",IF(COUNTIFS($A:$A,A242,$C:$C,C242)&gt;1,"REVISAR: conductor asignado dos veces",IF(COUNTIFS($A:$A,A242,$D:$D,D242)&gt;1,"REVISAR: vehículo asignado dos veces","OK"))))))))</f>
        <v/>
      </c>
      <c r="H242" s="9"/>
      <c r="I242" s="9"/>
      <c r="J242" s="14" t="str">
        <f aca="false">IF(OR(H242="",H242=0),"",I242/H242)</f>
        <v/>
      </c>
      <c r="K242" s="9"/>
      <c r="L242" s="9"/>
      <c r="M242" s="24"/>
      <c r="N242" s="9"/>
      <c r="O242" s="9" t="str">
        <f aca="false">IF(AND(OR(K242="En riesgo",K242="Atrasada"),L242=""),"Falta código de motivo",IF(AND(L242="OTR",N242=""),"Explica OTR en las notas",IF(AND(K242="Finalizada",I242&lt;H242,L242=""),"Falta código de motivo","")))</f>
        <v/>
      </c>
      <c r="P242" s="9" t="str">
        <f aca="false">IF(OR(D242="",A242=""),"",IF(COUNTIFS(Revision_previa!$B:$B,D242,Revision_previa!$A:$A,"&gt;="&amp;A242,Revision_previa!$A:$A,"&lt;"&amp;(A242+1))=0,"Sin revisión",IF(COUNTIFS(Revision_previa!$B:$B,D242,Revision_previa!$A:$A,"&gt;="&amp;A242,Revision_previa!$A:$A,"&lt;"&amp;(A242+1),Revision_previa!$D:$D,"Falla")+COUNTIFS(Revision_previa!$B:$B,D242,Revision_previa!$A:$A,"&gt;="&amp;A242,Revision_previa!$A:$A,"&lt;"&amp;(A242+1),Revision_previa!$E:$E,"Falla")+COUNTIFS(Revision_previa!$B:$B,D242,Revision_previa!$A:$A,"&gt;="&amp;A242,Revision_previa!$A:$A,"&lt;"&amp;(A242+1),Revision_previa!$F:$F,"Falla")+COUNTIFS(Revision_previa!$B:$B,D242,Revision_previa!$A:$A,"&gt;="&amp;A242,Revision_previa!$A:$A,"&lt;"&amp;(A242+1),Revision_previa!$H:$H,"Encendido")&gt;0,"No apto","Apto")))</f>
        <v/>
      </c>
    </row>
    <row r="243" customFormat="false" ht="15" hidden="false" customHeight="false" outlineLevel="0" collapsed="false">
      <c r="A243" s="23"/>
      <c r="B243" s="9"/>
      <c r="C243" s="9"/>
      <c r="D243" s="9"/>
      <c r="E243" s="9" t="str">
        <f aca="false">IF(C243="","",IFERROR(INDEX(Conductores!$B:$B,MATCH(C243,Conductores!$A:$A,0)),"ID no encontrado"))</f>
        <v/>
      </c>
      <c r="F243" s="9" t="str">
        <f aca="false">IF(B243="","",IFERROR(INDEX(Rutas!$B:$B,MATCH(B243,Rutas!$A:$A,0)),"ID no encontrado"))</f>
        <v/>
      </c>
      <c r="G243" s="9" t="str">
        <f aca="false">IF(OR(B243="",C243="",D243=""),"",IF(OR(ISNA(MATCH(B243,Rutas!$A:$A,0)),ISNA(MATCH(C243,Conductores!$A:$A,0)),ISNA(MATCH(D243,Vehículos!$A:$A,0))),"REVISAR: ID no encontrado",IF(INDEX(Rutas!$C:$C,MATCH(B243,Rutas!$A:$A,0))&lt;&gt;INDEX(Vehículos!$B:$B,MATCH(D243,Vehículos!$A:$A,0)),"REVISAR: el vehículo no corresponde a la ruta",IF(INDEX(Rutas!$C:$C,MATCH(B243,Rutas!$A:$A,0))&lt;&gt;INDEX(Conductores!$D:$D,MATCH(C243,Conductores!$A:$A,0)),"REVISAR: el conductor no corresponde a la ruta",IF(OR(INDEX(Vehículos!$E:$E,MATCH(D243,Vehículos!$A:$A,0))="Taller",INDEX(Vehículos!$E:$E,MATCH(D243,Vehículos!$A:$A,0))="Fuera de servicio"),"REVISAR: vehículo no disponible",IF(INDEX(Conductores!$G:$G,MATCH(C243,Conductores!$A:$A,0))&lt;&gt;"Activo","REVISAR: conductor no activo",IF(COUNTIFS($A:$A,A243,$C:$C,C243)&gt;1,"REVISAR: conductor asignado dos veces",IF(COUNTIFS($A:$A,A243,$D:$D,D243)&gt;1,"REVISAR: vehículo asignado dos veces","OK"))))))))</f>
        <v/>
      </c>
      <c r="H243" s="9"/>
      <c r="I243" s="9"/>
      <c r="J243" s="14" t="str">
        <f aca="false">IF(OR(H243="",H243=0),"",I243/H243)</f>
        <v/>
      </c>
      <c r="K243" s="9"/>
      <c r="L243" s="9"/>
      <c r="M243" s="24"/>
      <c r="N243" s="9"/>
      <c r="O243" s="9" t="str">
        <f aca="false">IF(AND(OR(K243="En riesgo",K243="Atrasada"),L243=""),"Falta código de motivo",IF(AND(L243="OTR",N243=""),"Explica OTR en las notas",IF(AND(K243="Finalizada",I243&lt;H243,L243=""),"Falta código de motivo","")))</f>
        <v/>
      </c>
      <c r="P243" s="9" t="str">
        <f aca="false">IF(OR(D243="",A243=""),"",IF(COUNTIFS(Revision_previa!$B:$B,D243,Revision_previa!$A:$A,"&gt;="&amp;A243,Revision_previa!$A:$A,"&lt;"&amp;(A243+1))=0,"Sin revisión",IF(COUNTIFS(Revision_previa!$B:$B,D243,Revision_previa!$A:$A,"&gt;="&amp;A243,Revision_previa!$A:$A,"&lt;"&amp;(A243+1),Revision_previa!$D:$D,"Falla")+COUNTIFS(Revision_previa!$B:$B,D243,Revision_previa!$A:$A,"&gt;="&amp;A243,Revision_previa!$A:$A,"&lt;"&amp;(A243+1),Revision_previa!$E:$E,"Falla")+COUNTIFS(Revision_previa!$B:$B,D243,Revision_previa!$A:$A,"&gt;="&amp;A243,Revision_previa!$A:$A,"&lt;"&amp;(A243+1),Revision_previa!$F:$F,"Falla")+COUNTIFS(Revision_previa!$B:$B,D243,Revision_previa!$A:$A,"&gt;="&amp;A243,Revision_previa!$A:$A,"&lt;"&amp;(A243+1),Revision_previa!$H:$H,"Encendido")&gt;0,"No apto","Apto")))</f>
        <v/>
      </c>
    </row>
    <row r="244" customFormat="false" ht="15" hidden="false" customHeight="false" outlineLevel="0" collapsed="false">
      <c r="A244" s="23"/>
      <c r="B244" s="9"/>
      <c r="C244" s="9"/>
      <c r="D244" s="9"/>
      <c r="E244" s="9" t="str">
        <f aca="false">IF(C244="","",IFERROR(INDEX(Conductores!$B:$B,MATCH(C244,Conductores!$A:$A,0)),"ID no encontrado"))</f>
        <v/>
      </c>
      <c r="F244" s="9" t="str">
        <f aca="false">IF(B244="","",IFERROR(INDEX(Rutas!$B:$B,MATCH(B244,Rutas!$A:$A,0)),"ID no encontrado"))</f>
        <v/>
      </c>
      <c r="G244" s="9" t="str">
        <f aca="false">IF(OR(B244="",C244="",D244=""),"",IF(OR(ISNA(MATCH(B244,Rutas!$A:$A,0)),ISNA(MATCH(C244,Conductores!$A:$A,0)),ISNA(MATCH(D244,Vehículos!$A:$A,0))),"REVISAR: ID no encontrado",IF(INDEX(Rutas!$C:$C,MATCH(B244,Rutas!$A:$A,0))&lt;&gt;INDEX(Vehículos!$B:$B,MATCH(D244,Vehículos!$A:$A,0)),"REVISAR: el vehículo no corresponde a la ruta",IF(INDEX(Rutas!$C:$C,MATCH(B244,Rutas!$A:$A,0))&lt;&gt;INDEX(Conductores!$D:$D,MATCH(C244,Conductores!$A:$A,0)),"REVISAR: el conductor no corresponde a la ruta",IF(OR(INDEX(Vehículos!$E:$E,MATCH(D244,Vehículos!$A:$A,0))="Taller",INDEX(Vehículos!$E:$E,MATCH(D244,Vehículos!$A:$A,0))="Fuera de servicio"),"REVISAR: vehículo no disponible",IF(INDEX(Conductores!$G:$G,MATCH(C244,Conductores!$A:$A,0))&lt;&gt;"Activo","REVISAR: conductor no activo",IF(COUNTIFS($A:$A,A244,$C:$C,C244)&gt;1,"REVISAR: conductor asignado dos veces",IF(COUNTIFS($A:$A,A244,$D:$D,D244)&gt;1,"REVISAR: vehículo asignado dos veces","OK"))))))))</f>
        <v/>
      </c>
      <c r="H244" s="9"/>
      <c r="I244" s="9"/>
      <c r="J244" s="14" t="str">
        <f aca="false">IF(OR(H244="",H244=0),"",I244/H244)</f>
        <v/>
      </c>
      <c r="K244" s="9"/>
      <c r="L244" s="9"/>
      <c r="M244" s="24"/>
      <c r="N244" s="9"/>
      <c r="O244" s="9" t="str">
        <f aca="false">IF(AND(OR(K244="En riesgo",K244="Atrasada"),L244=""),"Falta código de motivo",IF(AND(L244="OTR",N244=""),"Explica OTR en las notas",IF(AND(K244="Finalizada",I244&lt;H244,L244=""),"Falta código de motivo","")))</f>
        <v/>
      </c>
      <c r="P244" s="9" t="str">
        <f aca="false">IF(OR(D244="",A244=""),"",IF(COUNTIFS(Revision_previa!$B:$B,D244,Revision_previa!$A:$A,"&gt;="&amp;A244,Revision_previa!$A:$A,"&lt;"&amp;(A244+1))=0,"Sin revisión",IF(COUNTIFS(Revision_previa!$B:$B,D244,Revision_previa!$A:$A,"&gt;="&amp;A244,Revision_previa!$A:$A,"&lt;"&amp;(A244+1),Revision_previa!$D:$D,"Falla")+COUNTIFS(Revision_previa!$B:$B,D244,Revision_previa!$A:$A,"&gt;="&amp;A244,Revision_previa!$A:$A,"&lt;"&amp;(A244+1),Revision_previa!$E:$E,"Falla")+COUNTIFS(Revision_previa!$B:$B,D244,Revision_previa!$A:$A,"&gt;="&amp;A244,Revision_previa!$A:$A,"&lt;"&amp;(A244+1),Revision_previa!$F:$F,"Falla")+COUNTIFS(Revision_previa!$B:$B,D244,Revision_previa!$A:$A,"&gt;="&amp;A244,Revision_previa!$A:$A,"&lt;"&amp;(A244+1),Revision_previa!$H:$H,"Encendido")&gt;0,"No apto","Apto")))</f>
        <v/>
      </c>
    </row>
    <row r="245" customFormat="false" ht="15" hidden="false" customHeight="false" outlineLevel="0" collapsed="false">
      <c r="A245" s="23"/>
      <c r="B245" s="9"/>
      <c r="C245" s="9"/>
      <c r="D245" s="9"/>
      <c r="E245" s="9" t="str">
        <f aca="false">IF(C245="","",IFERROR(INDEX(Conductores!$B:$B,MATCH(C245,Conductores!$A:$A,0)),"ID no encontrado"))</f>
        <v/>
      </c>
      <c r="F245" s="9" t="str">
        <f aca="false">IF(B245="","",IFERROR(INDEX(Rutas!$B:$B,MATCH(B245,Rutas!$A:$A,0)),"ID no encontrado"))</f>
        <v/>
      </c>
      <c r="G245" s="9" t="str">
        <f aca="false">IF(OR(B245="",C245="",D245=""),"",IF(OR(ISNA(MATCH(B245,Rutas!$A:$A,0)),ISNA(MATCH(C245,Conductores!$A:$A,0)),ISNA(MATCH(D245,Vehículos!$A:$A,0))),"REVISAR: ID no encontrado",IF(INDEX(Rutas!$C:$C,MATCH(B245,Rutas!$A:$A,0))&lt;&gt;INDEX(Vehículos!$B:$B,MATCH(D245,Vehículos!$A:$A,0)),"REVISAR: el vehículo no corresponde a la ruta",IF(INDEX(Rutas!$C:$C,MATCH(B245,Rutas!$A:$A,0))&lt;&gt;INDEX(Conductores!$D:$D,MATCH(C245,Conductores!$A:$A,0)),"REVISAR: el conductor no corresponde a la ruta",IF(OR(INDEX(Vehículos!$E:$E,MATCH(D245,Vehículos!$A:$A,0))="Taller",INDEX(Vehículos!$E:$E,MATCH(D245,Vehículos!$A:$A,0))="Fuera de servicio"),"REVISAR: vehículo no disponible",IF(INDEX(Conductores!$G:$G,MATCH(C245,Conductores!$A:$A,0))&lt;&gt;"Activo","REVISAR: conductor no activo",IF(COUNTIFS($A:$A,A245,$C:$C,C245)&gt;1,"REVISAR: conductor asignado dos veces",IF(COUNTIFS($A:$A,A245,$D:$D,D245)&gt;1,"REVISAR: vehículo asignado dos veces","OK"))))))))</f>
        <v/>
      </c>
      <c r="H245" s="9"/>
      <c r="I245" s="9"/>
      <c r="J245" s="14" t="str">
        <f aca="false">IF(OR(H245="",H245=0),"",I245/H245)</f>
        <v/>
      </c>
      <c r="K245" s="9"/>
      <c r="L245" s="9"/>
      <c r="M245" s="24"/>
      <c r="N245" s="9"/>
      <c r="O245" s="9" t="str">
        <f aca="false">IF(AND(OR(K245="En riesgo",K245="Atrasada"),L245=""),"Falta código de motivo",IF(AND(L245="OTR",N245=""),"Explica OTR en las notas",IF(AND(K245="Finalizada",I245&lt;H245,L245=""),"Falta código de motivo","")))</f>
        <v/>
      </c>
      <c r="P245" s="9" t="str">
        <f aca="false">IF(OR(D245="",A245=""),"",IF(COUNTIFS(Revision_previa!$B:$B,D245,Revision_previa!$A:$A,"&gt;="&amp;A245,Revision_previa!$A:$A,"&lt;"&amp;(A245+1))=0,"Sin revisión",IF(COUNTIFS(Revision_previa!$B:$B,D245,Revision_previa!$A:$A,"&gt;="&amp;A245,Revision_previa!$A:$A,"&lt;"&amp;(A245+1),Revision_previa!$D:$D,"Falla")+COUNTIFS(Revision_previa!$B:$B,D245,Revision_previa!$A:$A,"&gt;="&amp;A245,Revision_previa!$A:$A,"&lt;"&amp;(A245+1),Revision_previa!$E:$E,"Falla")+COUNTIFS(Revision_previa!$B:$B,D245,Revision_previa!$A:$A,"&gt;="&amp;A245,Revision_previa!$A:$A,"&lt;"&amp;(A245+1),Revision_previa!$F:$F,"Falla")+COUNTIFS(Revision_previa!$B:$B,D245,Revision_previa!$A:$A,"&gt;="&amp;A245,Revision_previa!$A:$A,"&lt;"&amp;(A245+1),Revision_previa!$H:$H,"Encendido")&gt;0,"No apto","Apto")))</f>
        <v/>
      </c>
    </row>
    <row r="246" customFormat="false" ht="15" hidden="false" customHeight="false" outlineLevel="0" collapsed="false">
      <c r="A246" s="23"/>
      <c r="B246" s="9"/>
      <c r="C246" s="9"/>
      <c r="D246" s="9"/>
      <c r="E246" s="9" t="str">
        <f aca="false">IF(C246="","",IFERROR(INDEX(Conductores!$B:$B,MATCH(C246,Conductores!$A:$A,0)),"ID no encontrado"))</f>
        <v/>
      </c>
      <c r="F246" s="9" t="str">
        <f aca="false">IF(B246="","",IFERROR(INDEX(Rutas!$B:$B,MATCH(B246,Rutas!$A:$A,0)),"ID no encontrado"))</f>
        <v/>
      </c>
      <c r="G246" s="9" t="str">
        <f aca="false">IF(OR(B246="",C246="",D246=""),"",IF(OR(ISNA(MATCH(B246,Rutas!$A:$A,0)),ISNA(MATCH(C246,Conductores!$A:$A,0)),ISNA(MATCH(D246,Vehículos!$A:$A,0))),"REVISAR: ID no encontrado",IF(INDEX(Rutas!$C:$C,MATCH(B246,Rutas!$A:$A,0))&lt;&gt;INDEX(Vehículos!$B:$B,MATCH(D246,Vehículos!$A:$A,0)),"REVISAR: el vehículo no corresponde a la ruta",IF(INDEX(Rutas!$C:$C,MATCH(B246,Rutas!$A:$A,0))&lt;&gt;INDEX(Conductores!$D:$D,MATCH(C246,Conductores!$A:$A,0)),"REVISAR: el conductor no corresponde a la ruta",IF(OR(INDEX(Vehículos!$E:$E,MATCH(D246,Vehículos!$A:$A,0))="Taller",INDEX(Vehículos!$E:$E,MATCH(D246,Vehículos!$A:$A,0))="Fuera de servicio"),"REVISAR: vehículo no disponible",IF(INDEX(Conductores!$G:$G,MATCH(C246,Conductores!$A:$A,0))&lt;&gt;"Activo","REVISAR: conductor no activo",IF(COUNTIFS($A:$A,A246,$C:$C,C246)&gt;1,"REVISAR: conductor asignado dos veces",IF(COUNTIFS($A:$A,A246,$D:$D,D246)&gt;1,"REVISAR: vehículo asignado dos veces","OK"))))))))</f>
        <v/>
      </c>
      <c r="H246" s="9"/>
      <c r="I246" s="9"/>
      <c r="J246" s="14" t="str">
        <f aca="false">IF(OR(H246="",H246=0),"",I246/H246)</f>
        <v/>
      </c>
      <c r="K246" s="9"/>
      <c r="L246" s="9"/>
      <c r="M246" s="24"/>
      <c r="N246" s="9"/>
      <c r="O246" s="9" t="str">
        <f aca="false">IF(AND(OR(K246="En riesgo",K246="Atrasada"),L246=""),"Falta código de motivo",IF(AND(L246="OTR",N246=""),"Explica OTR en las notas",IF(AND(K246="Finalizada",I246&lt;H246,L246=""),"Falta código de motivo","")))</f>
        <v/>
      </c>
      <c r="P246" s="9" t="str">
        <f aca="false">IF(OR(D246="",A246=""),"",IF(COUNTIFS(Revision_previa!$B:$B,D246,Revision_previa!$A:$A,"&gt;="&amp;A246,Revision_previa!$A:$A,"&lt;"&amp;(A246+1))=0,"Sin revisión",IF(COUNTIFS(Revision_previa!$B:$B,D246,Revision_previa!$A:$A,"&gt;="&amp;A246,Revision_previa!$A:$A,"&lt;"&amp;(A246+1),Revision_previa!$D:$D,"Falla")+COUNTIFS(Revision_previa!$B:$B,D246,Revision_previa!$A:$A,"&gt;="&amp;A246,Revision_previa!$A:$A,"&lt;"&amp;(A246+1),Revision_previa!$E:$E,"Falla")+COUNTIFS(Revision_previa!$B:$B,D246,Revision_previa!$A:$A,"&gt;="&amp;A246,Revision_previa!$A:$A,"&lt;"&amp;(A246+1),Revision_previa!$F:$F,"Falla")+COUNTIFS(Revision_previa!$B:$B,D246,Revision_previa!$A:$A,"&gt;="&amp;A246,Revision_previa!$A:$A,"&lt;"&amp;(A246+1),Revision_previa!$H:$H,"Encendido")&gt;0,"No apto","Apto")))</f>
        <v/>
      </c>
    </row>
    <row r="247" customFormat="false" ht="15" hidden="false" customHeight="false" outlineLevel="0" collapsed="false">
      <c r="A247" s="23"/>
      <c r="B247" s="9"/>
      <c r="C247" s="9"/>
      <c r="D247" s="9"/>
      <c r="E247" s="9" t="str">
        <f aca="false">IF(C247="","",IFERROR(INDEX(Conductores!$B:$B,MATCH(C247,Conductores!$A:$A,0)),"ID no encontrado"))</f>
        <v/>
      </c>
      <c r="F247" s="9" t="str">
        <f aca="false">IF(B247="","",IFERROR(INDEX(Rutas!$B:$B,MATCH(B247,Rutas!$A:$A,0)),"ID no encontrado"))</f>
        <v/>
      </c>
      <c r="G247" s="9" t="str">
        <f aca="false">IF(OR(B247="",C247="",D247=""),"",IF(OR(ISNA(MATCH(B247,Rutas!$A:$A,0)),ISNA(MATCH(C247,Conductores!$A:$A,0)),ISNA(MATCH(D247,Vehículos!$A:$A,0))),"REVISAR: ID no encontrado",IF(INDEX(Rutas!$C:$C,MATCH(B247,Rutas!$A:$A,0))&lt;&gt;INDEX(Vehículos!$B:$B,MATCH(D247,Vehículos!$A:$A,0)),"REVISAR: el vehículo no corresponde a la ruta",IF(INDEX(Rutas!$C:$C,MATCH(B247,Rutas!$A:$A,0))&lt;&gt;INDEX(Conductores!$D:$D,MATCH(C247,Conductores!$A:$A,0)),"REVISAR: el conductor no corresponde a la ruta",IF(OR(INDEX(Vehículos!$E:$E,MATCH(D247,Vehículos!$A:$A,0))="Taller",INDEX(Vehículos!$E:$E,MATCH(D247,Vehículos!$A:$A,0))="Fuera de servicio"),"REVISAR: vehículo no disponible",IF(INDEX(Conductores!$G:$G,MATCH(C247,Conductores!$A:$A,0))&lt;&gt;"Activo","REVISAR: conductor no activo",IF(COUNTIFS($A:$A,A247,$C:$C,C247)&gt;1,"REVISAR: conductor asignado dos veces",IF(COUNTIFS($A:$A,A247,$D:$D,D247)&gt;1,"REVISAR: vehículo asignado dos veces","OK"))))))))</f>
        <v/>
      </c>
      <c r="H247" s="9"/>
      <c r="I247" s="9"/>
      <c r="J247" s="14" t="str">
        <f aca="false">IF(OR(H247="",H247=0),"",I247/H247)</f>
        <v/>
      </c>
      <c r="K247" s="9"/>
      <c r="L247" s="9"/>
      <c r="M247" s="24"/>
      <c r="N247" s="9"/>
      <c r="O247" s="9" t="str">
        <f aca="false">IF(AND(OR(K247="En riesgo",K247="Atrasada"),L247=""),"Falta código de motivo",IF(AND(L247="OTR",N247=""),"Explica OTR en las notas",IF(AND(K247="Finalizada",I247&lt;H247,L247=""),"Falta código de motivo","")))</f>
        <v/>
      </c>
      <c r="P247" s="9" t="str">
        <f aca="false">IF(OR(D247="",A247=""),"",IF(COUNTIFS(Revision_previa!$B:$B,D247,Revision_previa!$A:$A,"&gt;="&amp;A247,Revision_previa!$A:$A,"&lt;"&amp;(A247+1))=0,"Sin revisión",IF(COUNTIFS(Revision_previa!$B:$B,D247,Revision_previa!$A:$A,"&gt;="&amp;A247,Revision_previa!$A:$A,"&lt;"&amp;(A247+1),Revision_previa!$D:$D,"Falla")+COUNTIFS(Revision_previa!$B:$B,D247,Revision_previa!$A:$A,"&gt;="&amp;A247,Revision_previa!$A:$A,"&lt;"&amp;(A247+1),Revision_previa!$E:$E,"Falla")+COUNTIFS(Revision_previa!$B:$B,D247,Revision_previa!$A:$A,"&gt;="&amp;A247,Revision_previa!$A:$A,"&lt;"&amp;(A247+1),Revision_previa!$F:$F,"Falla")+COUNTIFS(Revision_previa!$B:$B,D247,Revision_previa!$A:$A,"&gt;="&amp;A247,Revision_previa!$A:$A,"&lt;"&amp;(A247+1),Revision_previa!$H:$H,"Encendido")&gt;0,"No apto","Apto")))</f>
        <v/>
      </c>
    </row>
    <row r="248" customFormat="false" ht="15" hidden="false" customHeight="false" outlineLevel="0" collapsed="false">
      <c r="A248" s="23"/>
      <c r="B248" s="9"/>
      <c r="C248" s="9"/>
      <c r="D248" s="9"/>
      <c r="E248" s="9" t="str">
        <f aca="false">IF(C248="","",IFERROR(INDEX(Conductores!$B:$B,MATCH(C248,Conductores!$A:$A,0)),"ID no encontrado"))</f>
        <v/>
      </c>
      <c r="F248" s="9" t="str">
        <f aca="false">IF(B248="","",IFERROR(INDEX(Rutas!$B:$B,MATCH(B248,Rutas!$A:$A,0)),"ID no encontrado"))</f>
        <v/>
      </c>
      <c r="G248" s="9" t="str">
        <f aca="false">IF(OR(B248="",C248="",D248=""),"",IF(OR(ISNA(MATCH(B248,Rutas!$A:$A,0)),ISNA(MATCH(C248,Conductores!$A:$A,0)),ISNA(MATCH(D248,Vehículos!$A:$A,0))),"REVISAR: ID no encontrado",IF(INDEX(Rutas!$C:$C,MATCH(B248,Rutas!$A:$A,0))&lt;&gt;INDEX(Vehículos!$B:$B,MATCH(D248,Vehículos!$A:$A,0)),"REVISAR: el vehículo no corresponde a la ruta",IF(INDEX(Rutas!$C:$C,MATCH(B248,Rutas!$A:$A,0))&lt;&gt;INDEX(Conductores!$D:$D,MATCH(C248,Conductores!$A:$A,0)),"REVISAR: el conductor no corresponde a la ruta",IF(OR(INDEX(Vehículos!$E:$E,MATCH(D248,Vehículos!$A:$A,0))="Taller",INDEX(Vehículos!$E:$E,MATCH(D248,Vehículos!$A:$A,0))="Fuera de servicio"),"REVISAR: vehículo no disponible",IF(INDEX(Conductores!$G:$G,MATCH(C248,Conductores!$A:$A,0))&lt;&gt;"Activo","REVISAR: conductor no activo",IF(COUNTIFS($A:$A,A248,$C:$C,C248)&gt;1,"REVISAR: conductor asignado dos veces",IF(COUNTIFS($A:$A,A248,$D:$D,D248)&gt;1,"REVISAR: vehículo asignado dos veces","OK"))))))))</f>
        <v/>
      </c>
      <c r="H248" s="9"/>
      <c r="I248" s="9"/>
      <c r="J248" s="14" t="str">
        <f aca="false">IF(OR(H248="",H248=0),"",I248/H248)</f>
        <v/>
      </c>
      <c r="K248" s="9"/>
      <c r="L248" s="9"/>
      <c r="M248" s="24"/>
      <c r="N248" s="9"/>
      <c r="O248" s="9" t="str">
        <f aca="false">IF(AND(OR(K248="En riesgo",K248="Atrasada"),L248=""),"Falta código de motivo",IF(AND(L248="OTR",N248=""),"Explica OTR en las notas",IF(AND(K248="Finalizada",I248&lt;H248,L248=""),"Falta código de motivo","")))</f>
        <v/>
      </c>
      <c r="P248" s="9" t="str">
        <f aca="false">IF(OR(D248="",A248=""),"",IF(COUNTIFS(Revision_previa!$B:$B,D248,Revision_previa!$A:$A,"&gt;="&amp;A248,Revision_previa!$A:$A,"&lt;"&amp;(A248+1))=0,"Sin revisión",IF(COUNTIFS(Revision_previa!$B:$B,D248,Revision_previa!$A:$A,"&gt;="&amp;A248,Revision_previa!$A:$A,"&lt;"&amp;(A248+1),Revision_previa!$D:$D,"Falla")+COUNTIFS(Revision_previa!$B:$B,D248,Revision_previa!$A:$A,"&gt;="&amp;A248,Revision_previa!$A:$A,"&lt;"&amp;(A248+1),Revision_previa!$E:$E,"Falla")+COUNTIFS(Revision_previa!$B:$B,D248,Revision_previa!$A:$A,"&gt;="&amp;A248,Revision_previa!$A:$A,"&lt;"&amp;(A248+1),Revision_previa!$F:$F,"Falla")+COUNTIFS(Revision_previa!$B:$B,D248,Revision_previa!$A:$A,"&gt;="&amp;A248,Revision_previa!$A:$A,"&lt;"&amp;(A248+1),Revision_previa!$H:$H,"Encendido")&gt;0,"No apto","Apto")))</f>
        <v/>
      </c>
    </row>
    <row r="249" customFormat="false" ht="15" hidden="false" customHeight="false" outlineLevel="0" collapsed="false">
      <c r="A249" s="23"/>
      <c r="B249" s="9"/>
      <c r="C249" s="9"/>
      <c r="D249" s="9"/>
      <c r="E249" s="9" t="str">
        <f aca="false">IF(C249="","",IFERROR(INDEX(Conductores!$B:$B,MATCH(C249,Conductores!$A:$A,0)),"ID no encontrado"))</f>
        <v/>
      </c>
      <c r="F249" s="9" t="str">
        <f aca="false">IF(B249="","",IFERROR(INDEX(Rutas!$B:$B,MATCH(B249,Rutas!$A:$A,0)),"ID no encontrado"))</f>
        <v/>
      </c>
      <c r="G249" s="9" t="str">
        <f aca="false">IF(OR(B249="",C249="",D249=""),"",IF(OR(ISNA(MATCH(B249,Rutas!$A:$A,0)),ISNA(MATCH(C249,Conductores!$A:$A,0)),ISNA(MATCH(D249,Vehículos!$A:$A,0))),"REVISAR: ID no encontrado",IF(INDEX(Rutas!$C:$C,MATCH(B249,Rutas!$A:$A,0))&lt;&gt;INDEX(Vehículos!$B:$B,MATCH(D249,Vehículos!$A:$A,0)),"REVISAR: el vehículo no corresponde a la ruta",IF(INDEX(Rutas!$C:$C,MATCH(B249,Rutas!$A:$A,0))&lt;&gt;INDEX(Conductores!$D:$D,MATCH(C249,Conductores!$A:$A,0)),"REVISAR: el conductor no corresponde a la ruta",IF(OR(INDEX(Vehículos!$E:$E,MATCH(D249,Vehículos!$A:$A,0))="Taller",INDEX(Vehículos!$E:$E,MATCH(D249,Vehículos!$A:$A,0))="Fuera de servicio"),"REVISAR: vehículo no disponible",IF(INDEX(Conductores!$G:$G,MATCH(C249,Conductores!$A:$A,0))&lt;&gt;"Activo","REVISAR: conductor no activo",IF(COUNTIFS($A:$A,A249,$C:$C,C249)&gt;1,"REVISAR: conductor asignado dos veces",IF(COUNTIFS($A:$A,A249,$D:$D,D249)&gt;1,"REVISAR: vehículo asignado dos veces","OK"))))))))</f>
        <v/>
      </c>
      <c r="H249" s="9"/>
      <c r="I249" s="9"/>
      <c r="J249" s="14" t="str">
        <f aca="false">IF(OR(H249="",H249=0),"",I249/H249)</f>
        <v/>
      </c>
      <c r="K249" s="9"/>
      <c r="L249" s="9"/>
      <c r="M249" s="24"/>
      <c r="N249" s="9"/>
      <c r="O249" s="9" t="str">
        <f aca="false">IF(AND(OR(K249="En riesgo",K249="Atrasada"),L249=""),"Falta código de motivo",IF(AND(L249="OTR",N249=""),"Explica OTR en las notas",IF(AND(K249="Finalizada",I249&lt;H249,L249=""),"Falta código de motivo","")))</f>
        <v/>
      </c>
      <c r="P249" s="9" t="str">
        <f aca="false">IF(OR(D249="",A249=""),"",IF(COUNTIFS(Revision_previa!$B:$B,D249,Revision_previa!$A:$A,"&gt;="&amp;A249,Revision_previa!$A:$A,"&lt;"&amp;(A249+1))=0,"Sin revisión",IF(COUNTIFS(Revision_previa!$B:$B,D249,Revision_previa!$A:$A,"&gt;="&amp;A249,Revision_previa!$A:$A,"&lt;"&amp;(A249+1),Revision_previa!$D:$D,"Falla")+COUNTIFS(Revision_previa!$B:$B,D249,Revision_previa!$A:$A,"&gt;="&amp;A249,Revision_previa!$A:$A,"&lt;"&amp;(A249+1),Revision_previa!$E:$E,"Falla")+COUNTIFS(Revision_previa!$B:$B,D249,Revision_previa!$A:$A,"&gt;="&amp;A249,Revision_previa!$A:$A,"&lt;"&amp;(A249+1),Revision_previa!$F:$F,"Falla")+COUNTIFS(Revision_previa!$B:$B,D249,Revision_previa!$A:$A,"&gt;="&amp;A249,Revision_previa!$A:$A,"&lt;"&amp;(A249+1),Revision_previa!$H:$H,"Encendido")&gt;0,"No apto","Apto")))</f>
        <v/>
      </c>
    </row>
    <row r="250" customFormat="false" ht="15" hidden="false" customHeight="false" outlineLevel="0" collapsed="false">
      <c r="A250" s="23"/>
      <c r="B250" s="9"/>
      <c r="C250" s="9"/>
      <c r="D250" s="9"/>
      <c r="E250" s="9" t="str">
        <f aca="false">IF(C250="","",IFERROR(INDEX(Conductores!$B:$B,MATCH(C250,Conductores!$A:$A,0)),"ID no encontrado"))</f>
        <v/>
      </c>
      <c r="F250" s="9" t="str">
        <f aca="false">IF(B250="","",IFERROR(INDEX(Rutas!$B:$B,MATCH(B250,Rutas!$A:$A,0)),"ID no encontrado"))</f>
        <v/>
      </c>
      <c r="G250" s="9" t="str">
        <f aca="false">IF(OR(B250="",C250="",D250=""),"",IF(OR(ISNA(MATCH(B250,Rutas!$A:$A,0)),ISNA(MATCH(C250,Conductores!$A:$A,0)),ISNA(MATCH(D250,Vehículos!$A:$A,0))),"REVISAR: ID no encontrado",IF(INDEX(Rutas!$C:$C,MATCH(B250,Rutas!$A:$A,0))&lt;&gt;INDEX(Vehículos!$B:$B,MATCH(D250,Vehículos!$A:$A,0)),"REVISAR: el vehículo no corresponde a la ruta",IF(INDEX(Rutas!$C:$C,MATCH(B250,Rutas!$A:$A,0))&lt;&gt;INDEX(Conductores!$D:$D,MATCH(C250,Conductores!$A:$A,0)),"REVISAR: el conductor no corresponde a la ruta",IF(OR(INDEX(Vehículos!$E:$E,MATCH(D250,Vehículos!$A:$A,0))="Taller",INDEX(Vehículos!$E:$E,MATCH(D250,Vehículos!$A:$A,0))="Fuera de servicio"),"REVISAR: vehículo no disponible",IF(INDEX(Conductores!$G:$G,MATCH(C250,Conductores!$A:$A,0))&lt;&gt;"Activo","REVISAR: conductor no activo",IF(COUNTIFS($A:$A,A250,$C:$C,C250)&gt;1,"REVISAR: conductor asignado dos veces",IF(COUNTIFS($A:$A,A250,$D:$D,D250)&gt;1,"REVISAR: vehículo asignado dos veces","OK"))))))))</f>
        <v/>
      </c>
      <c r="H250" s="9"/>
      <c r="I250" s="9"/>
      <c r="J250" s="14" t="str">
        <f aca="false">IF(OR(H250="",H250=0),"",I250/H250)</f>
        <v/>
      </c>
      <c r="K250" s="9"/>
      <c r="L250" s="9"/>
      <c r="M250" s="24"/>
      <c r="N250" s="9"/>
      <c r="O250" s="9" t="str">
        <f aca="false">IF(AND(OR(K250="En riesgo",K250="Atrasada"),L250=""),"Falta código de motivo",IF(AND(L250="OTR",N250=""),"Explica OTR en las notas",IF(AND(K250="Finalizada",I250&lt;H250,L250=""),"Falta código de motivo","")))</f>
        <v/>
      </c>
      <c r="P250" s="9" t="str">
        <f aca="false">IF(OR(D250="",A250=""),"",IF(COUNTIFS(Revision_previa!$B:$B,D250,Revision_previa!$A:$A,"&gt;="&amp;A250,Revision_previa!$A:$A,"&lt;"&amp;(A250+1))=0,"Sin revisión",IF(COUNTIFS(Revision_previa!$B:$B,D250,Revision_previa!$A:$A,"&gt;="&amp;A250,Revision_previa!$A:$A,"&lt;"&amp;(A250+1),Revision_previa!$D:$D,"Falla")+COUNTIFS(Revision_previa!$B:$B,D250,Revision_previa!$A:$A,"&gt;="&amp;A250,Revision_previa!$A:$A,"&lt;"&amp;(A250+1),Revision_previa!$E:$E,"Falla")+COUNTIFS(Revision_previa!$B:$B,D250,Revision_previa!$A:$A,"&gt;="&amp;A250,Revision_previa!$A:$A,"&lt;"&amp;(A250+1),Revision_previa!$F:$F,"Falla")+COUNTIFS(Revision_previa!$B:$B,D250,Revision_previa!$A:$A,"&gt;="&amp;A250,Revision_previa!$A:$A,"&lt;"&amp;(A250+1),Revision_previa!$H:$H,"Encendido")&gt;0,"No apto","Apto")))</f>
        <v/>
      </c>
    </row>
    <row r="251" customFormat="false" ht="15" hidden="false" customHeight="false" outlineLevel="0" collapsed="false">
      <c r="A251" s="23"/>
      <c r="B251" s="9"/>
      <c r="C251" s="9"/>
      <c r="D251" s="9"/>
      <c r="E251" s="9" t="str">
        <f aca="false">IF(C251="","",IFERROR(INDEX(Conductores!$B:$B,MATCH(C251,Conductores!$A:$A,0)),"ID no encontrado"))</f>
        <v/>
      </c>
      <c r="F251" s="9" t="str">
        <f aca="false">IF(B251="","",IFERROR(INDEX(Rutas!$B:$B,MATCH(B251,Rutas!$A:$A,0)),"ID no encontrado"))</f>
        <v/>
      </c>
      <c r="G251" s="9" t="str">
        <f aca="false">IF(OR(B251="",C251="",D251=""),"",IF(OR(ISNA(MATCH(B251,Rutas!$A:$A,0)),ISNA(MATCH(C251,Conductores!$A:$A,0)),ISNA(MATCH(D251,Vehículos!$A:$A,0))),"REVISAR: ID no encontrado",IF(INDEX(Rutas!$C:$C,MATCH(B251,Rutas!$A:$A,0))&lt;&gt;INDEX(Vehículos!$B:$B,MATCH(D251,Vehículos!$A:$A,0)),"REVISAR: el vehículo no corresponde a la ruta",IF(INDEX(Rutas!$C:$C,MATCH(B251,Rutas!$A:$A,0))&lt;&gt;INDEX(Conductores!$D:$D,MATCH(C251,Conductores!$A:$A,0)),"REVISAR: el conductor no corresponde a la ruta",IF(OR(INDEX(Vehículos!$E:$E,MATCH(D251,Vehículos!$A:$A,0))="Taller",INDEX(Vehículos!$E:$E,MATCH(D251,Vehículos!$A:$A,0))="Fuera de servicio"),"REVISAR: vehículo no disponible",IF(INDEX(Conductores!$G:$G,MATCH(C251,Conductores!$A:$A,0))&lt;&gt;"Activo","REVISAR: conductor no activo",IF(COUNTIFS($A:$A,A251,$C:$C,C251)&gt;1,"REVISAR: conductor asignado dos veces",IF(COUNTIFS($A:$A,A251,$D:$D,D251)&gt;1,"REVISAR: vehículo asignado dos veces","OK"))))))))</f>
        <v/>
      </c>
      <c r="H251" s="9"/>
      <c r="I251" s="9"/>
      <c r="J251" s="14" t="str">
        <f aca="false">IF(OR(H251="",H251=0),"",I251/H251)</f>
        <v/>
      </c>
      <c r="K251" s="9"/>
      <c r="L251" s="9"/>
      <c r="M251" s="24"/>
      <c r="N251" s="9"/>
      <c r="O251" s="9" t="str">
        <f aca="false">IF(AND(OR(K251="En riesgo",K251="Atrasada"),L251=""),"Falta código de motivo",IF(AND(L251="OTR",N251=""),"Explica OTR en las notas",IF(AND(K251="Finalizada",I251&lt;H251,L251=""),"Falta código de motivo","")))</f>
        <v/>
      </c>
      <c r="P251" s="9" t="str">
        <f aca="false">IF(OR(D251="",A251=""),"",IF(COUNTIFS(Revision_previa!$B:$B,D251,Revision_previa!$A:$A,"&gt;="&amp;A251,Revision_previa!$A:$A,"&lt;"&amp;(A251+1))=0,"Sin revisión",IF(COUNTIFS(Revision_previa!$B:$B,D251,Revision_previa!$A:$A,"&gt;="&amp;A251,Revision_previa!$A:$A,"&lt;"&amp;(A251+1),Revision_previa!$D:$D,"Falla")+COUNTIFS(Revision_previa!$B:$B,D251,Revision_previa!$A:$A,"&gt;="&amp;A251,Revision_previa!$A:$A,"&lt;"&amp;(A251+1),Revision_previa!$E:$E,"Falla")+COUNTIFS(Revision_previa!$B:$B,D251,Revision_previa!$A:$A,"&gt;="&amp;A251,Revision_previa!$A:$A,"&lt;"&amp;(A251+1),Revision_previa!$F:$F,"Falla")+COUNTIFS(Revision_previa!$B:$B,D251,Revision_previa!$A:$A,"&gt;="&amp;A251,Revision_previa!$A:$A,"&lt;"&amp;(A251+1),Revision_previa!$H:$H,"Encendido")&gt;0,"No apto","Apto")))</f>
        <v/>
      </c>
    </row>
    <row r="252" customFormat="false" ht="15" hidden="false" customHeight="false" outlineLevel="0" collapsed="false">
      <c r="A252" s="23"/>
      <c r="B252" s="9"/>
      <c r="C252" s="9"/>
      <c r="D252" s="9"/>
      <c r="E252" s="9" t="str">
        <f aca="false">IF(C252="","",IFERROR(INDEX(Conductores!$B:$B,MATCH(C252,Conductores!$A:$A,0)),"ID no encontrado"))</f>
        <v/>
      </c>
      <c r="F252" s="9" t="str">
        <f aca="false">IF(B252="","",IFERROR(INDEX(Rutas!$B:$B,MATCH(B252,Rutas!$A:$A,0)),"ID no encontrado"))</f>
        <v/>
      </c>
      <c r="G252" s="9" t="str">
        <f aca="false">IF(OR(B252="",C252="",D252=""),"",IF(OR(ISNA(MATCH(B252,Rutas!$A:$A,0)),ISNA(MATCH(C252,Conductores!$A:$A,0)),ISNA(MATCH(D252,Vehículos!$A:$A,0))),"REVISAR: ID no encontrado",IF(INDEX(Rutas!$C:$C,MATCH(B252,Rutas!$A:$A,0))&lt;&gt;INDEX(Vehículos!$B:$B,MATCH(D252,Vehículos!$A:$A,0)),"REVISAR: el vehículo no corresponde a la ruta",IF(INDEX(Rutas!$C:$C,MATCH(B252,Rutas!$A:$A,0))&lt;&gt;INDEX(Conductores!$D:$D,MATCH(C252,Conductores!$A:$A,0)),"REVISAR: el conductor no corresponde a la ruta",IF(OR(INDEX(Vehículos!$E:$E,MATCH(D252,Vehículos!$A:$A,0))="Taller",INDEX(Vehículos!$E:$E,MATCH(D252,Vehículos!$A:$A,0))="Fuera de servicio"),"REVISAR: vehículo no disponible",IF(INDEX(Conductores!$G:$G,MATCH(C252,Conductores!$A:$A,0))&lt;&gt;"Activo","REVISAR: conductor no activo",IF(COUNTIFS($A:$A,A252,$C:$C,C252)&gt;1,"REVISAR: conductor asignado dos veces",IF(COUNTIFS($A:$A,A252,$D:$D,D252)&gt;1,"REVISAR: vehículo asignado dos veces","OK"))))))))</f>
        <v/>
      </c>
      <c r="H252" s="9"/>
      <c r="I252" s="9"/>
      <c r="J252" s="14" t="str">
        <f aca="false">IF(OR(H252="",H252=0),"",I252/H252)</f>
        <v/>
      </c>
      <c r="K252" s="9"/>
      <c r="L252" s="9"/>
      <c r="M252" s="24"/>
      <c r="N252" s="9"/>
      <c r="O252" s="9" t="str">
        <f aca="false">IF(AND(OR(K252="En riesgo",K252="Atrasada"),L252=""),"Falta código de motivo",IF(AND(L252="OTR",N252=""),"Explica OTR en las notas",IF(AND(K252="Finalizada",I252&lt;H252,L252=""),"Falta código de motivo","")))</f>
        <v/>
      </c>
      <c r="P252" s="9" t="str">
        <f aca="false">IF(OR(D252="",A252=""),"",IF(COUNTIFS(Revision_previa!$B:$B,D252,Revision_previa!$A:$A,"&gt;="&amp;A252,Revision_previa!$A:$A,"&lt;"&amp;(A252+1))=0,"Sin revisión",IF(COUNTIFS(Revision_previa!$B:$B,D252,Revision_previa!$A:$A,"&gt;="&amp;A252,Revision_previa!$A:$A,"&lt;"&amp;(A252+1),Revision_previa!$D:$D,"Falla")+COUNTIFS(Revision_previa!$B:$B,D252,Revision_previa!$A:$A,"&gt;="&amp;A252,Revision_previa!$A:$A,"&lt;"&amp;(A252+1),Revision_previa!$E:$E,"Falla")+COUNTIFS(Revision_previa!$B:$B,D252,Revision_previa!$A:$A,"&gt;="&amp;A252,Revision_previa!$A:$A,"&lt;"&amp;(A252+1),Revision_previa!$F:$F,"Falla")+COUNTIFS(Revision_previa!$B:$B,D252,Revision_previa!$A:$A,"&gt;="&amp;A252,Revision_previa!$A:$A,"&lt;"&amp;(A252+1),Revision_previa!$H:$H,"Encendido")&gt;0,"No apto","Apto")))</f>
        <v/>
      </c>
    </row>
    <row r="253" customFormat="false" ht="15" hidden="false" customHeight="false" outlineLevel="0" collapsed="false">
      <c r="A253" s="23"/>
      <c r="B253" s="9"/>
      <c r="C253" s="9"/>
      <c r="D253" s="9"/>
      <c r="E253" s="9" t="str">
        <f aca="false">IF(C253="","",IFERROR(INDEX(Conductores!$B:$B,MATCH(C253,Conductores!$A:$A,0)),"ID no encontrado"))</f>
        <v/>
      </c>
      <c r="F253" s="9" t="str">
        <f aca="false">IF(B253="","",IFERROR(INDEX(Rutas!$B:$B,MATCH(B253,Rutas!$A:$A,0)),"ID no encontrado"))</f>
        <v/>
      </c>
      <c r="G253" s="9" t="str">
        <f aca="false">IF(OR(B253="",C253="",D253=""),"",IF(OR(ISNA(MATCH(B253,Rutas!$A:$A,0)),ISNA(MATCH(C253,Conductores!$A:$A,0)),ISNA(MATCH(D253,Vehículos!$A:$A,0))),"REVISAR: ID no encontrado",IF(INDEX(Rutas!$C:$C,MATCH(B253,Rutas!$A:$A,0))&lt;&gt;INDEX(Vehículos!$B:$B,MATCH(D253,Vehículos!$A:$A,0)),"REVISAR: el vehículo no corresponde a la ruta",IF(INDEX(Rutas!$C:$C,MATCH(B253,Rutas!$A:$A,0))&lt;&gt;INDEX(Conductores!$D:$D,MATCH(C253,Conductores!$A:$A,0)),"REVISAR: el conductor no corresponde a la ruta",IF(OR(INDEX(Vehículos!$E:$E,MATCH(D253,Vehículos!$A:$A,0))="Taller",INDEX(Vehículos!$E:$E,MATCH(D253,Vehículos!$A:$A,0))="Fuera de servicio"),"REVISAR: vehículo no disponible",IF(INDEX(Conductores!$G:$G,MATCH(C253,Conductores!$A:$A,0))&lt;&gt;"Activo","REVISAR: conductor no activo",IF(COUNTIFS($A:$A,A253,$C:$C,C253)&gt;1,"REVISAR: conductor asignado dos veces",IF(COUNTIFS($A:$A,A253,$D:$D,D253)&gt;1,"REVISAR: vehículo asignado dos veces","OK"))))))))</f>
        <v/>
      </c>
      <c r="H253" s="9"/>
      <c r="I253" s="9"/>
      <c r="J253" s="14" t="str">
        <f aca="false">IF(OR(H253="",H253=0),"",I253/H253)</f>
        <v/>
      </c>
      <c r="K253" s="9"/>
      <c r="L253" s="9"/>
      <c r="M253" s="24"/>
      <c r="N253" s="9"/>
      <c r="O253" s="9" t="str">
        <f aca="false">IF(AND(OR(K253="En riesgo",K253="Atrasada"),L253=""),"Falta código de motivo",IF(AND(L253="OTR",N253=""),"Explica OTR en las notas",IF(AND(K253="Finalizada",I253&lt;H253,L253=""),"Falta código de motivo","")))</f>
        <v/>
      </c>
      <c r="P253" s="9" t="str">
        <f aca="false">IF(OR(D253="",A253=""),"",IF(COUNTIFS(Revision_previa!$B:$B,D253,Revision_previa!$A:$A,"&gt;="&amp;A253,Revision_previa!$A:$A,"&lt;"&amp;(A253+1))=0,"Sin revisión",IF(COUNTIFS(Revision_previa!$B:$B,D253,Revision_previa!$A:$A,"&gt;="&amp;A253,Revision_previa!$A:$A,"&lt;"&amp;(A253+1),Revision_previa!$D:$D,"Falla")+COUNTIFS(Revision_previa!$B:$B,D253,Revision_previa!$A:$A,"&gt;="&amp;A253,Revision_previa!$A:$A,"&lt;"&amp;(A253+1),Revision_previa!$E:$E,"Falla")+COUNTIFS(Revision_previa!$B:$B,D253,Revision_previa!$A:$A,"&gt;="&amp;A253,Revision_previa!$A:$A,"&lt;"&amp;(A253+1),Revision_previa!$F:$F,"Falla")+COUNTIFS(Revision_previa!$B:$B,D253,Revision_previa!$A:$A,"&gt;="&amp;A253,Revision_previa!$A:$A,"&lt;"&amp;(A253+1),Revision_previa!$H:$H,"Encendido")&gt;0,"No apto","Apto")))</f>
        <v/>
      </c>
    </row>
    <row r="254" customFormat="false" ht="15" hidden="false" customHeight="false" outlineLevel="0" collapsed="false">
      <c r="A254" s="23"/>
      <c r="B254" s="9"/>
      <c r="C254" s="9"/>
      <c r="D254" s="9"/>
      <c r="E254" s="9" t="str">
        <f aca="false">IF(C254="","",IFERROR(INDEX(Conductores!$B:$B,MATCH(C254,Conductores!$A:$A,0)),"ID no encontrado"))</f>
        <v/>
      </c>
      <c r="F254" s="9" t="str">
        <f aca="false">IF(B254="","",IFERROR(INDEX(Rutas!$B:$B,MATCH(B254,Rutas!$A:$A,0)),"ID no encontrado"))</f>
        <v/>
      </c>
      <c r="G254" s="9" t="str">
        <f aca="false">IF(OR(B254="",C254="",D254=""),"",IF(OR(ISNA(MATCH(B254,Rutas!$A:$A,0)),ISNA(MATCH(C254,Conductores!$A:$A,0)),ISNA(MATCH(D254,Vehículos!$A:$A,0))),"REVISAR: ID no encontrado",IF(INDEX(Rutas!$C:$C,MATCH(B254,Rutas!$A:$A,0))&lt;&gt;INDEX(Vehículos!$B:$B,MATCH(D254,Vehículos!$A:$A,0)),"REVISAR: el vehículo no corresponde a la ruta",IF(INDEX(Rutas!$C:$C,MATCH(B254,Rutas!$A:$A,0))&lt;&gt;INDEX(Conductores!$D:$D,MATCH(C254,Conductores!$A:$A,0)),"REVISAR: el conductor no corresponde a la ruta",IF(OR(INDEX(Vehículos!$E:$E,MATCH(D254,Vehículos!$A:$A,0))="Taller",INDEX(Vehículos!$E:$E,MATCH(D254,Vehículos!$A:$A,0))="Fuera de servicio"),"REVISAR: vehículo no disponible",IF(INDEX(Conductores!$G:$G,MATCH(C254,Conductores!$A:$A,0))&lt;&gt;"Activo","REVISAR: conductor no activo",IF(COUNTIFS($A:$A,A254,$C:$C,C254)&gt;1,"REVISAR: conductor asignado dos veces",IF(COUNTIFS($A:$A,A254,$D:$D,D254)&gt;1,"REVISAR: vehículo asignado dos veces","OK"))))))))</f>
        <v/>
      </c>
      <c r="H254" s="9"/>
      <c r="I254" s="9"/>
      <c r="J254" s="14" t="str">
        <f aca="false">IF(OR(H254="",H254=0),"",I254/H254)</f>
        <v/>
      </c>
      <c r="K254" s="9"/>
      <c r="L254" s="9"/>
      <c r="M254" s="24"/>
      <c r="N254" s="9"/>
      <c r="O254" s="9" t="str">
        <f aca="false">IF(AND(OR(K254="En riesgo",K254="Atrasada"),L254=""),"Falta código de motivo",IF(AND(L254="OTR",N254=""),"Explica OTR en las notas",IF(AND(K254="Finalizada",I254&lt;H254,L254=""),"Falta código de motivo","")))</f>
        <v/>
      </c>
      <c r="P254" s="9" t="str">
        <f aca="false">IF(OR(D254="",A254=""),"",IF(COUNTIFS(Revision_previa!$B:$B,D254,Revision_previa!$A:$A,"&gt;="&amp;A254,Revision_previa!$A:$A,"&lt;"&amp;(A254+1))=0,"Sin revisión",IF(COUNTIFS(Revision_previa!$B:$B,D254,Revision_previa!$A:$A,"&gt;="&amp;A254,Revision_previa!$A:$A,"&lt;"&amp;(A254+1),Revision_previa!$D:$D,"Falla")+COUNTIFS(Revision_previa!$B:$B,D254,Revision_previa!$A:$A,"&gt;="&amp;A254,Revision_previa!$A:$A,"&lt;"&amp;(A254+1),Revision_previa!$E:$E,"Falla")+COUNTIFS(Revision_previa!$B:$B,D254,Revision_previa!$A:$A,"&gt;="&amp;A254,Revision_previa!$A:$A,"&lt;"&amp;(A254+1),Revision_previa!$F:$F,"Falla")+COUNTIFS(Revision_previa!$B:$B,D254,Revision_previa!$A:$A,"&gt;="&amp;A254,Revision_previa!$A:$A,"&lt;"&amp;(A254+1),Revision_previa!$H:$H,"Encendido")&gt;0,"No apto","Apto")))</f>
        <v/>
      </c>
    </row>
    <row r="255" customFormat="false" ht="15" hidden="false" customHeight="false" outlineLevel="0" collapsed="false">
      <c r="A255" s="23"/>
      <c r="B255" s="9"/>
      <c r="C255" s="9"/>
      <c r="D255" s="9"/>
      <c r="E255" s="9" t="str">
        <f aca="false">IF(C255="","",IFERROR(INDEX(Conductores!$B:$B,MATCH(C255,Conductores!$A:$A,0)),"ID no encontrado"))</f>
        <v/>
      </c>
      <c r="F255" s="9" t="str">
        <f aca="false">IF(B255="","",IFERROR(INDEX(Rutas!$B:$B,MATCH(B255,Rutas!$A:$A,0)),"ID no encontrado"))</f>
        <v/>
      </c>
      <c r="G255" s="9" t="str">
        <f aca="false">IF(OR(B255="",C255="",D255=""),"",IF(OR(ISNA(MATCH(B255,Rutas!$A:$A,0)),ISNA(MATCH(C255,Conductores!$A:$A,0)),ISNA(MATCH(D255,Vehículos!$A:$A,0))),"REVISAR: ID no encontrado",IF(INDEX(Rutas!$C:$C,MATCH(B255,Rutas!$A:$A,0))&lt;&gt;INDEX(Vehículos!$B:$B,MATCH(D255,Vehículos!$A:$A,0)),"REVISAR: el vehículo no corresponde a la ruta",IF(INDEX(Rutas!$C:$C,MATCH(B255,Rutas!$A:$A,0))&lt;&gt;INDEX(Conductores!$D:$D,MATCH(C255,Conductores!$A:$A,0)),"REVISAR: el conductor no corresponde a la ruta",IF(OR(INDEX(Vehículos!$E:$E,MATCH(D255,Vehículos!$A:$A,0))="Taller",INDEX(Vehículos!$E:$E,MATCH(D255,Vehículos!$A:$A,0))="Fuera de servicio"),"REVISAR: vehículo no disponible",IF(INDEX(Conductores!$G:$G,MATCH(C255,Conductores!$A:$A,0))&lt;&gt;"Activo","REVISAR: conductor no activo",IF(COUNTIFS($A:$A,A255,$C:$C,C255)&gt;1,"REVISAR: conductor asignado dos veces",IF(COUNTIFS($A:$A,A255,$D:$D,D255)&gt;1,"REVISAR: vehículo asignado dos veces","OK"))))))))</f>
        <v/>
      </c>
      <c r="H255" s="9"/>
      <c r="I255" s="9"/>
      <c r="J255" s="14" t="str">
        <f aca="false">IF(OR(H255="",H255=0),"",I255/H255)</f>
        <v/>
      </c>
      <c r="K255" s="9"/>
      <c r="L255" s="9"/>
      <c r="M255" s="24"/>
      <c r="N255" s="9"/>
      <c r="O255" s="9" t="str">
        <f aca="false">IF(AND(OR(K255="En riesgo",K255="Atrasada"),L255=""),"Falta código de motivo",IF(AND(L255="OTR",N255=""),"Explica OTR en las notas",IF(AND(K255="Finalizada",I255&lt;H255,L255=""),"Falta código de motivo","")))</f>
        <v/>
      </c>
      <c r="P255" s="9" t="str">
        <f aca="false">IF(OR(D255="",A255=""),"",IF(COUNTIFS(Revision_previa!$B:$B,D255,Revision_previa!$A:$A,"&gt;="&amp;A255,Revision_previa!$A:$A,"&lt;"&amp;(A255+1))=0,"Sin revisión",IF(COUNTIFS(Revision_previa!$B:$B,D255,Revision_previa!$A:$A,"&gt;="&amp;A255,Revision_previa!$A:$A,"&lt;"&amp;(A255+1),Revision_previa!$D:$D,"Falla")+COUNTIFS(Revision_previa!$B:$B,D255,Revision_previa!$A:$A,"&gt;="&amp;A255,Revision_previa!$A:$A,"&lt;"&amp;(A255+1),Revision_previa!$E:$E,"Falla")+COUNTIFS(Revision_previa!$B:$B,D255,Revision_previa!$A:$A,"&gt;="&amp;A255,Revision_previa!$A:$A,"&lt;"&amp;(A255+1),Revision_previa!$F:$F,"Falla")+COUNTIFS(Revision_previa!$B:$B,D255,Revision_previa!$A:$A,"&gt;="&amp;A255,Revision_previa!$A:$A,"&lt;"&amp;(A255+1),Revision_previa!$H:$H,"Encendido")&gt;0,"No apto","Apto")))</f>
        <v/>
      </c>
    </row>
    <row r="256" customFormat="false" ht="15" hidden="false" customHeight="false" outlineLevel="0" collapsed="false">
      <c r="A256" s="23"/>
      <c r="B256" s="9"/>
      <c r="C256" s="9"/>
      <c r="D256" s="9"/>
      <c r="E256" s="9" t="str">
        <f aca="false">IF(C256="","",IFERROR(INDEX(Conductores!$B:$B,MATCH(C256,Conductores!$A:$A,0)),"ID no encontrado"))</f>
        <v/>
      </c>
      <c r="F256" s="9" t="str">
        <f aca="false">IF(B256="","",IFERROR(INDEX(Rutas!$B:$B,MATCH(B256,Rutas!$A:$A,0)),"ID no encontrado"))</f>
        <v/>
      </c>
      <c r="G256" s="9" t="str">
        <f aca="false">IF(OR(B256="",C256="",D256=""),"",IF(OR(ISNA(MATCH(B256,Rutas!$A:$A,0)),ISNA(MATCH(C256,Conductores!$A:$A,0)),ISNA(MATCH(D256,Vehículos!$A:$A,0))),"REVISAR: ID no encontrado",IF(INDEX(Rutas!$C:$C,MATCH(B256,Rutas!$A:$A,0))&lt;&gt;INDEX(Vehículos!$B:$B,MATCH(D256,Vehículos!$A:$A,0)),"REVISAR: el vehículo no corresponde a la ruta",IF(INDEX(Rutas!$C:$C,MATCH(B256,Rutas!$A:$A,0))&lt;&gt;INDEX(Conductores!$D:$D,MATCH(C256,Conductores!$A:$A,0)),"REVISAR: el conductor no corresponde a la ruta",IF(OR(INDEX(Vehículos!$E:$E,MATCH(D256,Vehículos!$A:$A,0))="Taller",INDEX(Vehículos!$E:$E,MATCH(D256,Vehículos!$A:$A,0))="Fuera de servicio"),"REVISAR: vehículo no disponible",IF(INDEX(Conductores!$G:$G,MATCH(C256,Conductores!$A:$A,0))&lt;&gt;"Activo","REVISAR: conductor no activo",IF(COUNTIFS($A:$A,A256,$C:$C,C256)&gt;1,"REVISAR: conductor asignado dos veces",IF(COUNTIFS($A:$A,A256,$D:$D,D256)&gt;1,"REVISAR: vehículo asignado dos veces","OK"))))))))</f>
        <v/>
      </c>
      <c r="H256" s="9"/>
      <c r="I256" s="9"/>
      <c r="J256" s="14" t="str">
        <f aca="false">IF(OR(H256="",H256=0),"",I256/H256)</f>
        <v/>
      </c>
      <c r="K256" s="9"/>
      <c r="L256" s="9"/>
      <c r="M256" s="24"/>
      <c r="N256" s="9"/>
      <c r="O256" s="9" t="str">
        <f aca="false">IF(AND(OR(K256="En riesgo",K256="Atrasada"),L256=""),"Falta código de motivo",IF(AND(L256="OTR",N256=""),"Explica OTR en las notas",IF(AND(K256="Finalizada",I256&lt;H256,L256=""),"Falta código de motivo","")))</f>
        <v/>
      </c>
      <c r="P256" s="9" t="str">
        <f aca="false">IF(OR(D256="",A256=""),"",IF(COUNTIFS(Revision_previa!$B:$B,D256,Revision_previa!$A:$A,"&gt;="&amp;A256,Revision_previa!$A:$A,"&lt;"&amp;(A256+1))=0,"Sin revisión",IF(COUNTIFS(Revision_previa!$B:$B,D256,Revision_previa!$A:$A,"&gt;="&amp;A256,Revision_previa!$A:$A,"&lt;"&amp;(A256+1),Revision_previa!$D:$D,"Falla")+COUNTIFS(Revision_previa!$B:$B,D256,Revision_previa!$A:$A,"&gt;="&amp;A256,Revision_previa!$A:$A,"&lt;"&amp;(A256+1),Revision_previa!$E:$E,"Falla")+COUNTIFS(Revision_previa!$B:$B,D256,Revision_previa!$A:$A,"&gt;="&amp;A256,Revision_previa!$A:$A,"&lt;"&amp;(A256+1),Revision_previa!$F:$F,"Falla")+COUNTIFS(Revision_previa!$B:$B,D256,Revision_previa!$A:$A,"&gt;="&amp;A256,Revision_previa!$A:$A,"&lt;"&amp;(A256+1),Revision_previa!$H:$H,"Encendido")&gt;0,"No apto","Apto")))</f>
        <v/>
      </c>
    </row>
    <row r="257" customFormat="false" ht="15" hidden="false" customHeight="false" outlineLevel="0" collapsed="false">
      <c r="A257" s="23"/>
      <c r="B257" s="9"/>
      <c r="C257" s="9"/>
      <c r="D257" s="9"/>
      <c r="E257" s="9" t="str">
        <f aca="false">IF(C257="","",IFERROR(INDEX(Conductores!$B:$B,MATCH(C257,Conductores!$A:$A,0)),"ID no encontrado"))</f>
        <v/>
      </c>
      <c r="F257" s="9" t="str">
        <f aca="false">IF(B257="","",IFERROR(INDEX(Rutas!$B:$B,MATCH(B257,Rutas!$A:$A,0)),"ID no encontrado"))</f>
        <v/>
      </c>
      <c r="G257" s="9" t="str">
        <f aca="false">IF(OR(B257="",C257="",D257=""),"",IF(OR(ISNA(MATCH(B257,Rutas!$A:$A,0)),ISNA(MATCH(C257,Conductores!$A:$A,0)),ISNA(MATCH(D257,Vehículos!$A:$A,0))),"REVISAR: ID no encontrado",IF(INDEX(Rutas!$C:$C,MATCH(B257,Rutas!$A:$A,0))&lt;&gt;INDEX(Vehículos!$B:$B,MATCH(D257,Vehículos!$A:$A,0)),"REVISAR: el vehículo no corresponde a la ruta",IF(INDEX(Rutas!$C:$C,MATCH(B257,Rutas!$A:$A,0))&lt;&gt;INDEX(Conductores!$D:$D,MATCH(C257,Conductores!$A:$A,0)),"REVISAR: el conductor no corresponde a la ruta",IF(OR(INDEX(Vehículos!$E:$E,MATCH(D257,Vehículos!$A:$A,0))="Taller",INDEX(Vehículos!$E:$E,MATCH(D257,Vehículos!$A:$A,0))="Fuera de servicio"),"REVISAR: vehículo no disponible",IF(INDEX(Conductores!$G:$G,MATCH(C257,Conductores!$A:$A,0))&lt;&gt;"Activo","REVISAR: conductor no activo",IF(COUNTIFS($A:$A,A257,$C:$C,C257)&gt;1,"REVISAR: conductor asignado dos veces",IF(COUNTIFS($A:$A,A257,$D:$D,D257)&gt;1,"REVISAR: vehículo asignado dos veces","OK"))))))))</f>
        <v/>
      </c>
      <c r="H257" s="9"/>
      <c r="I257" s="9"/>
      <c r="J257" s="14" t="str">
        <f aca="false">IF(OR(H257="",H257=0),"",I257/H257)</f>
        <v/>
      </c>
      <c r="K257" s="9"/>
      <c r="L257" s="9"/>
      <c r="M257" s="24"/>
      <c r="N257" s="9"/>
      <c r="O257" s="9" t="str">
        <f aca="false">IF(AND(OR(K257="En riesgo",K257="Atrasada"),L257=""),"Falta código de motivo",IF(AND(L257="OTR",N257=""),"Explica OTR en las notas",IF(AND(K257="Finalizada",I257&lt;H257,L257=""),"Falta código de motivo","")))</f>
        <v/>
      </c>
      <c r="P257" s="9" t="str">
        <f aca="false">IF(OR(D257="",A257=""),"",IF(COUNTIFS(Revision_previa!$B:$B,D257,Revision_previa!$A:$A,"&gt;="&amp;A257,Revision_previa!$A:$A,"&lt;"&amp;(A257+1))=0,"Sin revisión",IF(COUNTIFS(Revision_previa!$B:$B,D257,Revision_previa!$A:$A,"&gt;="&amp;A257,Revision_previa!$A:$A,"&lt;"&amp;(A257+1),Revision_previa!$D:$D,"Falla")+COUNTIFS(Revision_previa!$B:$B,D257,Revision_previa!$A:$A,"&gt;="&amp;A257,Revision_previa!$A:$A,"&lt;"&amp;(A257+1),Revision_previa!$E:$E,"Falla")+COUNTIFS(Revision_previa!$B:$B,D257,Revision_previa!$A:$A,"&gt;="&amp;A257,Revision_previa!$A:$A,"&lt;"&amp;(A257+1),Revision_previa!$F:$F,"Falla")+COUNTIFS(Revision_previa!$B:$B,D257,Revision_previa!$A:$A,"&gt;="&amp;A257,Revision_previa!$A:$A,"&lt;"&amp;(A257+1),Revision_previa!$H:$H,"Encendido")&gt;0,"No apto","Apto")))</f>
        <v/>
      </c>
    </row>
    <row r="258" customFormat="false" ht="15" hidden="false" customHeight="false" outlineLevel="0" collapsed="false">
      <c r="A258" s="23"/>
      <c r="B258" s="9"/>
      <c r="C258" s="9"/>
      <c r="D258" s="9"/>
      <c r="E258" s="9" t="str">
        <f aca="false">IF(C258="","",IFERROR(INDEX(Conductores!$B:$B,MATCH(C258,Conductores!$A:$A,0)),"ID no encontrado"))</f>
        <v/>
      </c>
      <c r="F258" s="9" t="str">
        <f aca="false">IF(B258="","",IFERROR(INDEX(Rutas!$B:$B,MATCH(B258,Rutas!$A:$A,0)),"ID no encontrado"))</f>
        <v/>
      </c>
      <c r="G258" s="9" t="str">
        <f aca="false">IF(OR(B258="",C258="",D258=""),"",IF(OR(ISNA(MATCH(B258,Rutas!$A:$A,0)),ISNA(MATCH(C258,Conductores!$A:$A,0)),ISNA(MATCH(D258,Vehículos!$A:$A,0))),"REVISAR: ID no encontrado",IF(INDEX(Rutas!$C:$C,MATCH(B258,Rutas!$A:$A,0))&lt;&gt;INDEX(Vehículos!$B:$B,MATCH(D258,Vehículos!$A:$A,0)),"REVISAR: el vehículo no corresponde a la ruta",IF(INDEX(Rutas!$C:$C,MATCH(B258,Rutas!$A:$A,0))&lt;&gt;INDEX(Conductores!$D:$D,MATCH(C258,Conductores!$A:$A,0)),"REVISAR: el conductor no corresponde a la ruta",IF(OR(INDEX(Vehículos!$E:$E,MATCH(D258,Vehículos!$A:$A,0))="Taller",INDEX(Vehículos!$E:$E,MATCH(D258,Vehículos!$A:$A,0))="Fuera de servicio"),"REVISAR: vehículo no disponible",IF(INDEX(Conductores!$G:$G,MATCH(C258,Conductores!$A:$A,0))&lt;&gt;"Activo","REVISAR: conductor no activo",IF(COUNTIFS($A:$A,A258,$C:$C,C258)&gt;1,"REVISAR: conductor asignado dos veces",IF(COUNTIFS($A:$A,A258,$D:$D,D258)&gt;1,"REVISAR: vehículo asignado dos veces","OK"))))))))</f>
        <v/>
      </c>
      <c r="H258" s="9"/>
      <c r="I258" s="9"/>
      <c r="J258" s="14" t="str">
        <f aca="false">IF(OR(H258="",H258=0),"",I258/H258)</f>
        <v/>
      </c>
      <c r="K258" s="9"/>
      <c r="L258" s="9"/>
      <c r="M258" s="24"/>
      <c r="N258" s="9"/>
      <c r="O258" s="9" t="str">
        <f aca="false">IF(AND(OR(K258="En riesgo",K258="Atrasada"),L258=""),"Falta código de motivo",IF(AND(L258="OTR",N258=""),"Explica OTR en las notas",IF(AND(K258="Finalizada",I258&lt;H258,L258=""),"Falta código de motivo","")))</f>
        <v/>
      </c>
      <c r="P258" s="9" t="str">
        <f aca="false">IF(OR(D258="",A258=""),"",IF(COUNTIFS(Revision_previa!$B:$B,D258,Revision_previa!$A:$A,"&gt;="&amp;A258,Revision_previa!$A:$A,"&lt;"&amp;(A258+1))=0,"Sin revisión",IF(COUNTIFS(Revision_previa!$B:$B,D258,Revision_previa!$A:$A,"&gt;="&amp;A258,Revision_previa!$A:$A,"&lt;"&amp;(A258+1),Revision_previa!$D:$D,"Falla")+COUNTIFS(Revision_previa!$B:$B,D258,Revision_previa!$A:$A,"&gt;="&amp;A258,Revision_previa!$A:$A,"&lt;"&amp;(A258+1),Revision_previa!$E:$E,"Falla")+COUNTIFS(Revision_previa!$B:$B,D258,Revision_previa!$A:$A,"&gt;="&amp;A258,Revision_previa!$A:$A,"&lt;"&amp;(A258+1),Revision_previa!$F:$F,"Falla")+COUNTIFS(Revision_previa!$B:$B,D258,Revision_previa!$A:$A,"&gt;="&amp;A258,Revision_previa!$A:$A,"&lt;"&amp;(A258+1),Revision_previa!$H:$H,"Encendido")&gt;0,"No apto","Apto")))</f>
        <v/>
      </c>
    </row>
    <row r="259" customFormat="false" ht="15" hidden="false" customHeight="false" outlineLevel="0" collapsed="false">
      <c r="A259" s="23"/>
      <c r="B259" s="9"/>
      <c r="C259" s="9"/>
      <c r="D259" s="9"/>
      <c r="E259" s="9" t="str">
        <f aca="false">IF(C259="","",IFERROR(INDEX(Conductores!$B:$B,MATCH(C259,Conductores!$A:$A,0)),"ID no encontrado"))</f>
        <v/>
      </c>
      <c r="F259" s="9" t="str">
        <f aca="false">IF(B259="","",IFERROR(INDEX(Rutas!$B:$B,MATCH(B259,Rutas!$A:$A,0)),"ID no encontrado"))</f>
        <v/>
      </c>
      <c r="G259" s="9" t="str">
        <f aca="false">IF(OR(B259="",C259="",D259=""),"",IF(OR(ISNA(MATCH(B259,Rutas!$A:$A,0)),ISNA(MATCH(C259,Conductores!$A:$A,0)),ISNA(MATCH(D259,Vehículos!$A:$A,0))),"REVISAR: ID no encontrado",IF(INDEX(Rutas!$C:$C,MATCH(B259,Rutas!$A:$A,0))&lt;&gt;INDEX(Vehículos!$B:$B,MATCH(D259,Vehículos!$A:$A,0)),"REVISAR: el vehículo no corresponde a la ruta",IF(INDEX(Rutas!$C:$C,MATCH(B259,Rutas!$A:$A,0))&lt;&gt;INDEX(Conductores!$D:$D,MATCH(C259,Conductores!$A:$A,0)),"REVISAR: el conductor no corresponde a la ruta",IF(OR(INDEX(Vehículos!$E:$E,MATCH(D259,Vehículos!$A:$A,0))="Taller",INDEX(Vehículos!$E:$E,MATCH(D259,Vehículos!$A:$A,0))="Fuera de servicio"),"REVISAR: vehículo no disponible",IF(INDEX(Conductores!$G:$G,MATCH(C259,Conductores!$A:$A,0))&lt;&gt;"Activo","REVISAR: conductor no activo",IF(COUNTIFS($A:$A,A259,$C:$C,C259)&gt;1,"REVISAR: conductor asignado dos veces",IF(COUNTIFS($A:$A,A259,$D:$D,D259)&gt;1,"REVISAR: vehículo asignado dos veces","OK"))))))))</f>
        <v/>
      </c>
      <c r="H259" s="9"/>
      <c r="I259" s="9"/>
      <c r="J259" s="14" t="str">
        <f aca="false">IF(OR(H259="",H259=0),"",I259/H259)</f>
        <v/>
      </c>
      <c r="K259" s="9"/>
      <c r="L259" s="9"/>
      <c r="M259" s="24"/>
      <c r="N259" s="9"/>
      <c r="O259" s="9" t="str">
        <f aca="false">IF(AND(OR(K259="En riesgo",K259="Atrasada"),L259=""),"Falta código de motivo",IF(AND(L259="OTR",N259=""),"Explica OTR en las notas",IF(AND(K259="Finalizada",I259&lt;H259,L259=""),"Falta código de motivo","")))</f>
        <v/>
      </c>
      <c r="P259" s="9" t="str">
        <f aca="false">IF(OR(D259="",A259=""),"",IF(COUNTIFS(Revision_previa!$B:$B,D259,Revision_previa!$A:$A,"&gt;="&amp;A259,Revision_previa!$A:$A,"&lt;"&amp;(A259+1))=0,"Sin revisión",IF(COUNTIFS(Revision_previa!$B:$B,D259,Revision_previa!$A:$A,"&gt;="&amp;A259,Revision_previa!$A:$A,"&lt;"&amp;(A259+1),Revision_previa!$D:$D,"Falla")+COUNTIFS(Revision_previa!$B:$B,D259,Revision_previa!$A:$A,"&gt;="&amp;A259,Revision_previa!$A:$A,"&lt;"&amp;(A259+1),Revision_previa!$E:$E,"Falla")+COUNTIFS(Revision_previa!$B:$B,D259,Revision_previa!$A:$A,"&gt;="&amp;A259,Revision_previa!$A:$A,"&lt;"&amp;(A259+1),Revision_previa!$F:$F,"Falla")+COUNTIFS(Revision_previa!$B:$B,D259,Revision_previa!$A:$A,"&gt;="&amp;A259,Revision_previa!$A:$A,"&lt;"&amp;(A259+1),Revision_previa!$H:$H,"Encendido")&gt;0,"No apto","Apto")))</f>
        <v/>
      </c>
    </row>
    <row r="260" customFormat="false" ht="15" hidden="false" customHeight="false" outlineLevel="0" collapsed="false">
      <c r="A260" s="23"/>
      <c r="B260" s="9"/>
      <c r="C260" s="9"/>
      <c r="D260" s="9"/>
      <c r="E260" s="9" t="str">
        <f aca="false">IF(C260="","",IFERROR(INDEX(Conductores!$B:$B,MATCH(C260,Conductores!$A:$A,0)),"ID no encontrado"))</f>
        <v/>
      </c>
      <c r="F260" s="9" t="str">
        <f aca="false">IF(B260="","",IFERROR(INDEX(Rutas!$B:$B,MATCH(B260,Rutas!$A:$A,0)),"ID no encontrado"))</f>
        <v/>
      </c>
      <c r="G260" s="9" t="str">
        <f aca="false">IF(OR(B260="",C260="",D260=""),"",IF(OR(ISNA(MATCH(B260,Rutas!$A:$A,0)),ISNA(MATCH(C260,Conductores!$A:$A,0)),ISNA(MATCH(D260,Vehículos!$A:$A,0))),"REVISAR: ID no encontrado",IF(INDEX(Rutas!$C:$C,MATCH(B260,Rutas!$A:$A,0))&lt;&gt;INDEX(Vehículos!$B:$B,MATCH(D260,Vehículos!$A:$A,0)),"REVISAR: el vehículo no corresponde a la ruta",IF(INDEX(Rutas!$C:$C,MATCH(B260,Rutas!$A:$A,0))&lt;&gt;INDEX(Conductores!$D:$D,MATCH(C260,Conductores!$A:$A,0)),"REVISAR: el conductor no corresponde a la ruta",IF(OR(INDEX(Vehículos!$E:$E,MATCH(D260,Vehículos!$A:$A,0))="Taller",INDEX(Vehículos!$E:$E,MATCH(D260,Vehículos!$A:$A,0))="Fuera de servicio"),"REVISAR: vehículo no disponible",IF(INDEX(Conductores!$G:$G,MATCH(C260,Conductores!$A:$A,0))&lt;&gt;"Activo","REVISAR: conductor no activo",IF(COUNTIFS($A:$A,A260,$C:$C,C260)&gt;1,"REVISAR: conductor asignado dos veces",IF(COUNTIFS($A:$A,A260,$D:$D,D260)&gt;1,"REVISAR: vehículo asignado dos veces","OK"))))))))</f>
        <v/>
      </c>
      <c r="H260" s="9"/>
      <c r="I260" s="9"/>
      <c r="J260" s="14" t="str">
        <f aca="false">IF(OR(H260="",H260=0),"",I260/H260)</f>
        <v/>
      </c>
      <c r="K260" s="9"/>
      <c r="L260" s="9"/>
      <c r="M260" s="24"/>
      <c r="N260" s="9"/>
      <c r="O260" s="9" t="str">
        <f aca="false">IF(AND(OR(K260="En riesgo",K260="Atrasada"),L260=""),"Falta código de motivo",IF(AND(L260="OTR",N260=""),"Explica OTR en las notas",IF(AND(K260="Finalizada",I260&lt;H260,L260=""),"Falta código de motivo","")))</f>
        <v/>
      </c>
      <c r="P260" s="9" t="str">
        <f aca="false">IF(OR(D260="",A260=""),"",IF(COUNTIFS(Revision_previa!$B:$B,D260,Revision_previa!$A:$A,"&gt;="&amp;A260,Revision_previa!$A:$A,"&lt;"&amp;(A260+1))=0,"Sin revisión",IF(COUNTIFS(Revision_previa!$B:$B,D260,Revision_previa!$A:$A,"&gt;="&amp;A260,Revision_previa!$A:$A,"&lt;"&amp;(A260+1),Revision_previa!$D:$D,"Falla")+COUNTIFS(Revision_previa!$B:$B,D260,Revision_previa!$A:$A,"&gt;="&amp;A260,Revision_previa!$A:$A,"&lt;"&amp;(A260+1),Revision_previa!$E:$E,"Falla")+COUNTIFS(Revision_previa!$B:$B,D260,Revision_previa!$A:$A,"&gt;="&amp;A260,Revision_previa!$A:$A,"&lt;"&amp;(A260+1),Revision_previa!$F:$F,"Falla")+COUNTIFS(Revision_previa!$B:$B,D260,Revision_previa!$A:$A,"&gt;="&amp;A260,Revision_previa!$A:$A,"&lt;"&amp;(A260+1),Revision_previa!$H:$H,"Encendido")&gt;0,"No apto","Apto")))</f>
        <v/>
      </c>
    </row>
    <row r="261" customFormat="false" ht="15" hidden="false" customHeight="false" outlineLevel="0" collapsed="false">
      <c r="A261" s="23"/>
      <c r="B261" s="9"/>
      <c r="C261" s="9"/>
      <c r="D261" s="9"/>
      <c r="E261" s="9" t="str">
        <f aca="false">IF(C261="","",IFERROR(INDEX(Conductores!$B:$B,MATCH(C261,Conductores!$A:$A,0)),"ID no encontrado"))</f>
        <v/>
      </c>
      <c r="F261" s="9" t="str">
        <f aca="false">IF(B261="","",IFERROR(INDEX(Rutas!$B:$B,MATCH(B261,Rutas!$A:$A,0)),"ID no encontrado"))</f>
        <v/>
      </c>
      <c r="G261" s="9" t="str">
        <f aca="false">IF(OR(B261="",C261="",D261=""),"",IF(OR(ISNA(MATCH(B261,Rutas!$A:$A,0)),ISNA(MATCH(C261,Conductores!$A:$A,0)),ISNA(MATCH(D261,Vehículos!$A:$A,0))),"REVISAR: ID no encontrado",IF(INDEX(Rutas!$C:$C,MATCH(B261,Rutas!$A:$A,0))&lt;&gt;INDEX(Vehículos!$B:$B,MATCH(D261,Vehículos!$A:$A,0)),"REVISAR: el vehículo no corresponde a la ruta",IF(INDEX(Rutas!$C:$C,MATCH(B261,Rutas!$A:$A,0))&lt;&gt;INDEX(Conductores!$D:$D,MATCH(C261,Conductores!$A:$A,0)),"REVISAR: el conductor no corresponde a la ruta",IF(OR(INDEX(Vehículos!$E:$E,MATCH(D261,Vehículos!$A:$A,0))="Taller",INDEX(Vehículos!$E:$E,MATCH(D261,Vehículos!$A:$A,0))="Fuera de servicio"),"REVISAR: vehículo no disponible",IF(INDEX(Conductores!$G:$G,MATCH(C261,Conductores!$A:$A,0))&lt;&gt;"Activo","REVISAR: conductor no activo",IF(COUNTIFS($A:$A,A261,$C:$C,C261)&gt;1,"REVISAR: conductor asignado dos veces",IF(COUNTIFS($A:$A,A261,$D:$D,D261)&gt;1,"REVISAR: vehículo asignado dos veces","OK"))))))))</f>
        <v/>
      </c>
      <c r="H261" s="9"/>
      <c r="I261" s="9"/>
      <c r="J261" s="14" t="str">
        <f aca="false">IF(OR(H261="",H261=0),"",I261/H261)</f>
        <v/>
      </c>
      <c r="K261" s="9"/>
      <c r="L261" s="9"/>
      <c r="M261" s="24"/>
      <c r="N261" s="9"/>
      <c r="O261" s="9" t="str">
        <f aca="false">IF(AND(OR(K261="En riesgo",K261="Atrasada"),L261=""),"Falta código de motivo",IF(AND(L261="OTR",N261=""),"Explica OTR en las notas",IF(AND(K261="Finalizada",I261&lt;H261,L261=""),"Falta código de motivo","")))</f>
        <v/>
      </c>
      <c r="P261" s="9" t="str">
        <f aca="false">IF(OR(D261="",A261=""),"",IF(COUNTIFS(Revision_previa!$B:$B,D261,Revision_previa!$A:$A,"&gt;="&amp;A261,Revision_previa!$A:$A,"&lt;"&amp;(A261+1))=0,"Sin revisión",IF(COUNTIFS(Revision_previa!$B:$B,D261,Revision_previa!$A:$A,"&gt;="&amp;A261,Revision_previa!$A:$A,"&lt;"&amp;(A261+1),Revision_previa!$D:$D,"Falla")+COUNTIFS(Revision_previa!$B:$B,D261,Revision_previa!$A:$A,"&gt;="&amp;A261,Revision_previa!$A:$A,"&lt;"&amp;(A261+1),Revision_previa!$E:$E,"Falla")+COUNTIFS(Revision_previa!$B:$B,D261,Revision_previa!$A:$A,"&gt;="&amp;A261,Revision_previa!$A:$A,"&lt;"&amp;(A261+1),Revision_previa!$F:$F,"Falla")+COUNTIFS(Revision_previa!$B:$B,D261,Revision_previa!$A:$A,"&gt;="&amp;A261,Revision_previa!$A:$A,"&lt;"&amp;(A261+1),Revision_previa!$H:$H,"Encendido")&gt;0,"No apto","Apto")))</f>
        <v/>
      </c>
    </row>
    <row r="262" customFormat="false" ht="15" hidden="false" customHeight="false" outlineLevel="0" collapsed="false">
      <c r="A262" s="23"/>
      <c r="B262" s="9"/>
      <c r="C262" s="9"/>
      <c r="D262" s="9"/>
      <c r="E262" s="9" t="str">
        <f aca="false">IF(C262="","",IFERROR(INDEX(Conductores!$B:$B,MATCH(C262,Conductores!$A:$A,0)),"ID no encontrado"))</f>
        <v/>
      </c>
      <c r="F262" s="9" t="str">
        <f aca="false">IF(B262="","",IFERROR(INDEX(Rutas!$B:$B,MATCH(B262,Rutas!$A:$A,0)),"ID no encontrado"))</f>
        <v/>
      </c>
      <c r="G262" s="9" t="str">
        <f aca="false">IF(OR(B262="",C262="",D262=""),"",IF(OR(ISNA(MATCH(B262,Rutas!$A:$A,0)),ISNA(MATCH(C262,Conductores!$A:$A,0)),ISNA(MATCH(D262,Vehículos!$A:$A,0))),"REVISAR: ID no encontrado",IF(INDEX(Rutas!$C:$C,MATCH(B262,Rutas!$A:$A,0))&lt;&gt;INDEX(Vehículos!$B:$B,MATCH(D262,Vehículos!$A:$A,0)),"REVISAR: el vehículo no corresponde a la ruta",IF(INDEX(Rutas!$C:$C,MATCH(B262,Rutas!$A:$A,0))&lt;&gt;INDEX(Conductores!$D:$D,MATCH(C262,Conductores!$A:$A,0)),"REVISAR: el conductor no corresponde a la ruta",IF(OR(INDEX(Vehículos!$E:$E,MATCH(D262,Vehículos!$A:$A,0))="Taller",INDEX(Vehículos!$E:$E,MATCH(D262,Vehículos!$A:$A,0))="Fuera de servicio"),"REVISAR: vehículo no disponible",IF(INDEX(Conductores!$G:$G,MATCH(C262,Conductores!$A:$A,0))&lt;&gt;"Activo","REVISAR: conductor no activo",IF(COUNTIFS($A:$A,A262,$C:$C,C262)&gt;1,"REVISAR: conductor asignado dos veces",IF(COUNTIFS($A:$A,A262,$D:$D,D262)&gt;1,"REVISAR: vehículo asignado dos veces","OK"))))))))</f>
        <v/>
      </c>
      <c r="H262" s="9"/>
      <c r="I262" s="9"/>
      <c r="J262" s="14" t="str">
        <f aca="false">IF(OR(H262="",H262=0),"",I262/H262)</f>
        <v/>
      </c>
      <c r="K262" s="9"/>
      <c r="L262" s="9"/>
      <c r="M262" s="24"/>
      <c r="N262" s="9"/>
      <c r="O262" s="9" t="str">
        <f aca="false">IF(AND(OR(K262="En riesgo",K262="Atrasada"),L262=""),"Falta código de motivo",IF(AND(L262="OTR",N262=""),"Explica OTR en las notas",IF(AND(K262="Finalizada",I262&lt;H262,L262=""),"Falta código de motivo","")))</f>
        <v/>
      </c>
      <c r="P262" s="9" t="str">
        <f aca="false">IF(OR(D262="",A262=""),"",IF(COUNTIFS(Revision_previa!$B:$B,D262,Revision_previa!$A:$A,"&gt;="&amp;A262,Revision_previa!$A:$A,"&lt;"&amp;(A262+1))=0,"Sin revisión",IF(COUNTIFS(Revision_previa!$B:$B,D262,Revision_previa!$A:$A,"&gt;="&amp;A262,Revision_previa!$A:$A,"&lt;"&amp;(A262+1),Revision_previa!$D:$D,"Falla")+COUNTIFS(Revision_previa!$B:$B,D262,Revision_previa!$A:$A,"&gt;="&amp;A262,Revision_previa!$A:$A,"&lt;"&amp;(A262+1),Revision_previa!$E:$E,"Falla")+COUNTIFS(Revision_previa!$B:$B,D262,Revision_previa!$A:$A,"&gt;="&amp;A262,Revision_previa!$A:$A,"&lt;"&amp;(A262+1),Revision_previa!$F:$F,"Falla")+COUNTIFS(Revision_previa!$B:$B,D262,Revision_previa!$A:$A,"&gt;="&amp;A262,Revision_previa!$A:$A,"&lt;"&amp;(A262+1),Revision_previa!$H:$H,"Encendido")&gt;0,"No apto","Apto")))</f>
        <v/>
      </c>
    </row>
    <row r="263" customFormat="false" ht="15" hidden="false" customHeight="false" outlineLevel="0" collapsed="false">
      <c r="A263" s="23"/>
      <c r="B263" s="9"/>
      <c r="C263" s="9"/>
      <c r="D263" s="9"/>
      <c r="E263" s="9" t="str">
        <f aca="false">IF(C263="","",IFERROR(INDEX(Conductores!$B:$B,MATCH(C263,Conductores!$A:$A,0)),"ID no encontrado"))</f>
        <v/>
      </c>
      <c r="F263" s="9" t="str">
        <f aca="false">IF(B263="","",IFERROR(INDEX(Rutas!$B:$B,MATCH(B263,Rutas!$A:$A,0)),"ID no encontrado"))</f>
        <v/>
      </c>
      <c r="G263" s="9" t="str">
        <f aca="false">IF(OR(B263="",C263="",D263=""),"",IF(OR(ISNA(MATCH(B263,Rutas!$A:$A,0)),ISNA(MATCH(C263,Conductores!$A:$A,0)),ISNA(MATCH(D263,Vehículos!$A:$A,0))),"REVISAR: ID no encontrado",IF(INDEX(Rutas!$C:$C,MATCH(B263,Rutas!$A:$A,0))&lt;&gt;INDEX(Vehículos!$B:$B,MATCH(D263,Vehículos!$A:$A,0)),"REVISAR: el vehículo no corresponde a la ruta",IF(INDEX(Rutas!$C:$C,MATCH(B263,Rutas!$A:$A,0))&lt;&gt;INDEX(Conductores!$D:$D,MATCH(C263,Conductores!$A:$A,0)),"REVISAR: el conductor no corresponde a la ruta",IF(OR(INDEX(Vehículos!$E:$E,MATCH(D263,Vehículos!$A:$A,0))="Taller",INDEX(Vehículos!$E:$E,MATCH(D263,Vehículos!$A:$A,0))="Fuera de servicio"),"REVISAR: vehículo no disponible",IF(INDEX(Conductores!$G:$G,MATCH(C263,Conductores!$A:$A,0))&lt;&gt;"Activo","REVISAR: conductor no activo",IF(COUNTIFS($A:$A,A263,$C:$C,C263)&gt;1,"REVISAR: conductor asignado dos veces",IF(COUNTIFS($A:$A,A263,$D:$D,D263)&gt;1,"REVISAR: vehículo asignado dos veces","OK"))))))))</f>
        <v/>
      </c>
      <c r="H263" s="9"/>
      <c r="I263" s="9"/>
      <c r="J263" s="14" t="str">
        <f aca="false">IF(OR(H263="",H263=0),"",I263/H263)</f>
        <v/>
      </c>
      <c r="K263" s="9"/>
      <c r="L263" s="9"/>
      <c r="M263" s="24"/>
      <c r="N263" s="9"/>
      <c r="O263" s="9" t="str">
        <f aca="false">IF(AND(OR(K263="En riesgo",K263="Atrasada"),L263=""),"Falta código de motivo",IF(AND(L263="OTR",N263=""),"Explica OTR en las notas",IF(AND(K263="Finalizada",I263&lt;H263,L263=""),"Falta código de motivo","")))</f>
        <v/>
      </c>
      <c r="P263" s="9" t="str">
        <f aca="false">IF(OR(D263="",A263=""),"",IF(COUNTIFS(Revision_previa!$B:$B,D263,Revision_previa!$A:$A,"&gt;="&amp;A263,Revision_previa!$A:$A,"&lt;"&amp;(A263+1))=0,"Sin revisión",IF(COUNTIFS(Revision_previa!$B:$B,D263,Revision_previa!$A:$A,"&gt;="&amp;A263,Revision_previa!$A:$A,"&lt;"&amp;(A263+1),Revision_previa!$D:$D,"Falla")+COUNTIFS(Revision_previa!$B:$B,D263,Revision_previa!$A:$A,"&gt;="&amp;A263,Revision_previa!$A:$A,"&lt;"&amp;(A263+1),Revision_previa!$E:$E,"Falla")+COUNTIFS(Revision_previa!$B:$B,D263,Revision_previa!$A:$A,"&gt;="&amp;A263,Revision_previa!$A:$A,"&lt;"&amp;(A263+1),Revision_previa!$F:$F,"Falla")+COUNTIFS(Revision_previa!$B:$B,D263,Revision_previa!$A:$A,"&gt;="&amp;A263,Revision_previa!$A:$A,"&lt;"&amp;(A263+1),Revision_previa!$H:$H,"Encendido")&gt;0,"No apto","Apto")))</f>
        <v/>
      </c>
    </row>
    <row r="264" customFormat="false" ht="15" hidden="false" customHeight="false" outlineLevel="0" collapsed="false">
      <c r="A264" s="23"/>
      <c r="B264" s="9"/>
      <c r="C264" s="9"/>
      <c r="D264" s="9"/>
      <c r="E264" s="9" t="str">
        <f aca="false">IF(C264="","",IFERROR(INDEX(Conductores!$B:$B,MATCH(C264,Conductores!$A:$A,0)),"ID no encontrado"))</f>
        <v/>
      </c>
      <c r="F264" s="9" t="str">
        <f aca="false">IF(B264="","",IFERROR(INDEX(Rutas!$B:$B,MATCH(B264,Rutas!$A:$A,0)),"ID no encontrado"))</f>
        <v/>
      </c>
      <c r="G264" s="9" t="str">
        <f aca="false">IF(OR(B264="",C264="",D264=""),"",IF(OR(ISNA(MATCH(B264,Rutas!$A:$A,0)),ISNA(MATCH(C264,Conductores!$A:$A,0)),ISNA(MATCH(D264,Vehículos!$A:$A,0))),"REVISAR: ID no encontrado",IF(INDEX(Rutas!$C:$C,MATCH(B264,Rutas!$A:$A,0))&lt;&gt;INDEX(Vehículos!$B:$B,MATCH(D264,Vehículos!$A:$A,0)),"REVISAR: el vehículo no corresponde a la ruta",IF(INDEX(Rutas!$C:$C,MATCH(B264,Rutas!$A:$A,0))&lt;&gt;INDEX(Conductores!$D:$D,MATCH(C264,Conductores!$A:$A,0)),"REVISAR: el conductor no corresponde a la ruta",IF(OR(INDEX(Vehículos!$E:$E,MATCH(D264,Vehículos!$A:$A,0))="Taller",INDEX(Vehículos!$E:$E,MATCH(D264,Vehículos!$A:$A,0))="Fuera de servicio"),"REVISAR: vehículo no disponible",IF(INDEX(Conductores!$G:$G,MATCH(C264,Conductores!$A:$A,0))&lt;&gt;"Activo","REVISAR: conductor no activo",IF(COUNTIFS($A:$A,A264,$C:$C,C264)&gt;1,"REVISAR: conductor asignado dos veces",IF(COUNTIFS($A:$A,A264,$D:$D,D264)&gt;1,"REVISAR: vehículo asignado dos veces","OK"))))))))</f>
        <v/>
      </c>
      <c r="H264" s="9"/>
      <c r="I264" s="9"/>
      <c r="J264" s="14" t="str">
        <f aca="false">IF(OR(H264="",H264=0),"",I264/H264)</f>
        <v/>
      </c>
      <c r="K264" s="9"/>
      <c r="L264" s="9"/>
      <c r="M264" s="24"/>
      <c r="N264" s="9"/>
      <c r="O264" s="9" t="str">
        <f aca="false">IF(AND(OR(K264="En riesgo",K264="Atrasada"),L264=""),"Falta código de motivo",IF(AND(L264="OTR",N264=""),"Explica OTR en las notas",IF(AND(K264="Finalizada",I264&lt;H264,L264=""),"Falta código de motivo","")))</f>
        <v/>
      </c>
      <c r="P264" s="9" t="str">
        <f aca="false">IF(OR(D264="",A264=""),"",IF(COUNTIFS(Revision_previa!$B:$B,D264,Revision_previa!$A:$A,"&gt;="&amp;A264,Revision_previa!$A:$A,"&lt;"&amp;(A264+1))=0,"Sin revisión",IF(COUNTIFS(Revision_previa!$B:$B,D264,Revision_previa!$A:$A,"&gt;="&amp;A264,Revision_previa!$A:$A,"&lt;"&amp;(A264+1),Revision_previa!$D:$D,"Falla")+COUNTIFS(Revision_previa!$B:$B,D264,Revision_previa!$A:$A,"&gt;="&amp;A264,Revision_previa!$A:$A,"&lt;"&amp;(A264+1),Revision_previa!$E:$E,"Falla")+COUNTIFS(Revision_previa!$B:$B,D264,Revision_previa!$A:$A,"&gt;="&amp;A264,Revision_previa!$A:$A,"&lt;"&amp;(A264+1),Revision_previa!$F:$F,"Falla")+COUNTIFS(Revision_previa!$B:$B,D264,Revision_previa!$A:$A,"&gt;="&amp;A264,Revision_previa!$A:$A,"&lt;"&amp;(A264+1),Revision_previa!$H:$H,"Encendido")&gt;0,"No apto","Apto")))</f>
        <v/>
      </c>
    </row>
    <row r="265" customFormat="false" ht="15" hidden="false" customHeight="false" outlineLevel="0" collapsed="false">
      <c r="A265" s="23"/>
      <c r="B265" s="9"/>
      <c r="C265" s="9"/>
      <c r="D265" s="9"/>
      <c r="E265" s="9" t="str">
        <f aca="false">IF(C265="","",IFERROR(INDEX(Conductores!$B:$B,MATCH(C265,Conductores!$A:$A,0)),"ID no encontrado"))</f>
        <v/>
      </c>
      <c r="F265" s="9" t="str">
        <f aca="false">IF(B265="","",IFERROR(INDEX(Rutas!$B:$B,MATCH(B265,Rutas!$A:$A,0)),"ID no encontrado"))</f>
        <v/>
      </c>
      <c r="G265" s="9" t="str">
        <f aca="false">IF(OR(B265="",C265="",D265=""),"",IF(OR(ISNA(MATCH(B265,Rutas!$A:$A,0)),ISNA(MATCH(C265,Conductores!$A:$A,0)),ISNA(MATCH(D265,Vehículos!$A:$A,0))),"REVISAR: ID no encontrado",IF(INDEX(Rutas!$C:$C,MATCH(B265,Rutas!$A:$A,0))&lt;&gt;INDEX(Vehículos!$B:$B,MATCH(D265,Vehículos!$A:$A,0)),"REVISAR: el vehículo no corresponde a la ruta",IF(INDEX(Rutas!$C:$C,MATCH(B265,Rutas!$A:$A,0))&lt;&gt;INDEX(Conductores!$D:$D,MATCH(C265,Conductores!$A:$A,0)),"REVISAR: el conductor no corresponde a la ruta",IF(OR(INDEX(Vehículos!$E:$E,MATCH(D265,Vehículos!$A:$A,0))="Taller",INDEX(Vehículos!$E:$E,MATCH(D265,Vehículos!$A:$A,0))="Fuera de servicio"),"REVISAR: vehículo no disponible",IF(INDEX(Conductores!$G:$G,MATCH(C265,Conductores!$A:$A,0))&lt;&gt;"Activo","REVISAR: conductor no activo",IF(COUNTIFS($A:$A,A265,$C:$C,C265)&gt;1,"REVISAR: conductor asignado dos veces",IF(COUNTIFS($A:$A,A265,$D:$D,D265)&gt;1,"REVISAR: vehículo asignado dos veces","OK"))))))))</f>
        <v/>
      </c>
      <c r="H265" s="9"/>
      <c r="I265" s="9"/>
      <c r="J265" s="14" t="str">
        <f aca="false">IF(OR(H265="",H265=0),"",I265/H265)</f>
        <v/>
      </c>
      <c r="K265" s="9"/>
      <c r="L265" s="9"/>
      <c r="M265" s="24"/>
      <c r="N265" s="9"/>
      <c r="O265" s="9" t="str">
        <f aca="false">IF(AND(OR(K265="En riesgo",K265="Atrasada"),L265=""),"Falta código de motivo",IF(AND(L265="OTR",N265=""),"Explica OTR en las notas",IF(AND(K265="Finalizada",I265&lt;H265,L265=""),"Falta código de motivo","")))</f>
        <v/>
      </c>
      <c r="P265" s="9" t="str">
        <f aca="false">IF(OR(D265="",A265=""),"",IF(COUNTIFS(Revision_previa!$B:$B,D265,Revision_previa!$A:$A,"&gt;="&amp;A265,Revision_previa!$A:$A,"&lt;"&amp;(A265+1))=0,"Sin revisión",IF(COUNTIFS(Revision_previa!$B:$B,D265,Revision_previa!$A:$A,"&gt;="&amp;A265,Revision_previa!$A:$A,"&lt;"&amp;(A265+1),Revision_previa!$D:$D,"Falla")+COUNTIFS(Revision_previa!$B:$B,D265,Revision_previa!$A:$A,"&gt;="&amp;A265,Revision_previa!$A:$A,"&lt;"&amp;(A265+1),Revision_previa!$E:$E,"Falla")+COUNTIFS(Revision_previa!$B:$B,D265,Revision_previa!$A:$A,"&gt;="&amp;A265,Revision_previa!$A:$A,"&lt;"&amp;(A265+1),Revision_previa!$F:$F,"Falla")+COUNTIFS(Revision_previa!$B:$B,D265,Revision_previa!$A:$A,"&gt;="&amp;A265,Revision_previa!$A:$A,"&lt;"&amp;(A265+1),Revision_previa!$H:$H,"Encendido")&gt;0,"No apto","Apto")))</f>
        <v/>
      </c>
    </row>
    <row r="266" customFormat="false" ht="15" hidden="false" customHeight="false" outlineLevel="0" collapsed="false">
      <c r="A266" s="23"/>
      <c r="B266" s="9"/>
      <c r="C266" s="9"/>
      <c r="D266" s="9"/>
      <c r="E266" s="9" t="str">
        <f aca="false">IF(C266="","",IFERROR(INDEX(Conductores!$B:$B,MATCH(C266,Conductores!$A:$A,0)),"ID no encontrado"))</f>
        <v/>
      </c>
      <c r="F266" s="9" t="str">
        <f aca="false">IF(B266="","",IFERROR(INDEX(Rutas!$B:$B,MATCH(B266,Rutas!$A:$A,0)),"ID no encontrado"))</f>
        <v/>
      </c>
      <c r="G266" s="9" t="str">
        <f aca="false">IF(OR(B266="",C266="",D266=""),"",IF(OR(ISNA(MATCH(B266,Rutas!$A:$A,0)),ISNA(MATCH(C266,Conductores!$A:$A,0)),ISNA(MATCH(D266,Vehículos!$A:$A,0))),"REVISAR: ID no encontrado",IF(INDEX(Rutas!$C:$C,MATCH(B266,Rutas!$A:$A,0))&lt;&gt;INDEX(Vehículos!$B:$B,MATCH(D266,Vehículos!$A:$A,0)),"REVISAR: el vehículo no corresponde a la ruta",IF(INDEX(Rutas!$C:$C,MATCH(B266,Rutas!$A:$A,0))&lt;&gt;INDEX(Conductores!$D:$D,MATCH(C266,Conductores!$A:$A,0)),"REVISAR: el conductor no corresponde a la ruta",IF(OR(INDEX(Vehículos!$E:$E,MATCH(D266,Vehículos!$A:$A,0))="Taller",INDEX(Vehículos!$E:$E,MATCH(D266,Vehículos!$A:$A,0))="Fuera de servicio"),"REVISAR: vehículo no disponible",IF(INDEX(Conductores!$G:$G,MATCH(C266,Conductores!$A:$A,0))&lt;&gt;"Activo","REVISAR: conductor no activo",IF(COUNTIFS($A:$A,A266,$C:$C,C266)&gt;1,"REVISAR: conductor asignado dos veces",IF(COUNTIFS($A:$A,A266,$D:$D,D266)&gt;1,"REVISAR: vehículo asignado dos veces","OK"))))))))</f>
        <v/>
      </c>
      <c r="H266" s="9"/>
      <c r="I266" s="9"/>
      <c r="J266" s="14" t="str">
        <f aca="false">IF(OR(H266="",H266=0),"",I266/H266)</f>
        <v/>
      </c>
      <c r="K266" s="9"/>
      <c r="L266" s="9"/>
      <c r="M266" s="24"/>
      <c r="N266" s="9"/>
      <c r="O266" s="9" t="str">
        <f aca="false">IF(AND(OR(K266="En riesgo",K266="Atrasada"),L266=""),"Falta código de motivo",IF(AND(L266="OTR",N266=""),"Explica OTR en las notas",IF(AND(K266="Finalizada",I266&lt;H266,L266=""),"Falta código de motivo","")))</f>
        <v/>
      </c>
      <c r="P266" s="9" t="str">
        <f aca="false">IF(OR(D266="",A266=""),"",IF(COUNTIFS(Revision_previa!$B:$B,D266,Revision_previa!$A:$A,"&gt;="&amp;A266,Revision_previa!$A:$A,"&lt;"&amp;(A266+1))=0,"Sin revisión",IF(COUNTIFS(Revision_previa!$B:$B,D266,Revision_previa!$A:$A,"&gt;="&amp;A266,Revision_previa!$A:$A,"&lt;"&amp;(A266+1),Revision_previa!$D:$D,"Falla")+COUNTIFS(Revision_previa!$B:$B,D266,Revision_previa!$A:$A,"&gt;="&amp;A266,Revision_previa!$A:$A,"&lt;"&amp;(A266+1),Revision_previa!$E:$E,"Falla")+COUNTIFS(Revision_previa!$B:$B,D266,Revision_previa!$A:$A,"&gt;="&amp;A266,Revision_previa!$A:$A,"&lt;"&amp;(A266+1),Revision_previa!$F:$F,"Falla")+COUNTIFS(Revision_previa!$B:$B,D266,Revision_previa!$A:$A,"&gt;="&amp;A266,Revision_previa!$A:$A,"&lt;"&amp;(A266+1),Revision_previa!$H:$H,"Encendido")&gt;0,"No apto","Apto")))</f>
        <v/>
      </c>
    </row>
    <row r="267" customFormat="false" ht="15" hidden="false" customHeight="false" outlineLevel="0" collapsed="false">
      <c r="A267" s="23"/>
      <c r="B267" s="9"/>
      <c r="C267" s="9"/>
      <c r="D267" s="9"/>
      <c r="E267" s="9" t="str">
        <f aca="false">IF(C267="","",IFERROR(INDEX(Conductores!$B:$B,MATCH(C267,Conductores!$A:$A,0)),"ID no encontrado"))</f>
        <v/>
      </c>
      <c r="F267" s="9" t="str">
        <f aca="false">IF(B267="","",IFERROR(INDEX(Rutas!$B:$B,MATCH(B267,Rutas!$A:$A,0)),"ID no encontrado"))</f>
        <v/>
      </c>
      <c r="G267" s="9" t="str">
        <f aca="false">IF(OR(B267="",C267="",D267=""),"",IF(OR(ISNA(MATCH(B267,Rutas!$A:$A,0)),ISNA(MATCH(C267,Conductores!$A:$A,0)),ISNA(MATCH(D267,Vehículos!$A:$A,0))),"REVISAR: ID no encontrado",IF(INDEX(Rutas!$C:$C,MATCH(B267,Rutas!$A:$A,0))&lt;&gt;INDEX(Vehículos!$B:$B,MATCH(D267,Vehículos!$A:$A,0)),"REVISAR: el vehículo no corresponde a la ruta",IF(INDEX(Rutas!$C:$C,MATCH(B267,Rutas!$A:$A,0))&lt;&gt;INDEX(Conductores!$D:$D,MATCH(C267,Conductores!$A:$A,0)),"REVISAR: el conductor no corresponde a la ruta",IF(OR(INDEX(Vehículos!$E:$E,MATCH(D267,Vehículos!$A:$A,0))="Taller",INDEX(Vehículos!$E:$E,MATCH(D267,Vehículos!$A:$A,0))="Fuera de servicio"),"REVISAR: vehículo no disponible",IF(INDEX(Conductores!$G:$G,MATCH(C267,Conductores!$A:$A,0))&lt;&gt;"Activo","REVISAR: conductor no activo",IF(COUNTIFS($A:$A,A267,$C:$C,C267)&gt;1,"REVISAR: conductor asignado dos veces",IF(COUNTIFS($A:$A,A267,$D:$D,D267)&gt;1,"REVISAR: vehículo asignado dos veces","OK"))))))))</f>
        <v/>
      </c>
      <c r="H267" s="9"/>
      <c r="I267" s="9"/>
      <c r="J267" s="14" t="str">
        <f aca="false">IF(OR(H267="",H267=0),"",I267/H267)</f>
        <v/>
      </c>
      <c r="K267" s="9"/>
      <c r="L267" s="9"/>
      <c r="M267" s="24"/>
      <c r="N267" s="9"/>
      <c r="O267" s="9" t="str">
        <f aca="false">IF(AND(OR(K267="En riesgo",K267="Atrasada"),L267=""),"Falta código de motivo",IF(AND(L267="OTR",N267=""),"Explica OTR en las notas",IF(AND(K267="Finalizada",I267&lt;H267,L267=""),"Falta código de motivo","")))</f>
        <v/>
      </c>
      <c r="P267" s="9" t="str">
        <f aca="false">IF(OR(D267="",A267=""),"",IF(COUNTIFS(Revision_previa!$B:$B,D267,Revision_previa!$A:$A,"&gt;="&amp;A267,Revision_previa!$A:$A,"&lt;"&amp;(A267+1))=0,"Sin revisión",IF(COUNTIFS(Revision_previa!$B:$B,D267,Revision_previa!$A:$A,"&gt;="&amp;A267,Revision_previa!$A:$A,"&lt;"&amp;(A267+1),Revision_previa!$D:$D,"Falla")+COUNTIFS(Revision_previa!$B:$B,D267,Revision_previa!$A:$A,"&gt;="&amp;A267,Revision_previa!$A:$A,"&lt;"&amp;(A267+1),Revision_previa!$E:$E,"Falla")+COUNTIFS(Revision_previa!$B:$B,D267,Revision_previa!$A:$A,"&gt;="&amp;A267,Revision_previa!$A:$A,"&lt;"&amp;(A267+1),Revision_previa!$F:$F,"Falla")+COUNTIFS(Revision_previa!$B:$B,D267,Revision_previa!$A:$A,"&gt;="&amp;A267,Revision_previa!$A:$A,"&lt;"&amp;(A267+1),Revision_previa!$H:$H,"Encendido")&gt;0,"No apto","Apto")))</f>
        <v/>
      </c>
    </row>
    <row r="268" customFormat="false" ht="15" hidden="false" customHeight="false" outlineLevel="0" collapsed="false">
      <c r="A268" s="23"/>
      <c r="B268" s="9"/>
      <c r="C268" s="9"/>
      <c r="D268" s="9"/>
      <c r="E268" s="9" t="str">
        <f aca="false">IF(C268="","",IFERROR(INDEX(Conductores!$B:$B,MATCH(C268,Conductores!$A:$A,0)),"ID no encontrado"))</f>
        <v/>
      </c>
      <c r="F268" s="9" t="str">
        <f aca="false">IF(B268="","",IFERROR(INDEX(Rutas!$B:$B,MATCH(B268,Rutas!$A:$A,0)),"ID no encontrado"))</f>
        <v/>
      </c>
      <c r="G268" s="9" t="str">
        <f aca="false">IF(OR(B268="",C268="",D268=""),"",IF(OR(ISNA(MATCH(B268,Rutas!$A:$A,0)),ISNA(MATCH(C268,Conductores!$A:$A,0)),ISNA(MATCH(D268,Vehículos!$A:$A,0))),"REVISAR: ID no encontrado",IF(INDEX(Rutas!$C:$C,MATCH(B268,Rutas!$A:$A,0))&lt;&gt;INDEX(Vehículos!$B:$B,MATCH(D268,Vehículos!$A:$A,0)),"REVISAR: el vehículo no corresponde a la ruta",IF(INDEX(Rutas!$C:$C,MATCH(B268,Rutas!$A:$A,0))&lt;&gt;INDEX(Conductores!$D:$D,MATCH(C268,Conductores!$A:$A,0)),"REVISAR: el conductor no corresponde a la ruta",IF(OR(INDEX(Vehículos!$E:$E,MATCH(D268,Vehículos!$A:$A,0))="Taller",INDEX(Vehículos!$E:$E,MATCH(D268,Vehículos!$A:$A,0))="Fuera de servicio"),"REVISAR: vehículo no disponible",IF(INDEX(Conductores!$G:$G,MATCH(C268,Conductores!$A:$A,0))&lt;&gt;"Activo","REVISAR: conductor no activo",IF(COUNTIFS($A:$A,A268,$C:$C,C268)&gt;1,"REVISAR: conductor asignado dos veces",IF(COUNTIFS($A:$A,A268,$D:$D,D268)&gt;1,"REVISAR: vehículo asignado dos veces","OK"))))))))</f>
        <v/>
      </c>
      <c r="H268" s="9"/>
      <c r="I268" s="9"/>
      <c r="J268" s="14" t="str">
        <f aca="false">IF(OR(H268="",H268=0),"",I268/H268)</f>
        <v/>
      </c>
      <c r="K268" s="9"/>
      <c r="L268" s="9"/>
      <c r="M268" s="24"/>
      <c r="N268" s="9"/>
      <c r="O268" s="9" t="str">
        <f aca="false">IF(AND(OR(K268="En riesgo",K268="Atrasada"),L268=""),"Falta código de motivo",IF(AND(L268="OTR",N268=""),"Explica OTR en las notas",IF(AND(K268="Finalizada",I268&lt;H268,L268=""),"Falta código de motivo","")))</f>
        <v/>
      </c>
      <c r="P268" s="9" t="str">
        <f aca="false">IF(OR(D268="",A268=""),"",IF(COUNTIFS(Revision_previa!$B:$B,D268,Revision_previa!$A:$A,"&gt;="&amp;A268,Revision_previa!$A:$A,"&lt;"&amp;(A268+1))=0,"Sin revisión",IF(COUNTIFS(Revision_previa!$B:$B,D268,Revision_previa!$A:$A,"&gt;="&amp;A268,Revision_previa!$A:$A,"&lt;"&amp;(A268+1),Revision_previa!$D:$D,"Falla")+COUNTIFS(Revision_previa!$B:$B,D268,Revision_previa!$A:$A,"&gt;="&amp;A268,Revision_previa!$A:$A,"&lt;"&amp;(A268+1),Revision_previa!$E:$E,"Falla")+COUNTIFS(Revision_previa!$B:$B,D268,Revision_previa!$A:$A,"&gt;="&amp;A268,Revision_previa!$A:$A,"&lt;"&amp;(A268+1),Revision_previa!$F:$F,"Falla")+COUNTIFS(Revision_previa!$B:$B,D268,Revision_previa!$A:$A,"&gt;="&amp;A268,Revision_previa!$A:$A,"&lt;"&amp;(A268+1),Revision_previa!$H:$H,"Encendido")&gt;0,"No apto","Apto")))</f>
        <v/>
      </c>
    </row>
    <row r="269" customFormat="false" ht="15" hidden="false" customHeight="false" outlineLevel="0" collapsed="false">
      <c r="A269" s="23"/>
      <c r="B269" s="9"/>
      <c r="C269" s="9"/>
      <c r="D269" s="9"/>
      <c r="E269" s="9" t="str">
        <f aca="false">IF(C269="","",IFERROR(INDEX(Conductores!$B:$B,MATCH(C269,Conductores!$A:$A,0)),"ID no encontrado"))</f>
        <v/>
      </c>
      <c r="F269" s="9" t="str">
        <f aca="false">IF(B269="","",IFERROR(INDEX(Rutas!$B:$B,MATCH(B269,Rutas!$A:$A,0)),"ID no encontrado"))</f>
        <v/>
      </c>
      <c r="G269" s="9" t="str">
        <f aca="false">IF(OR(B269="",C269="",D269=""),"",IF(OR(ISNA(MATCH(B269,Rutas!$A:$A,0)),ISNA(MATCH(C269,Conductores!$A:$A,0)),ISNA(MATCH(D269,Vehículos!$A:$A,0))),"REVISAR: ID no encontrado",IF(INDEX(Rutas!$C:$C,MATCH(B269,Rutas!$A:$A,0))&lt;&gt;INDEX(Vehículos!$B:$B,MATCH(D269,Vehículos!$A:$A,0)),"REVISAR: el vehículo no corresponde a la ruta",IF(INDEX(Rutas!$C:$C,MATCH(B269,Rutas!$A:$A,0))&lt;&gt;INDEX(Conductores!$D:$D,MATCH(C269,Conductores!$A:$A,0)),"REVISAR: el conductor no corresponde a la ruta",IF(OR(INDEX(Vehículos!$E:$E,MATCH(D269,Vehículos!$A:$A,0))="Taller",INDEX(Vehículos!$E:$E,MATCH(D269,Vehículos!$A:$A,0))="Fuera de servicio"),"REVISAR: vehículo no disponible",IF(INDEX(Conductores!$G:$G,MATCH(C269,Conductores!$A:$A,0))&lt;&gt;"Activo","REVISAR: conductor no activo",IF(COUNTIFS($A:$A,A269,$C:$C,C269)&gt;1,"REVISAR: conductor asignado dos veces",IF(COUNTIFS($A:$A,A269,$D:$D,D269)&gt;1,"REVISAR: vehículo asignado dos veces","OK"))))))))</f>
        <v/>
      </c>
      <c r="H269" s="9"/>
      <c r="I269" s="9"/>
      <c r="J269" s="14" t="str">
        <f aca="false">IF(OR(H269="",H269=0),"",I269/H269)</f>
        <v/>
      </c>
      <c r="K269" s="9"/>
      <c r="L269" s="9"/>
      <c r="M269" s="24"/>
      <c r="N269" s="9"/>
      <c r="O269" s="9" t="str">
        <f aca="false">IF(AND(OR(K269="En riesgo",K269="Atrasada"),L269=""),"Falta código de motivo",IF(AND(L269="OTR",N269=""),"Explica OTR en las notas",IF(AND(K269="Finalizada",I269&lt;H269,L269=""),"Falta código de motivo","")))</f>
        <v/>
      </c>
      <c r="P269" s="9" t="str">
        <f aca="false">IF(OR(D269="",A269=""),"",IF(COUNTIFS(Revision_previa!$B:$B,D269,Revision_previa!$A:$A,"&gt;="&amp;A269,Revision_previa!$A:$A,"&lt;"&amp;(A269+1))=0,"Sin revisión",IF(COUNTIFS(Revision_previa!$B:$B,D269,Revision_previa!$A:$A,"&gt;="&amp;A269,Revision_previa!$A:$A,"&lt;"&amp;(A269+1),Revision_previa!$D:$D,"Falla")+COUNTIFS(Revision_previa!$B:$B,D269,Revision_previa!$A:$A,"&gt;="&amp;A269,Revision_previa!$A:$A,"&lt;"&amp;(A269+1),Revision_previa!$E:$E,"Falla")+COUNTIFS(Revision_previa!$B:$B,D269,Revision_previa!$A:$A,"&gt;="&amp;A269,Revision_previa!$A:$A,"&lt;"&amp;(A269+1),Revision_previa!$F:$F,"Falla")+COUNTIFS(Revision_previa!$B:$B,D269,Revision_previa!$A:$A,"&gt;="&amp;A269,Revision_previa!$A:$A,"&lt;"&amp;(A269+1),Revision_previa!$H:$H,"Encendido")&gt;0,"No apto","Apto")))</f>
        <v/>
      </c>
    </row>
    <row r="270" customFormat="false" ht="15" hidden="false" customHeight="false" outlineLevel="0" collapsed="false">
      <c r="A270" s="23"/>
      <c r="B270" s="9"/>
      <c r="C270" s="9"/>
      <c r="D270" s="9"/>
      <c r="E270" s="9" t="str">
        <f aca="false">IF(C270="","",IFERROR(INDEX(Conductores!$B:$B,MATCH(C270,Conductores!$A:$A,0)),"ID no encontrado"))</f>
        <v/>
      </c>
      <c r="F270" s="9" t="str">
        <f aca="false">IF(B270="","",IFERROR(INDEX(Rutas!$B:$B,MATCH(B270,Rutas!$A:$A,0)),"ID no encontrado"))</f>
        <v/>
      </c>
      <c r="G270" s="9" t="str">
        <f aca="false">IF(OR(B270="",C270="",D270=""),"",IF(OR(ISNA(MATCH(B270,Rutas!$A:$A,0)),ISNA(MATCH(C270,Conductores!$A:$A,0)),ISNA(MATCH(D270,Vehículos!$A:$A,0))),"REVISAR: ID no encontrado",IF(INDEX(Rutas!$C:$C,MATCH(B270,Rutas!$A:$A,0))&lt;&gt;INDEX(Vehículos!$B:$B,MATCH(D270,Vehículos!$A:$A,0)),"REVISAR: el vehículo no corresponde a la ruta",IF(INDEX(Rutas!$C:$C,MATCH(B270,Rutas!$A:$A,0))&lt;&gt;INDEX(Conductores!$D:$D,MATCH(C270,Conductores!$A:$A,0)),"REVISAR: el conductor no corresponde a la ruta",IF(OR(INDEX(Vehículos!$E:$E,MATCH(D270,Vehículos!$A:$A,0))="Taller",INDEX(Vehículos!$E:$E,MATCH(D270,Vehículos!$A:$A,0))="Fuera de servicio"),"REVISAR: vehículo no disponible",IF(INDEX(Conductores!$G:$G,MATCH(C270,Conductores!$A:$A,0))&lt;&gt;"Activo","REVISAR: conductor no activo",IF(COUNTIFS($A:$A,A270,$C:$C,C270)&gt;1,"REVISAR: conductor asignado dos veces",IF(COUNTIFS($A:$A,A270,$D:$D,D270)&gt;1,"REVISAR: vehículo asignado dos veces","OK"))))))))</f>
        <v/>
      </c>
      <c r="H270" s="9"/>
      <c r="I270" s="9"/>
      <c r="J270" s="14" t="str">
        <f aca="false">IF(OR(H270="",H270=0),"",I270/H270)</f>
        <v/>
      </c>
      <c r="K270" s="9"/>
      <c r="L270" s="9"/>
      <c r="M270" s="24"/>
      <c r="N270" s="9"/>
      <c r="O270" s="9" t="str">
        <f aca="false">IF(AND(OR(K270="En riesgo",K270="Atrasada"),L270=""),"Falta código de motivo",IF(AND(L270="OTR",N270=""),"Explica OTR en las notas",IF(AND(K270="Finalizada",I270&lt;H270,L270=""),"Falta código de motivo","")))</f>
        <v/>
      </c>
      <c r="P270" s="9" t="str">
        <f aca="false">IF(OR(D270="",A270=""),"",IF(COUNTIFS(Revision_previa!$B:$B,D270,Revision_previa!$A:$A,"&gt;="&amp;A270,Revision_previa!$A:$A,"&lt;"&amp;(A270+1))=0,"Sin revisión",IF(COUNTIFS(Revision_previa!$B:$B,D270,Revision_previa!$A:$A,"&gt;="&amp;A270,Revision_previa!$A:$A,"&lt;"&amp;(A270+1),Revision_previa!$D:$D,"Falla")+COUNTIFS(Revision_previa!$B:$B,D270,Revision_previa!$A:$A,"&gt;="&amp;A270,Revision_previa!$A:$A,"&lt;"&amp;(A270+1),Revision_previa!$E:$E,"Falla")+COUNTIFS(Revision_previa!$B:$B,D270,Revision_previa!$A:$A,"&gt;="&amp;A270,Revision_previa!$A:$A,"&lt;"&amp;(A270+1),Revision_previa!$F:$F,"Falla")+COUNTIFS(Revision_previa!$B:$B,D270,Revision_previa!$A:$A,"&gt;="&amp;A270,Revision_previa!$A:$A,"&lt;"&amp;(A270+1),Revision_previa!$H:$H,"Encendido")&gt;0,"No apto","Apto")))</f>
        <v/>
      </c>
    </row>
    <row r="271" customFormat="false" ht="15" hidden="false" customHeight="false" outlineLevel="0" collapsed="false">
      <c r="A271" s="23"/>
      <c r="B271" s="9"/>
      <c r="C271" s="9"/>
      <c r="D271" s="9"/>
      <c r="E271" s="9" t="str">
        <f aca="false">IF(C271="","",IFERROR(INDEX(Conductores!$B:$B,MATCH(C271,Conductores!$A:$A,0)),"ID no encontrado"))</f>
        <v/>
      </c>
      <c r="F271" s="9" t="str">
        <f aca="false">IF(B271="","",IFERROR(INDEX(Rutas!$B:$B,MATCH(B271,Rutas!$A:$A,0)),"ID no encontrado"))</f>
        <v/>
      </c>
      <c r="G271" s="9" t="str">
        <f aca="false">IF(OR(B271="",C271="",D271=""),"",IF(OR(ISNA(MATCH(B271,Rutas!$A:$A,0)),ISNA(MATCH(C271,Conductores!$A:$A,0)),ISNA(MATCH(D271,Vehículos!$A:$A,0))),"REVISAR: ID no encontrado",IF(INDEX(Rutas!$C:$C,MATCH(B271,Rutas!$A:$A,0))&lt;&gt;INDEX(Vehículos!$B:$B,MATCH(D271,Vehículos!$A:$A,0)),"REVISAR: el vehículo no corresponde a la ruta",IF(INDEX(Rutas!$C:$C,MATCH(B271,Rutas!$A:$A,0))&lt;&gt;INDEX(Conductores!$D:$D,MATCH(C271,Conductores!$A:$A,0)),"REVISAR: el conductor no corresponde a la ruta",IF(OR(INDEX(Vehículos!$E:$E,MATCH(D271,Vehículos!$A:$A,0))="Taller",INDEX(Vehículos!$E:$E,MATCH(D271,Vehículos!$A:$A,0))="Fuera de servicio"),"REVISAR: vehículo no disponible",IF(INDEX(Conductores!$G:$G,MATCH(C271,Conductores!$A:$A,0))&lt;&gt;"Activo","REVISAR: conductor no activo",IF(COUNTIFS($A:$A,A271,$C:$C,C271)&gt;1,"REVISAR: conductor asignado dos veces",IF(COUNTIFS($A:$A,A271,$D:$D,D271)&gt;1,"REVISAR: vehículo asignado dos veces","OK"))))))))</f>
        <v/>
      </c>
      <c r="H271" s="9"/>
      <c r="I271" s="9"/>
      <c r="J271" s="14" t="str">
        <f aca="false">IF(OR(H271="",H271=0),"",I271/H271)</f>
        <v/>
      </c>
      <c r="K271" s="9"/>
      <c r="L271" s="9"/>
      <c r="M271" s="24"/>
      <c r="N271" s="9"/>
      <c r="O271" s="9" t="str">
        <f aca="false">IF(AND(OR(K271="En riesgo",K271="Atrasada"),L271=""),"Falta código de motivo",IF(AND(L271="OTR",N271=""),"Explica OTR en las notas",IF(AND(K271="Finalizada",I271&lt;H271,L271=""),"Falta código de motivo","")))</f>
        <v/>
      </c>
      <c r="P271" s="9" t="str">
        <f aca="false">IF(OR(D271="",A271=""),"",IF(COUNTIFS(Revision_previa!$B:$B,D271,Revision_previa!$A:$A,"&gt;="&amp;A271,Revision_previa!$A:$A,"&lt;"&amp;(A271+1))=0,"Sin revisión",IF(COUNTIFS(Revision_previa!$B:$B,D271,Revision_previa!$A:$A,"&gt;="&amp;A271,Revision_previa!$A:$A,"&lt;"&amp;(A271+1),Revision_previa!$D:$D,"Falla")+COUNTIFS(Revision_previa!$B:$B,D271,Revision_previa!$A:$A,"&gt;="&amp;A271,Revision_previa!$A:$A,"&lt;"&amp;(A271+1),Revision_previa!$E:$E,"Falla")+COUNTIFS(Revision_previa!$B:$B,D271,Revision_previa!$A:$A,"&gt;="&amp;A271,Revision_previa!$A:$A,"&lt;"&amp;(A271+1),Revision_previa!$F:$F,"Falla")+COUNTIFS(Revision_previa!$B:$B,D271,Revision_previa!$A:$A,"&gt;="&amp;A271,Revision_previa!$A:$A,"&lt;"&amp;(A271+1),Revision_previa!$H:$H,"Encendido")&gt;0,"No apto","Apto")))</f>
        <v/>
      </c>
    </row>
    <row r="272" customFormat="false" ht="15" hidden="false" customHeight="false" outlineLevel="0" collapsed="false">
      <c r="A272" s="23"/>
      <c r="B272" s="9"/>
      <c r="C272" s="9"/>
      <c r="D272" s="9"/>
      <c r="E272" s="9" t="str">
        <f aca="false">IF(C272="","",IFERROR(INDEX(Conductores!$B:$B,MATCH(C272,Conductores!$A:$A,0)),"ID no encontrado"))</f>
        <v/>
      </c>
      <c r="F272" s="9" t="str">
        <f aca="false">IF(B272="","",IFERROR(INDEX(Rutas!$B:$B,MATCH(B272,Rutas!$A:$A,0)),"ID no encontrado"))</f>
        <v/>
      </c>
      <c r="G272" s="9" t="str">
        <f aca="false">IF(OR(B272="",C272="",D272=""),"",IF(OR(ISNA(MATCH(B272,Rutas!$A:$A,0)),ISNA(MATCH(C272,Conductores!$A:$A,0)),ISNA(MATCH(D272,Vehículos!$A:$A,0))),"REVISAR: ID no encontrado",IF(INDEX(Rutas!$C:$C,MATCH(B272,Rutas!$A:$A,0))&lt;&gt;INDEX(Vehículos!$B:$B,MATCH(D272,Vehículos!$A:$A,0)),"REVISAR: el vehículo no corresponde a la ruta",IF(INDEX(Rutas!$C:$C,MATCH(B272,Rutas!$A:$A,0))&lt;&gt;INDEX(Conductores!$D:$D,MATCH(C272,Conductores!$A:$A,0)),"REVISAR: el conductor no corresponde a la ruta",IF(OR(INDEX(Vehículos!$E:$E,MATCH(D272,Vehículos!$A:$A,0))="Taller",INDEX(Vehículos!$E:$E,MATCH(D272,Vehículos!$A:$A,0))="Fuera de servicio"),"REVISAR: vehículo no disponible",IF(INDEX(Conductores!$G:$G,MATCH(C272,Conductores!$A:$A,0))&lt;&gt;"Activo","REVISAR: conductor no activo",IF(COUNTIFS($A:$A,A272,$C:$C,C272)&gt;1,"REVISAR: conductor asignado dos veces",IF(COUNTIFS($A:$A,A272,$D:$D,D272)&gt;1,"REVISAR: vehículo asignado dos veces","OK"))))))))</f>
        <v/>
      </c>
      <c r="H272" s="9"/>
      <c r="I272" s="9"/>
      <c r="J272" s="14" t="str">
        <f aca="false">IF(OR(H272="",H272=0),"",I272/H272)</f>
        <v/>
      </c>
      <c r="K272" s="9"/>
      <c r="L272" s="9"/>
      <c r="M272" s="24"/>
      <c r="N272" s="9"/>
      <c r="O272" s="9" t="str">
        <f aca="false">IF(AND(OR(K272="En riesgo",K272="Atrasada"),L272=""),"Falta código de motivo",IF(AND(L272="OTR",N272=""),"Explica OTR en las notas",IF(AND(K272="Finalizada",I272&lt;H272,L272=""),"Falta código de motivo","")))</f>
        <v/>
      </c>
      <c r="P272" s="9" t="str">
        <f aca="false">IF(OR(D272="",A272=""),"",IF(COUNTIFS(Revision_previa!$B:$B,D272,Revision_previa!$A:$A,"&gt;="&amp;A272,Revision_previa!$A:$A,"&lt;"&amp;(A272+1))=0,"Sin revisión",IF(COUNTIFS(Revision_previa!$B:$B,D272,Revision_previa!$A:$A,"&gt;="&amp;A272,Revision_previa!$A:$A,"&lt;"&amp;(A272+1),Revision_previa!$D:$D,"Falla")+COUNTIFS(Revision_previa!$B:$B,D272,Revision_previa!$A:$A,"&gt;="&amp;A272,Revision_previa!$A:$A,"&lt;"&amp;(A272+1),Revision_previa!$E:$E,"Falla")+COUNTIFS(Revision_previa!$B:$B,D272,Revision_previa!$A:$A,"&gt;="&amp;A272,Revision_previa!$A:$A,"&lt;"&amp;(A272+1),Revision_previa!$F:$F,"Falla")+COUNTIFS(Revision_previa!$B:$B,D272,Revision_previa!$A:$A,"&gt;="&amp;A272,Revision_previa!$A:$A,"&lt;"&amp;(A272+1),Revision_previa!$H:$H,"Encendido")&gt;0,"No apto","Apto")))</f>
        <v/>
      </c>
    </row>
    <row r="273" customFormat="false" ht="15" hidden="false" customHeight="false" outlineLevel="0" collapsed="false">
      <c r="A273" s="23"/>
      <c r="B273" s="9"/>
      <c r="C273" s="9"/>
      <c r="D273" s="9"/>
      <c r="E273" s="9" t="str">
        <f aca="false">IF(C273="","",IFERROR(INDEX(Conductores!$B:$B,MATCH(C273,Conductores!$A:$A,0)),"ID no encontrado"))</f>
        <v/>
      </c>
      <c r="F273" s="9" t="str">
        <f aca="false">IF(B273="","",IFERROR(INDEX(Rutas!$B:$B,MATCH(B273,Rutas!$A:$A,0)),"ID no encontrado"))</f>
        <v/>
      </c>
      <c r="G273" s="9" t="str">
        <f aca="false">IF(OR(B273="",C273="",D273=""),"",IF(OR(ISNA(MATCH(B273,Rutas!$A:$A,0)),ISNA(MATCH(C273,Conductores!$A:$A,0)),ISNA(MATCH(D273,Vehículos!$A:$A,0))),"REVISAR: ID no encontrado",IF(INDEX(Rutas!$C:$C,MATCH(B273,Rutas!$A:$A,0))&lt;&gt;INDEX(Vehículos!$B:$B,MATCH(D273,Vehículos!$A:$A,0)),"REVISAR: el vehículo no corresponde a la ruta",IF(INDEX(Rutas!$C:$C,MATCH(B273,Rutas!$A:$A,0))&lt;&gt;INDEX(Conductores!$D:$D,MATCH(C273,Conductores!$A:$A,0)),"REVISAR: el conductor no corresponde a la ruta",IF(OR(INDEX(Vehículos!$E:$E,MATCH(D273,Vehículos!$A:$A,0))="Taller",INDEX(Vehículos!$E:$E,MATCH(D273,Vehículos!$A:$A,0))="Fuera de servicio"),"REVISAR: vehículo no disponible",IF(INDEX(Conductores!$G:$G,MATCH(C273,Conductores!$A:$A,0))&lt;&gt;"Activo","REVISAR: conductor no activo",IF(COUNTIFS($A:$A,A273,$C:$C,C273)&gt;1,"REVISAR: conductor asignado dos veces",IF(COUNTIFS($A:$A,A273,$D:$D,D273)&gt;1,"REVISAR: vehículo asignado dos veces","OK"))))))))</f>
        <v/>
      </c>
      <c r="H273" s="9"/>
      <c r="I273" s="9"/>
      <c r="J273" s="14" t="str">
        <f aca="false">IF(OR(H273="",H273=0),"",I273/H273)</f>
        <v/>
      </c>
      <c r="K273" s="9"/>
      <c r="L273" s="9"/>
      <c r="M273" s="24"/>
      <c r="N273" s="9"/>
      <c r="O273" s="9" t="str">
        <f aca="false">IF(AND(OR(K273="En riesgo",K273="Atrasada"),L273=""),"Falta código de motivo",IF(AND(L273="OTR",N273=""),"Explica OTR en las notas",IF(AND(K273="Finalizada",I273&lt;H273,L273=""),"Falta código de motivo","")))</f>
        <v/>
      </c>
      <c r="P273" s="9" t="str">
        <f aca="false">IF(OR(D273="",A273=""),"",IF(COUNTIFS(Revision_previa!$B:$B,D273,Revision_previa!$A:$A,"&gt;="&amp;A273,Revision_previa!$A:$A,"&lt;"&amp;(A273+1))=0,"Sin revisión",IF(COUNTIFS(Revision_previa!$B:$B,D273,Revision_previa!$A:$A,"&gt;="&amp;A273,Revision_previa!$A:$A,"&lt;"&amp;(A273+1),Revision_previa!$D:$D,"Falla")+COUNTIFS(Revision_previa!$B:$B,D273,Revision_previa!$A:$A,"&gt;="&amp;A273,Revision_previa!$A:$A,"&lt;"&amp;(A273+1),Revision_previa!$E:$E,"Falla")+COUNTIFS(Revision_previa!$B:$B,D273,Revision_previa!$A:$A,"&gt;="&amp;A273,Revision_previa!$A:$A,"&lt;"&amp;(A273+1),Revision_previa!$F:$F,"Falla")+COUNTIFS(Revision_previa!$B:$B,D273,Revision_previa!$A:$A,"&gt;="&amp;A273,Revision_previa!$A:$A,"&lt;"&amp;(A273+1),Revision_previa!$H:$H,"Encendido")&gt;0,"No apto","Apto")))</f>
        <v/>
      </c>
    </row>
    <row r="274" customFormat="false" ht="15" hidden="false" customHeight="false" outlineLevel="0" collapsed="false">
      <c r="A274" s="23"/>
      <c r="B274" s="9"/>
      <c r="C274" s="9"/>
      <c r="D274" s="9"/>
      <c r="E274" s="9" t="str">
        <f aca="false">IF(C274="","",IFERROR(INDEX(Conductores!$B:$B,MATCH(C274,Conductores!$A:$A,0)),"ID no encontrado"))</f>
        <v/>
      </c>
      <c r="F274" s="9" t="str">
        <f aca="false">IF(B274="","",IFERROR(INDEX(Rutas!$B:$B,MATCH(B274,Rutas!$A:$A,0)),"ID no encontrado"))</f>
        <v/>
      </c>
      <c r="G274" s="9" t="str">
        <f aca="false">IF(OR(B274="",C274="",D274=""),"",IF(OR(ISNA(MATCH(B274,Rutas!$A:$A,0)),ISNA(MATCH(C274,Conductores!$A:$A,0)),ISNA(MATCH(D274,Vehículos!$A:$A,0))),"REVISAR: ID no encontrado",IF(INDEX(Rutas!$C:$C,MATCH(B274,Rutas!$A:$A,0))&lt;&gt;INDEX(Vehículos!$B:$B,MATCH(D274,Vehículos!$A:$A,0)),"REVISAR: el vehículo no corresponde a la ruta",IF(INDEX(Rutas!$C:$C,MATCH(B274,Rutas!$A:$A,0))&lt;&gt;INDEX(Conductores!$D:$D,MATCH(C274,Conductores!$A:$A,0)),"REVISAR: el conductor no corresponde a la ruta",IF(OR(INDEX(Vehículos!$E:$E,MATCH(D274,Vehículos!$A:$A,0))="Taller",INDEX(Vehículos!$E:$E,MATCH(D274,Vehículos!$A:$A,0))="Fuera de servicio"),"REVISAR: vehículo no disponible",IF(INDEX(Conductores!$G:$G,MATCH(C274,Conductores!$A:$A,0))&lt;&gt;"Activo","REVISAR: conductor no activo",IF(COUNTIFS($A:$A,A274,$C:$C,C274)&gt;1,"REVISAR: conductor asignado dos veces",IF(COUNTIFS($A:$A,A274,$D:$D,D274)&gt;1,"REVISAR: vehículo asignado dos veces","OK"))))))))</f>
        <v/>
      </c>
      <c r="H274" s="9"/>
      <c r="I274" s="9"/>
      <c r="J274" s="14" t="str">
        <f aca="false">IF(OR(H274="",H274=0),"",I274/H274)</f>
        <v/>
      </c>
      <c r="K274" s="9"/>
      <c r="L274" s="9"/>
      <c r="M274" s="24"/>
      <c r="N274" s="9"/>
      <c r="O274" s="9" t="str">
        <f aca="false">IF(AND(OR(K274="En riesgo",K274="Atrasada"),L274=""),"Falta código de motivo",IF(AND(L274="OTR",N274=""),"Explica OTR en las notas",IF(AND(K274="Finalizada",I274&lt;H274,L274=""),"Falta código de motivo","")))</f>
        <v/>
      </c>
      <c r="P274" s="9" t="str">
        <f aca="false">IF(OR(D274="",A274=""),"",IF(COUNTIFS(Revision_previa!$B:$B,D274,Revision_previa!$A:$A,"&gt;="&amp;A274,Revision_previa!$A:$A,"&lt;"&amp;(A274+1))=0,"Sin revisión",IF(COUNTIFS(Revision_previa!$B:$B,D274,Revision_previa!$A:$A,"&gt;="&amp;A274,Revision_previa!$A:$A,"&lt;"&amp;(A274+1),Revision_previa!$D:$D,"Falla")+COUNTIFS(Revision_previa!$B:$B,D274,Revision_previa!$A:$A,"&gt;="&amp;A274,Revision_previa!$A:$A,"&lt;"&amp;(A274+1),Revision_previa!$E:$E,"Falla")+COUNTIFS(Revision_previa!$B:$B,D274,Revision_previa!$A:$A,"&gt;="&amp;A274,Revision_previa!$A:$A,"&lt;"&amp;(A274+1),Revision_previa!$F:$F,"Falla")+COUNTIFS(Revision_previa!$B:$B,D274,Revision_previa!$A:$A,"&gt;="&amp;A274,Revision_previa!$A:$A,"&lt;"&amp;(A274+1),Revision_previa!$H:$H,"Encendido")&gt;0,"No apto","Apto")))</f>
        <v/>
      </c>
    </row>
    <row r="275" customFormat="false" ht="15" hidden="false" customHeight="false" outlineLevel="0" collapsed="false">
      <c r="A275" s="23"/>
      <c r="B275" s="9"/>
      <c r="C275" s="9"/>
      <c r="D275" s="9"/>
      <c r="E275" s="9" t="str">
        <f aca="false">IF(C275="","",IFERROR(INDEX(Conductores!$B:$B,MATCH(C275,Conductores!$A:$A,0)),"ID no encontrado"))</f>
        <v/>
      </c>
      <c r="F275" s="9" t="str">
        <f aca="false">IF(B275="","",IFERROR(INDEX(Rutas!$B:$B,MATCH(B275,Rutas!$A:$A,0)),"ID no encontrado"))</f>
        <v/>
      </c>
      <c r="G275" s="9" t="str">
        <f aca="false">IF(OR(B275="",C275="",D275=""),"",IF(OR(ISNA(MATCH(B275,Rutas!$A:$A,0)),ISNA(MATCH(C275,Conductores!$A:$A,0)),ISNA(MATCH(D275,Vehículos!$A:$A,0))),"REVISAR: ID no encontrado",IF(INDEX(Rutas!$C:$C,MATCH(B275,Rutas!$A:$A,0))&lt;&gt;INDEX(Vehículos!$B:$B,MATCH(D275,Vehículos!$A:$A,0)),"REVISAR: el vehículo no corresponde a la ruta",IF(INDEX(Rutas!$C:$C,MATCH(B275,Rutas!$A:$A,0))&lt;&gt;INDEX(Conductores!$D:$D,MATCH(C275,Conductores!$A:$A,0)),"REVISAR: el conductor no corresponde a la ruta",IF(OR(INDEX(Vehículos!$E:$E,MATCH(D275,Vehículos!$A:$A,0))="Taller",INDEX(Vehículos!$E:$E,MATCH(D275,Vehículos!$A:$A,0))="Fuera de servicio"),"REVISAR: vehículo no disponible",IF(INDEX(Conductores!$G:$G,MATCH(C275,Conductores!$A:$A,0))&lt;&gt;"Activo","REVISAR: conductor no activo",IF(COUNTIFS($A:$A,A275,$C:$C,C275)&gt;1,"REVISAR: conductor asignado dos veces",IF(COUNTIFS($A:$A,A275,$D:$D,D275)&gt;1,"REVISAR: vehículo asignado dos veces","OK"))))))))</f>
        <v/>
      </c>
      <c r="H275" s="9"/>
      <c r="I275" s="9"/>
      <c r="J275" s="14" t="str">
        <f aca="false">IF(OR(H275="",H275=0),"",I275/H275)</f>
        <v/>
      </c>
      <c r="K275" s="9"/>
      <c r="L275" s="9"/>
      <c r="M275" s="24"/>
      <c r="N275" s="9"/>
      <c r="O275" s="9" t="str">
        <f aca="false">IF(AND(OR(K275="En riesgo",K275="Atrasada"),L275=""),"Falta código de motivo",IF(AND(L275="OTR",N275=""),"Explica OTR en las notas",IF(AND(K275="Finalizada",I275&lt;H275,L275=""),"Falta código de motivo","")))</f>
        <v/>
      </c>
      <c r="P275" s="9" t="str">
        <f aca="false">IF(OR(D275="",A275=""),"",IF(COUNTIFS(Revision_previa!$B:$B,D275,Revision_previa!$A:$A,"&gt;="&amp;A275,Revision_previa!$A:$A,"&lt;"&amp;(A275+1))=0,"Sin revisión",IF(COUNTIFS(Revision_previa!$B:$B,D275,Revision_previa!$A:$A,"&gt;="&amp;A275,Revision_previa!$A:$A,"&lt;"&amp;(A275+1),Revision_previa!$D:$D,"Falla")+COUNTIFS(Revision_previa!$B:$B,D275,Revision_previa!$A:$A,"&gt;="&amp;A275,Revision_previa!$A:$A,"&lt;"&amp;(A275+1),Revision_previa!$E:$E,"Falla")+COUNTIFS(Revision_previa!$B:$B,D275,Revision_previa!$A:$A,"&gt;="&amp;A275,Revision_previa!$A:$A,"&lt;"&amp;(A275+1),Revision_previa!$F:$F,"Falla")+COUNTIFS(Revision_previa!$B:$B,D275,Revision_previa!$A:$A,"&gt;="&amp;A275,Revision_previa!$A:$A,"&lt;"&amp;(A275+1),Revision_previa!$H:$H,"Encendido")&gt;0,"No apto","Apto")))</f>
        <v/>
      </c>
    </row>
    <row r="276" customFormat="false" ht="15" hidden="false" customHeight="false" outlineLevel="0" collapsed="false">
      <c r="A276" s="23"/>
      <c r="B276" s="9"/>
      <c r="C276" s="9"/>
      <c r="D276" s="9"/>
      <c r="E276" s="9" t="str">
        <f aca="false">IF(C276="","",IFERROR(INDEX(Conductores!$B:$B,MATCH(C276,Conductores!$A:$A,0)),"ID no encontrado"))</f>
        <v/>
      </c>
      <c r="F276" s="9" t="str">
        <f aca="false">IF(B276="","",IFERROR(INDEX(Rutas!$B:$B,MATCH(B276,Rutas!$A:$A,0)),"ID no encontrado"))</f>
        <v/>
      </c>
      <c r="G276" s="9" t="str">
        <f aca="false">IF(OR(B276="",C276="",D276=""),"",IF(OR(ISNA(MATCH(B276,Rutas!$A:$A,0)),ISNA(MATCH(C276,Conductores!$A:$A,0)),ISNA(MATCH(D276,Vehículos!$A:$A,0))),"REVISAR: ID no encontrado",IF(INDEX(Rutas!$C:$C,MATCH(B276,Rutas!$A:$A,0))&lt;&gt;INDEX(Vehículos!$B:$B,MATCH(D276,Vehículos!$A:$A,0)),"REVISAR: el vehículo no corresponde a la ruta",IF(INDEX(Rutas!$C:$C,MATCH(B276,Rutas!$A:$A,0))&lt;&gt;INDEX(Conductores!$D:$D,MATCH(C276,Conductores!$A:$A,0)),"REVISAR: el conductor no corresponde a la ruta",IF(OR(INDEX(Vehículos!$E:$E,MATCH(D276,Vehículos!$A:$A,0))="Taller",INDEX(Vehículos!$E:$E,MATCH(D276,Vehículos!$A:$A,0))="Fuera de servicio"),"REVISAR: vehículo no disponible",IF(INDEX(Conductores!$G:$G,MATCH(C276,Conductores!$A:$A,0))&lt;&gt;"Activo","REVISAR: conductor no activo",IF(COUNTIFS($A:$A,A276,$C:$C,C276)&gt;1,"REVISAR: conductor asignado dos veces",IF(COUNTIFS($A:$A,A276,$D:$D,D276)&gt;1,"REVISAR: vehículo asignado dos veces","OK"))))))))</f>
        <v/>
      </c>
      <c r="H276" s="9"/>
      <c r="I276" s="9"/>
      <c r="J276" s="14" t="str">
        <f aca="false">IF(OR(H276="",H276=0),"",I276/H276)</f>
        <v/>
      </c>
      <c r="K276" s="9"/>
      <c r="L276" s="9"/>
      <c r="M276" s="24"/>
      <c r="N276" s="9"/>
      <c r="O276" s="9" t="str">
        <f aca="false">IF(AND(OR(K276="En riesgo",K276="Atrasada"),L276=""),"Falta código de motivo",IF(AND(L276="OTR",N276=""),"Explica OTR en las notas",IF(AND(K276="Finalizada",I276&lt;H276,L276=""),"Falta código de motivo","")))</f>
        <v/>
      </c>
      <c r="P276" s="9" t="str">
        <f aca="false">IF(OR(D276="",A276=""),"",IF(COUNTIFS(Revision_previa!$B:$B,D276,Revision_previa!$A:$A,"&gt;="&amp;A276,Revision_previa!$A:$A,"&lt;"&amp;(A276+1))=0,"Sin revisión",IF(COUNTIFS(Revision_previa!$B:$B,D276,Revision_previa!$A:$A,"&gt;="&amp;A276,Revision_previa!$A:$A,"&lt;"&amp;(A276+1),Revision_previa!$D:$D,"Falla")+COUNTIFS(Revision_previa!$B:$B,D276,Revision_previa!$A:$A,"&gt;="&amp;A276,Revision_previa!$A:$A,"&lt;"&amp;(A276+1),Revision_previa!$E:$E,"Falla")+COUNTIFS(Revision_previa!$B:$B,D276,Revision_previa!$A:$A,"&gt;="&amp;A276,Revision_previa!$A:$A,"&lt;"&amp;(A276+1),Revision_previa!$F:$F,"Falla")+COUNTIFS(Revision_previa!$B:$B,D276,Revision_previa!$A:$A,"&gt;="&amp;A276,Revision_previa!$A:$A,"&lt;"&amp;(A276+1),Revision_previa!$H:$H,"Encendido")&gt;0,"No apto","Apto")))</f>
        <v/>
      </c>
    </row>
    <row r="277" customFormat="false" ht="15" hidden="false" customHeight="false" outlineLevel="0" collapsed="false">
      <c r="A277" s="23"/>
      <c r="B277" s="9"/>
      <c r="C277" s="9"/>
      <c r="D277" s="9"/>
      <c r="E277" s="9" t="str">
        <f aca="false">IF(C277="","",IFERROR(INDEX(Conductores!$B:$B,MATCH(C277,Conductores!$A:$A,0)),"ID no encontrado"))</f>
        <v/>
      </c>
      <c r="F277" s="9" t="str">
        <f aca="false">IF(B277="","",IFERROR(INDEX(Rutas!$B:$B,MATCH(B277,Rutas!$A:$A,0)),"ID no encontrado"))</f>
        <v/>
      </c>
      <c r="G277" s="9" t="str">
        <f aca="false">IF(OR(B277="",C277="",D277=""),"",IF(OR(ISNA(MATCH(B277,Rutas!$A:$A,0)),ISNA(MATCH(C277,Conductores!$A:$A,0)),ISNA(MATCH(D277,Vehículos!$A:$A,0))),"REVISAR: ID no encontrado",IF(INDEX(Rutas!$C:$C,MATCH(B277,Rutas!$A:$A,0))&lt;&gt;INDEX(Vehículos!$B:$B,MATCH(D277,Vehículos!$A:$A,0)),"REVISAR: el vehículo no corresponde a la ruta",IF(INDEX(Rutas!$C:$C,MATCH(B277,Rutas!$A:$A,0))&lt;&gt;INDEX(Conductores!$D:$D,MATCH(C277,Conductores!$A:$A,0)),"REVISAR: el conductor no corresponde a la ruta",IF(OR(INDEX(Vehículos!$E:$E,MATCH(D277,Vehículos!$A:$A,0))="Taller",INDEX(Vehículos!$E:$E,MATCH(D277,Vehículos!$A:$A,0))="Fuera de servicio"),"REVISAR: vehículo no disponible",IF(INDEX(Conductores!$G:$G,MATCH(C277,Conductores!$A:$A,0))&lt;&gt;"Activo","REVISAR: conductor no activo",IF(COUNTIFS($A:$A,A277,$C:$C,C277)&gt;1,"REVISAR: conductor asignado dos veces",IF(COUNTIFS($A:$A,A277,$D:$D,D277)&gt;1,"REVISAR: vehículo asignado dos veces","OK"))))))))</f>
        <v/>
      </c>
      <c r="H277" s="9"/>
      <c r="I277" s="9"/>
      <c r="J277" s="14" t="str">
        <f aca="false">IF(OR(H277="",H277=0),"",I277/H277)</f>
        <v/>
      </c>
      <c r="K277" s="9"/>
      <c r="L277" s="9"/>
      <c r="M277" s="24"/>
      <c r="N277" s="9"/>
      <c r="O277" s="9" t="str">
        <f aca="false">IF(AND(OR(K277="En riesgo",K277="Atrasada"),L277=""),"Falta código de motivo",IF(AND(L277="OTR",N277=""),"Explica OTR en las notas",IF(AND(K277="Finalizada",I277&lt;H277,L277=""),"Falta código de motivo","")))</f>
        <v/>
      </c>
      <c r="P277" s="9" t="str">
        <f aca="false">IF(OR(D277="",A277=""),"",IF(COUNTIFS(Revision_previa!$B:$B,D277,Revision_previa!$A:$A,"&gt;="&amp;A277,Revision_previa!$A:$A,"&lt;"&amp;(A277+1))=0,"Sin revisión",IF(COUNTIFS(Revision_previa!$B:$B,D277,Revision_previa!$A:$A,"&gt;="&amp;A277,Revision_previa!$A:$A,"&lt;"&amp;(A277+1),Revision_previa!$D:$D,"Falla")+COUNTIFS(Revision_previa!$B:$B,D277,Revision_previa!$A:$A,"&gt;="&amp;A277,Revision_previa!$A:$A,"&lt;"&amp;(A277+1),Revision_previa!$E:$E,"Falla")+COUNTIFS(Revision_previa!$B:$B,D277,Revision_previa!$A:$A,"&gt;="&amp;A277,Revision_previa!$A:$A,"&lt;"&amp;(A277+1),Revision_previa!$F:$F,"Falla")+COUNTIFS(Revision_previa!$B:$B,D277,Revision_previa!$A:$A,"&gt;="&amp;A277,Revision_previa!$A:$A,"&lt;"&amp;(A277+1),Revision_previa!$H:$H,"Encendido")&gt;0,"No apto","Apto")))</f>
        <v/>
      </c>
    </row>
    <row r="278" customFormat="false" ht="15" hidden="false" customHeight="false" outlineLevel="0" collapsed="false">
      <c r="A278" s="23"/>
      <c r="B278" s="9"/>
      <c r="C278" s="9"/>
      <c r="D278" s="9"/>
      <c r="E278" s="9" t="str">
        <f aca="false">IF(C278="","",IFERROR(INDEX(Conductores!$B:$B,MATCH(C278,Conductores!$A:$A,0)),"ID no encontrado"))</f>
        <v/>
      </c>
      <c r="F278" s="9" t="str">
        <f aca="false">IF(B278="","",IFERROR(INDEX(Rutas!$B:$B,MATCH(B278,Rutas!$A:$A,0)),"ID no encontrado"))</f>
        <v/>
      </c>
      <c r="G278" s="9" t="str">
        <f aca="false">IF(OR(B278="",C278="",D278=""),"",IF(OR(ISNA(MATCH(B278,Rutas!$A:$A,0)),ISNA(MATCH(C278,Conductores!$A:$A,0)),ISNA(MATCH(D278,Vehículos!$A:$A,0))),"REVISAR: ID no encontrado",IF(INDEX(Rutas!$C:$C,MATCH(B278,Rutas!$A:$A,0))&lt;&gt;INDEX(Vehículos!$B:$B,MATCH(D278,Vehículos!$A:$A,0)),"REVISAR: el vehículo no corresponde a la ruta",IF(INDEX(Rutas!$C:$C,MATCH(B278,Rutas!$A:$A,0))&lt;&gt;INDEX(Conductores!$D:$D,MATCH(C278,Conductores!$A:$A,0)),"REVISAR: el conductor no corresponde a la ruta",IF(OR(INDEX(Vehículos!$E:$E,MATCH(D278,Vehículos!$A:$A,0))="Taller",INDEX(Vehículos!$E:$E,MATCH(D278,Vehículos!$A:$A,0))="Fuera de servicio"),"REVISAR: vehículo no disponible",IF(INDEX(Conductores!$G:$G,MATCH(C278,Conductores!$A:$A,0))&lt;&gt;"Activo","REVISAR: conductor no activo",IF(COUNTIFS($A:$A,A278,$C:$C,C278)&gt;1,"REVISAR: conductor asignado dos veces",IF(COUNTIFS($A:$A,A278,$D:$D,D278)&gt;1,"REVISAR: vehículo asignado dos veces","OK"))))))))</f>
        <v/>
      </c>
      <c r="H278" s="9"/>
      <c r="I278" s="9"/>
      <c r="J278" s="14" t="str">
        <f aca="false">IF(OR(H278="",H278=0),"",I278/H278)</f>
        <v/>
      </c>
      <c r="K278" s="9"/>
      <c r="L278" s="9"/>
      <c r="M278" s="24"/>
      <c r="N278" s="9"/>
      <c r="O278" s="9" t="str">
        <f aca="false">IF(AND(OR(K278="En riesgo",K278="Atrasada"),L278=""),"Falta código de motivo",IF(AND(L278="OTR",N278=""),"Explica OTR en las notas",IF(AND(K278="Finalizada",I278&lt;H278,L278=""),"Falta código de motivo","")))</f>
        <v/>
      </c>
      <c r="P278" s="9" t="str">
        <f aca="false">IF(OR(D278="",A278=""),"",IF(COUNTIFS(Revision_previa!$B:$B,D278,Revision_previa!$A:$A,"&gt;="&amp;A278,Revision_previa!$A:$A,"&lt;"&amp;(A278+1))=0,"Sin revisión",IF(COUNTIFS(Revision_previa!$B:$B,D278,Revision_previa!$A:$A,"&gt;="&amp;A278,Revision_previa!$A:$A,"&lt;"&amp;(A278+1),Revision_previa!$D:$D,"Falla")+COUNTIFS(Revision_previa!$B:$B,D278,Revision_previa!$A:$A,"&gt;="&amp;A278,Revision_previa!$A:$A,"&lt;"&amp;(A278+1),Revision_previa!$E:$E,"Falla")+COUNTIFS(Revision_previa!$B:$B,D278,Revision_previa!$A:$A,"&gt;="&amp;A278,Revision_previa!$A:$A,"&lt;"&amp;(A278+1),Revision_previa!$F:$F,"Falla")+COUNTIFS(Revision_previa!$B:$B,D278,Revision_previa!$A:$A,"&gt;="&amp;A278,Revision_previa!$A:$A,"&lt;"&amp;(A278+1),Revision_previa!$H:$H,"Encendido")&gt;0,"No apto","Apto")))</f>
        <v/>
      </c>
    </row>
    <row r="279" customFormat="false" ht="15" hidden="false" customHeight="false" outlineLevel="0" collapsed="false">
      <c r="A279" s="23"/>
      <c r="B279" s="9"/>
      <c r="C279" s="9"/>
      <c r="D279" s="9"/>
      <c r="E279" s="9" t="str">
        <f aca="false">IF(C279="","",IFERROR(INDEX(Conductores!$B:$B,MATCH(C279,Conductores!$A:$A,0)),"ID no encontrado"))</f>
        <v/>
      </c>
      <c r="F279" s="9" t="str">
        <f aca="false">IF(B279="","",IFERROR(INDEX(Rutas!$B:$B,MATCH(B279,Rutas!$A:$A,0)),"ID no encontrado"))</f>
        <v/>
      </c>
      <c r="G279" s="9" t="str">
        <f aca="false">IF(OR(B279="",C279="",D279=""),"",IF(OR(ISNA(MATCH(B279,Rutas!$A:$A,0)),ISNA(MATCH(C279,Conductores!$A:$A,0)),ISNA(MATCH(D279,Vehículos!$A:$A,0))),"REVISAR: ID no encontrado",IF(INDEX(Rutas!$C:$C,MATCH(B279,Rutas!$A:$A,0))&lt;&gt;INDEX(Vehículos!$B:$B,MATCH(D279,Vehículos!$A:$A,0)),"REVISAR: el vehículo no corresponde a la ruta",IF(INDEX(Rutas!$C:$C,MATCH(B279,Rutas!$A:$A,0))&lt;&gt;INDEX(Conductores!$D:$D,MATCH(C279,Conductores!$A:$A,0)),"REVISAR: el conductor no corresponde a la ruta",IF(OR(INDEX(Vehículos!$E:$E,MATCH(D279,Vehículos!$A:$A,0))="Taller",INDEX(Vehículos!$E:$E,MATCH(D279,Vehículos!$A:$A,0))="Fuera de servicio"),"REVISAR: vehículo no disponible",IF(INDEX(Conductores!$G:$G,MATCH(C279,Conductores!$A:$A,0))&lt;&gt;"Activo","REVISAR: conductor no activo",IF(COUNTIFS($A:$A,A279,$C:$C,C279)&gt;1,"REVISAR: conductor asignado dos veces",IF(COUNTIFS($A:$A,A279,$D:$D,D279)&gt;1,"REVISAR: vehículo asignado dos veces","OK"))))))))</f>
        <v/>
      </c>
      <c r="H279" s="9"/>
      <c r="I279" s="9"/>
      <c r="J279" s="14" t="str">
        <f aca="false">IF(OR(H279="",H279=0),"",I279/H279)</f>
        <v/>
      </c>
      <c r="K279" s="9"/>
      <c r="L279" s="9"/>
      <c r="M279" s="24"/>
      <c r="N279" s="9"/>
      <c r="O279" s="9" t="str">
        <f aca="false">IF(AND(OR(K279="En riesgo",K279="Atrasada"),L279=""),"Falta código de motivo",IF(AND(L279="OTR",N279=""),"Explica OTR en las notas",IF(AND(K279="Finalizada",I279&lt;H279,L279=""),"Falta código de motivo","")))</f>
        <v/>
      </c>
      <c r="P279" s="9" t="str">
        <f aca="false">IF(OR(D279="",A279=""),"",IF(COUNTIFS(Revision_previa!$B:$B,D279,Revision_previa!$A:$A,"&gt;="&amp;A279,Revision_previa!$A:$A,"&lt;"&amp;(A279+1))=0,"Sin revisión",IF(COUNTIFS(Revision_previa!$B:$B,D279,Revision_previa!$A:$A,"&gt;="&amp;A279,Revision_previa!$A:$A,"&lt;"&amp;(A279+1),Revision_previa!$D:$D,"Falla")+COUNTIFS(Revision_previa!$B:$B,D279,Revision_previa!$A:$A,"&gt;="&amp;A279,Revision_previa!$A:$A,"&lt;"&amp;(A279+1),Revision_previa!$E:$E,"Falla")+COUNTIFS(Revision_previa!$B:$B,D279,Revision_previa!$A:$A,"&gt;="&amp;A279,Revision_previa!$A:$A,"&lt;"&amp;(A279+1),Revision_previa!$F:$F,"Falla")+COUNTIFS(Revision_previa!$B:$B,D279,Revision_previa!$A:$A,"&gt;="&amp;A279,Revision_previa!$A:$A,"&lt;"&amp;(A279+1),Revision_previa!$H:$H,"Encendido")&gt;0,"No apto","Apto")))</f>
        <v/>
      </c>
    </row>
    <row r="280" customFormat="false" ht="15" hidden="false" customHeight="false" outlineLevel="0" collapsed="false">
      <c r="A280" s="23"/>
      <c r="B280" s="9"/>
      <c r="C280" s="9"/>
      <c r="D280" s="9"/>
      <c r="E280" s="9" t="str">
        <f aca="false">IF(C280="","",IFERROR(INDEX(Conductores!$B:$B,MATCH(C280,Conductores!$A:$A,0)),"ID no encontrado"))</f>
        <v/>
      </c>
      <c r="F280" s="9" t="str">
        <f aca="false">IF(B280="","",IFERROR(INDEX(Rutas!$B:$B,MATCH(B280,Rutas!$A:$A,0)),"ID no encontrado"))</f>
        <v/>
      </c>
      <c r="G280" s="9" t="str">
        <f aca="false">IF(OR(B280="",C280="",D280=""),"",IF(OR(ISNA(MATCH(B280,Rutas!$A:$A,0)),ISNA(MATCH(C280,Conductores!$A:$A,0)),ISNA(MATCH(D280,Vehículos!$A:$A,0))),"REVISAR: ID no encontrado",IF(INDEX(Rutas!$C:$C,MATCH(B280,Rutas!$A:$A,0))&lt;&gt;INDEX(Vehículos!$B:$B,MATCH(D280,Vehículos!$A:$A,0)),"REVISAR: el vehículo no corresponde a la ruta",IF(INDEX(Rutas!$C:$C,MATCH(B280,Rutas!$A:$A,0))&lt;&gt;INDEX(Conductores!$D:$D,MATCH(C280,Conductores!$A:$A,0)),"REVISAR: el conductor no corresponde a la ruta",IF(OR(INDEX(Vehículos!$E:$E,MATCH(D280,Vehículos!$A:$A,0))="Taller",INDEX(Vehículos!$E:$E,MATCH(D280,Vehículos!$A:$A,0))="Fuera de servicio"),"REVISAR: vehículo no disponible",IF(INDEX(Conductores!$G:$G,MATCH(C280,Conductores!$A:$A,0))&lt;&gt;"Activo","REVISAR: conductor no activo",IF(COUNTIFS($A:$A,A280,$C:$C,C280)&gt;1,"REVISAR: conductor asignado dos veces",IF(COUNTIFS($A:$A,A280,$D:$D,D280)&gt;1,"REVISAR: vehículo asignado dos veces","OK"))))))))</f>
        <v/>
      </c>
      <c r="H280" s="9"/>
      <c r="I280" s="9"/>
      <c r="J280" s="14" t="str">
        <f aca="false">IF(OR(H280="",H280=0),"",I280/H280)</f>
        <v/>
      </c>
      <c r="K280" s="9"/>
      <c r="L280" s="9"/>
      <c r="M280" s="24"/>
      <c r="N280" s="9"/>
      <c r="O280" s="9" t="str">
        <f aca="false">IF(AND(OR(K280="En riesgo",K280="Atrasada"),L280=""),"Falta código de motivo",IF(AND(L280="OTR",N280=""),"Explica OTR en las notas",IF(AND(K280="Finalizada",I280&lt;H280,L280=""),"Falta código de motivo","")))</f>
        <v/>
      </c>
      <c r="P280" s="9" t="str">
        <f aca="false">IF(OR(D280="",A280=""),"",IF(COUNTIFS(Revision_previa!$B:$B,D280,Revision_previa!$A:$A,"&gt;="&amp;A280,Revision_previa!$A:$A,"&lt;"&amp;(A280+1))=0,"Sin revisión",IF(COUNTIFS(Revision_previa!$B:$B,D280,Revision_previa!$A:$A,"&gt;="&amp;A280,Revision_previa!$A:$A,"&lt;"&amp;(A280+1),Revision_previa!$D:$D,"Falla")+COUNTIFS(Revision_previa!$B:$B,D280,Revision_previa!$A:$A,"&gt;="&amp;A280,Revision_previa!$A:$A,"&lt;"&amp;(A280+1),Revision_previa!$E:$E,"Falla")+COUNTIFS(Revision_previa!$B:$B,D280,Revision_previa!$A:$A,"&gt;="&amp;A280,Revision_previa!$A:$A,"&lt;"&amp;(A280+1),Revision_previa!$F:$F,"Falla")+COUNTIFS(Revision_previa!$B:$B,D280,Revision_previa!$A:$A,"&gt;="&amp;A280,Revision_previa!$A:$A,"&lt;"&amp;(A280+1),Revision_previa!$H:$H,"Encendido")&gt;0,"No apto","Apto")))</f>
        <v/>
      </c>
    </row>
    <row r="281" customFormat="false" ht="15" hidden="false" customHeight="false" outlineLevel="0" collapsed="false">
      <c r="A281" s="23"/>
      <c r="B281" s="9"/>
      <c r="C281" s="9"/>
      <c r="D281" s="9"/>
      <c r="E281" s="9" t="str">
        <f aca="false">IF(C281="","",IFERROR(INDEX(Conductores!$B:$B,MATCH(C281,Conductores!$A:$A,0)),"ID no encontrado"))</f>
        <v/>
      </c>
      <c r="F281" s="9" t="str">
        <f aca="false">IF(B281="","",IFERROR(INDEX(Rutas!$B:$B,MATCH(B281,Rutas!$A:$A,0)),"ID no encontrado"))</f>
        <v/>
      </c>
      <c r="G281" s="9" t="str">
        <f aca="false">IF(OR(B281="",C281="",D281=""),"",IF(OR(ISNA(MATCH(B281,Rutas!$A:$A,0)),ISNA(MATCH(C281,Conductores!$A:$A,0)),ISNA(MATCH(D281,Vehículos!$A:$A,0))),"REVISAR: ID no encontrado",IF(INDEX(Rutas!$C:$C,MATCH(B281,Rutas!$A:$A,0))&lt;&gt;INDEX(Vehículos!$B:$B,MATCH(D281,Vehículos!$A:$A,0)),"REVISAR: el vehículo no corresponde a la ruta",IF(INDEX(Rutas!$C:$C,MATCH(B281,Rutas!$A:$A,0))&lt;&gt;INDEX(Conductores!$D:$D,MATCH(C281,Conductores!$A:$A,0)),"REVISAR: el conductor no corresponde a la ruta",IF(OR(INDEX(Vehículos!$E:$E,MATCH(D281,Vehículos!$A:$A,0))="Taller",INDEX(Vehículos!$E:$E,MATCH(D281,Vehículos!$A:$A,0))="Fuera de servicio"),"REVISAR: vehículo no disponible",IF(INDEX(Conductores!$G:$G,MATCH(C281,Conductores!$A:$A,0))&lt;&gt;"Activo","REVISAR: conductor no activo",IF(COUNTIFS($A:$A,A281,$C:$C,C281)&gt;1,"REVISAR: conductor asignado dos veces",IF(COUNTIFS($A:$A,A281,$D:$D,D281)&gt;1,"REVISAR: vehículo asignado dos veces","OK"))))))))</f>
        <v/>
      </c>
      <c r="H281" s="9"/>
      <c r="I281" s="9"/>
      <c r="J281" s="14" t="str">
        <f aca="false">IF(OR(H281="",H281=0),"",I281/H281)</f>
        <v/>
      </c>
      <c r="K281" s="9"/>
      <c r="L281" s="9"/>
      <c r="M281" s="24"/>
      <c r="N281" s="9"/>
      <c r="O281" s="9" t="str">
        <f aca="false">IF(AND(OR(K281="En riesgo",K281="Atrasada"),L281=""),"Falta código de motivo",IF(AND(L281="OTR",N281=""),"Explica OTR en las notas",IF(AND(K281="Finalizada",I281&lt;H281,L281=""),"Falta código de motivo","")))</f>
        <v/>
      </c>
      <c r="P281" s="9" t="str">
        <f aca="false">IF(OR(D281="",A281=""),"",IF(COUNTIFS(Revision_previa!$B:$B,D281,Revision_previa!$A:$A,"&gt;="&amp;A281,Revision_previa!$A:$A,"&lt;"&amp;(A281+1))=0,"Sin revisión",IF(COUNTIFS(Revision_previa!$B:$B,D281,Revision_previa!$A:$A,"&gt;="&amp;A281,Revision_previa!$A:$A,"&lt;"&amp;(A281+1),Revision_previa!$D:$D,"Falla")+COUNTIFS(Revision_previa!$B:$B,D281,Revision_previa!$A:$A,"&gt;="&amp;A281,Revision_previa!$A:$A,"&lt;"&amp;(A281+1),Revision_previa!$E:$E,"Falla")+COUNTIFS(Revision_previa!$B:$B,D281,Revision_previa!$A:$A,"&gt;="&amp;A281,Revision_previa!$A:$A,"&lt;"&amp;(A281+1),Revision_previa!$F:$F,"Falla")+COUNTIFS(Revision_previa!$B:$B,D281,Revision_previa!$A:$A,"&gt;="&amp;A281,Revision_previa!$A:$A,"&lt;"&amp;(A281+1),Revision_previa!$H:$H,"Encendido")&gt;0,"No apto","Apto")))</f>
        <v/>
      </c>
    </row>
    <row r="282" customFormat="false" ht="15" hidden="false" customHeight="false" outlineLevel="0" collapsed="false">
      <c r="A282" s="23"/>
      <c r="B282" s="9"/>
      <c r="C282" s="9"/>
      <c r="D282" s="9"/>
      <c r="E282" s="9" t="str">
        <f aca="false">IF(C282="","",IFERROR(INDEX(Conductores!$B:$B,MATCH(C282,Conductores!$A:$A,0)),"ID no encontrado"))</f>
        <v/>
      </c>
      <c r="F282" s="9" t="str">
        <f aca="false">IF(B282="","",IFERROR(INDEX(Rutas!$B:$B,MATCH(B282,Rutas!$A:$A,0)),"ID no encontrado"))</f>
        <v/>
      </c>
      <c r="G282" s="9" t="str">
        <f aca="false">IF(OR(B282="",C282="",D282=""),"",IF(OR(ISNA(MATCH(B282,Rutas!$A:$A,0)),ISNA(MATCH(C282,Conductores!$A:$A,0)),ISNA(MATCH(D282,Vehículos!$A:$A,0))),"REVISAR: ID no encontrado",IF(INDEX(Rutas!$C:$C,MATCH(B282,Rutas!$A:$A,0))&lt;&gt;INDEX(Vehículos!$B:$B,MATCH(D282,Vehículos!$A:$A,0)),"REVISAR: el vehículo no corresponde a la ruta",IF(INDEX(Rutas!$C:$C,MATCH(B282,Rutas!$A:$A,0))&lt;&gt;INDEX(Conductores!$D:$D,MATCH(C282,Conductores!$A:$A,0)),"REVISAR: el conductor no corresponde a la ruta",IF(OR(INDEX(Vehículos!$E:$E,MATCH(D282,Vehículos!$A:$A,0))="Taller",INDEX(Vehículos!$E:$E,MATCH(D282,Vehículos!$A:$A,0))="Fuera de servicio"),"REVISAR: vehículo no disponible",IF(INDEX(Conductores!$G:$G,MATCH(C282,Conductores!$A:$A,0))&lt;&gt;"Activo","REVISAR: conductor no activo",IF(COUNTIFS($A:$A,A282,$C:$C,C282)&gt;1,"REVISAR: conductor asignado dos veces",IF(COUNTIFS($A:$A,A282,$D:$D,D282)&gt;1,"REVISAR: vehículo asignado dos veces","OK"))))))))</f>
        <v/>
      </c>
      <c r="H282" s="9"/>
      <c r="I282" s="9"/>
      <c r="J282" s="14" t="str">
        <f aca="false">IF(OR(H282="",H282=0),"",I282/H282)</f>
        <v/>
      </c>
      <c r="K282" s="9"/>
      <c r="L282" s="9"/>
      <c r="M282" s="24"/>
      <c r="N282" s="9"/>
      <c r="O282" s="9" t="str">
        <f aca="false">IF(AND(OR(K282="En riesgo",K282="Atrasada"),L282=""),"Falta código de motivo",IF(AND(L282="OTR",N282=""),"Explica OTR en las notas",IF(AND(K282="Finalizada",I282&lt;H282,L282=""),"Falta código de motivo","")))</f>
        <v/>
      </c>
      <c r="P282" s="9" t="str">
        <f aca="false">IF(OR(D282="",A282=""),"",IF(COUNTIFS(Revision_previa!$B:$B,D282,Revision_previa!$A:$A,"&gt;="&amp;A282,Revision_previa!$A:$A,"&lt;"&amp;(A282+1))=0,"Sin revisión",IF(COUNTIFS(Revision_previa!$B:$B,D282,Revision_previa!$A:$A,"&gt;="&amp;A282,Revision_previa!$A:$A,"&lt;"&amp;(A282+1),Revision_previa!$D:$D,"Falla")+COUNTIFS(Revision_previa!$B:$B,D282,Revision_previa!$A:$A,"&gt;="&amp;A282,Revision_previa!$A:$A,"&lt;"&amp;(A282+1),Revision_previa!$E:$E,"Falla")+COUNTIFS(Revision_previa!$B:$B,D282,Revision_previa!$A:$A,"&gt;="&amp;A282,Revision_previa!$A:$A,"&lt;"&amp;(A282+1),Revision_previa!$F:$F,"Falla")+COUNTIFS(Revision_previa!$B:$B,D282,Revision_previa!$A:$A,"&gt;="&amp;A282,Revision_previa!$A:$A,"&lt;"&amp;(A282+1),Revision_previa!$H:$H,"Encendido")&gt;0,"No apto","Apto")))</f>
        <v/>
      </c>
    </row>
    <row r="283" customFormat="false" ht="15" hidden="false" customHeight="false" outlineLevel="0" collapsed="false">
      <c r="A283" s="23"/>
      <c r="B283" s="9"/>
      <c r="C283" s="9"/>
      <c r="D283" s="9"/>
      <c r="E283" s="9" t="str">
        <f aca="false">IF(C283="","",IFERROR(INDEX(Conductores!$B:$B,MATCH(C283,Conductores!$A:$A,0)),"ID no encontrado"))</f>
        <v/>
      </c>
      <c r="F283" s="9" t="str">
        <f aca="false">IF(B283="","",IFERROR(INDEX(Rutas!$B:$B,MATCH(B283,Rutas!$A:$A,0)),"ID no encontrado"))</f>
        <v/>
      </c>
      <c r="G283" s="9" t="str">
        <f aca="false">IF(OR(B283="",C283="",D283=""),"",IF(OR(ISNA(MATCH(B283,Rutas!$A:$A,0)),ISNA(MATCH(C283,Conductores!$A:$A,0)),ISNA(MATCH(D283,Vehículos!$A:$A,0))),"REVISAR: ID no encontrado",IF(INDEX(Rutas!$C:$C,MATCH(B283,Rutas!$A:$A,0))&lt;&gt;INDEX(Vehículos!$B:$B,MATCH(D283,Vehículos!$A:$A,0)),"REVISAR: el vehículo no corresponde a la ruta",IF(INDEX(Rutas!$C:$C,MATCH(B283,Rutas!$A:$A,0))&lt;&gt;INDEX(Conductores!$D:$D,MATCH(C283,Conductores!$A:$A,0)),"REVISAR: el conductor no corresponde a la ruta",IF(OR(INDEX(Vehículos!$E:$E,MATCH(D283,Vehículos!$A:$A,0))="Taller",INDEX(Vehículos!$E:$E,MATCH(D283,Vehículos!$A:$A,0))="Fuera de servicio"),"REVISAR: vehículo no disponible",IF(INDEX(Conductores!$G:$G,MATCH(C283,Conductores!$A:$A,0))&lt;&gt;"Activo","REVISAR: conductor no activo",IF(COUNTIFS($A:$A,A283,$C:$C,C283)&gt;1,"REVISAR: conductor asignado dos veces",IF(COUNTIFS($A:$A,A283,$D:$D,D283)&gt;1,"REVISAR: vehículo asignado dos veces","OK"))))))))</f>
        <v/>
      </c>
      <c r="H283" s="9"/>
      <c r="I283" s="9"/>
      <c r="J283" s="14" t="str">
        <f aca="false">IF(OR(H283="",H283=0),"",I283/H283)</f>
        <v/>
      </c>
      <c r="K283" s="9"/>
      <c r="L283" s="9"/>
      <c r="M283" s="24"/>
      <c r="N283" s="9"/>
      <c r="O283" s="9" t="str">
        <f aca="false">IF(AND(OR(K283="En riesgo",K283="Atrasada"),L283=""),"Falta código de motivo",IF(AND(L283="OTR",N283=""),"Explica OTR en las notas",IF(AND(K283="Finalizada",I283&lt;H283,L283=""),"Falta código de motivo","")))</f>
        <v/>
      </c>
      <c r="P283" s="9" t="str">
        <f aca="false">IF(OR(D283="",A283=""),"",IF(COUNTIFS(Revision_previa!$B:$B,D283,Revision_previa!$A:$A,"&gt;="&amp;A283,Revision_previa!$A:$A,"&lt;"&amp;(A283+1))=0,"Sin revisión",IF(COUNTIFS(Revision_previa!$B:$B,D283,Revision_previa!$A:$A,"&gt;="&amp;A283,Revision_previa!$A:$A,"&lt;"&amp;(A283+1),Revision_previa!$D:$D,"Falla")+COUNTIFS(Revision_previa!$B:$B,D283,Revision_previa!$A:$A,"&gt;="&amp;A283,Revision_previa!$A:$A,"&lt;"&amp;(A283+1),Revision_previa!$E:$E,"Falla")+COUNTIFS(Revision_previa!$B:$B,D283,Revision_previa!$A:$A,"&gt;="&amp;A283,Revision_previa!$A:$A,"&lt;"&amp;(A283+1),Revision_previa!$F:$F,"Falla")+COUNTIFS(Revision_previa!$B:$B,D283,Revision_previa!$A:$A,"&gt;="&amp;A283,Revision_previa!$A:$A,"&lt;"&amp;(A283+1),Revision_previa!$H:$H,"Encendido")&gt;0,"No apto","Apto")))</f>
        <v/>
      </c>
    </row>
    <row r="284" customFormat="false" ht="15" hidden="false" customHeight="false" outlineLevel="0" collapsed="false">
      <c r="A284" s="23"/>
      <c r="B284" s="9"/>
      <c r="C284" s="9"/>
      <c r="D284" s="9"/>
      <c r="E284" s="9" t="str">
        <f aca="false">IF(C284="","",IFERROR(INDEX(Conductores!$B:$B,MATCH(C284,Conductores!$A:$A,0)),"ID no encontrado"))</f>
        <v/>
      </c>
      <c r="F284" s="9" t="str">
        <f aca="false">IF(B284="","",IFERROR(INDEX(Rutas!$B:$B,MATCH(B284,Rutas!$A:$A,0)),"ID no encontrado"))</f>
        <v/>
      </c>
      <c r="G284" s="9" t="str">
        <f aca="false">IF(OR(B284="",C284="",D284=""),"",IF(OR(ISNA(MATCH(B284,Rutas!$A:$A,0)),ISNA(MATCH(C284,Conductores!$A:$A,0)),ISNA(MATCH(D284,Vehículos!$A:$A,0))),"REVISAR: ID no encontrado",IF(INDEX(Rutas!$C:$C,MATCH(B284,Rutas!$A:$A,0))&lt;&gt;INDEX(Vehículos!$B:$B,MATCH(D284,Vehículos!$A:$A,0)),"REVISAR: el vehículo no corresponde a la ruta",IF(INDEX(Rutas!$C:$C,MATCH(B284,Rutas!$A:$A,0))&lt;&gt;INDEX(Conductores!$D:$D,MATCH(C284,Conductores!$A:$A,0)),"REVISAR: el conductor no corresponde a la ruta",IF(OR(INDEX(Vehículos!$E:$E,MATCH(D284,Vehículos!$A:$A,0))="Taller",INDEX(Vehículos!$E:$E,MATCH(D284,Vehículos!$A:$A,0))="Fuera de servicio"),"REVISAR: vehículo no disponible",IF(INDEX(Conductores!$G:$G,MATCH(C284,Conductores!$A:$A,0))&lt;&gt;"Activo","REVISAR: conductor no activo",IF(COUNTIFS($A:$A,A284,$C:$C,C284)&gt;1,"REVISAR: conductor asignado dos veces",IF(COUNTIFS($A:$A,A284,$D:$D,D284)&gt;1,"REVISAR: vehículo asignado dos veces","OK"))))))))</f>
        <v/>
      </c>
      <c r="H284" s="9"/>
      <c r="I284" s="9"/>
      <c r="J284" s="14" t="str">
        <f aca="false">IF(OR(H284="",H284=0),"",I284/H284)</f>
        <v/>
      </c>
      <c r="K284" s="9"/>
      <c r="L284" s="9"/>
      <c r="M284" s="24"/>
      <c r="N284" s="9"/>
      <c r="O284" s="9" t="str">
        <f aca="false">IF(AND(OR(K284="En riesgo",K284="Atrasada"),L284=""),"Falta código de motivo",IF(AND(L284="OTR",N284=""),"Explica OTR en las notas",IF(AND(K284="Finalizada",I284&lt;H284,L284=""),"Falta código de motivo","")))</f>
        <v/>
      </c>
      <c r="P284" s="9" t="str">
        <f aca="false">IF(OR(D284="",A284=""),"",IF(COUNTIFS(Revision_previa!$B:$B,D284,Revision_previa!$A:$A,"&gt;="&amp;A284,Revision_previa!$A:$A,"&lt;"&amp;(A284+1))=0,"Sin revisión",IF(COUNTIFS(Revision_previa!$B:$B,D284,Revision_previa!$A:$A,"&gt;="&amp;A284,Revision_previa!$A:$A,"&lt;"&amp;(A284+1),Revision_previa!$D:$D,"Falla")+COUNTIFS(Revision_previa!$B:$B,D284,Revision_previa!$A:$A,"&gt;="&amp;A284,Revision_previa!$A:$A,"&lt;"&amp;(A284+1),Revision_previa!$E:$E,"Falla")+COUNTIFS(Revision_previa!$B:$B,D284,Revision_previa!$A:$A,"&gt;="&amp;A284,Revision_previa!$A:$A,"&lt;"&amp;(A284+1),Revision_previa!$F:$F,"Falla")+COUNTIFS(Revision_previa!$B:$B,D284,Revision_previa!$A:$A,"&gt;="&amp;A284,Revision_previa!$A:$A,"&lt;"&amp;(A284+1),Revision_previa!$H:$H,"Encendido")&gt;0,"No apto","Apto")))</f>
        <v/>
      </c>
    </row>
    <row r="285" customFormat="false" ht="15" hidden="false" customHeight="false" outlineLevel="0" collapsed="false">
      <c r="A285" s="23"/>
      <c r="B285" s="9"/>
      <c r="C285" s="9"/>
      <c r="D285" s="9"/>
      <c r="E285" s="9" t="str">
        <f aca="false">IF(C285="","",IFERROR(INDEX(Conductores!$B:$B,MATCH(C285,Conductores!$A:$A,0)),"ID no encontrado"))</f>
        <v/>
      </c>
      <c r="F285" s="9" t="str">
        <f aca="false">IF(B285="","",IFERROR(INDEX(Rutas!$B:$B,MATCH(B285,Rutas!$A:$A,0)),"ID no encontrado"))</f>
        <v/>
      </c>
      <c r="G285" s="9" t="str">
        <f aca="false">IF(OR(B285="",C285="",D285=""),"",IF(OR(ISNA(MATCH(B285,Rutas!$A:$A,0)),ISNA(MATCH(C285,Conductores!$A:$A,0)),ISNA(MATCH(D285,Vehículos!$A:$A,0))),"REVISAR: ID no encontrado",IF(INDEX(Rutas!$C:$C,MATCH(B285,Rutas!$A:$A,0))&lt;&gt;INDEX(Vehículos!$B:$B,MATCH(D285,Vehículos!$A:$A,0)),"REVISAR: el vehículo no corresponde a la ruta",IF(INDEX(Rutas!$C:$C,MATCH(B285,Rutas!$A:$A,0))&lt;&gt;INDEX(Conductores!$D:$D,MATCH(C285,Conductores!$A:$A,0)),"REVISAR: el conductor no corresponde a la ruta",IF(OR(INDEX(Vehículos!$E:$E,MATCH(D285,Vehículos!$A:$A,0))="Taller",INDEX(Vehículos!$E:$E,MATCH(D285,Vehículos!$A:$A,0))="Fuera de servicio"),"REVISAR: vehículo no disponible",IF(INDEX(Conductores!$G:$G,MATCH(C285,Conductores!$A:$A,0))&lt;&gt;"Activo","REVISAR: conductor no activo",IF(COUNTIFS($A:$A,A285,$C:$C,C285)&gt;1,"REVISAR: conductor asignado dos veces",IF(COUNTIFS($A:$A,A285,$D:$D,D285)&gt;1,"REVISAR: vehículo asignado dos veces","OK"))))))))</f>
        <v/>
      </c>
      <c r="H285" s="9"/>
      <c r="I285" s="9"/>
      <c r="J285" s="14" t="str">
        <f aca="false">IF(OR(H285="",H285=0),"",I285/H285)</f>
        <v/>
      </c>
      <c r="K285" s="9"/>
      <c r="L285" s="9"/>
      <c r="M285" s="24"/>
      <c r="N285" s="9"/>
      <c r="O285" s="9" t="str">
        <f aca="false">IF(AND(OR(K285="En riesgo",K285="Atrasada"),L285=""),"Falta código de motivo",IF(AND(L285="OTR",N285=""),"Explica OTR en las notas",IF(AND(K285="Finalizada",I285&lt;H285,L285=""),"Falta código de motivo","")))</f>
        <v/>
      </c>
      <c r="P285" s="9" t="str">
        <f aca="false">IF(OR(D285="",A285=""),"",IF(COUNTIFS(Revision_previa!$B:$B,D285,Revision_previa!$A:$A,"&gt;="&amp;A285,Revision_previa!$A:$A,"&lt;"&amp;(A285+1))=0,"Sin revisión",IF(COUNTIFS(Revision_previa!$B:$B,D285,Revision_previa!$A:$A,"&gt;="&amp;A285,Revision_previa!$A:$A,"&lt;"&amp;(A285+1),Revision_previa!$D:$D,"Falla")+COUNTIFS(Revision_previa!$B:$B,D285,Revision_previa!$A:$A,"&gt;="&amp;A285,Revision_previa!$A:$A,"&lt;"&amp;(A285+1),Revision_previa!$E:$E,"Falla")+COUNTIFS(Revision_previa!$B:$B,D285,Revision_previa!$A:$A,"&gt;="&amp;A285,Revision_previa!$A:$A,"&lt;"&amp;(A285+1),Revision_previa!$F:$F,"Falla")+COUNTIFS(Revision_previa!$B:$B,D285,Revision_previa!$A:$A,"&gt;="&amp;A285,Revision_previa!$A:$A,"&lt;"&amp;(A285+1),Revision_previa!$H:$H,"Encendido")&gt;0,"No apto","Apto")))</f>
        <v/>
      </c>
    </row>
    <row r="286" customFormat="false" ht="15" hidden="false" customHeight="false" outlineLevel="0" collapsed="false">
      <c r="A286" s="23"/>
      <c r="B286" s="9"/>
      <c r="C286" s="9"/>
      <c r="D286" s="9"/>
      <c r="E286" s="9" t="str">
        <f aca="false">IF(C286="","",IFERROR(INDEX(Conductores!$B:$B,MATCH(C286,Conductores!$A:$A,0)),"ID no encontrado"))</f>
        <v/>
      </c>
      <c r="F286" s="9" t="str">
        <f aca="false">IF(B286="","",IFERROR(INDEX(Rutas!$B:$B,MATCH(B286,Rutas!$A:$A,0)),"ID no encontrado"))</f>
        <v/>
      </c>
      <c r="G286" s="9" t="str">
        <f aca="false">IF(OR(B286="",C286="",D286=""),"",IF(OR(ISNA(MATCH(B286,Rutas!$A:$A,0)),ISNA(MATCH(C286,Conductores!$A:$A,0)),ISNA(MATCH(D286,Vehículos!$A:$A,0))),"REVISAR: ID no encontrado",IF(INDEX(Rutas!$C:$C,MATCH(B286,Rutas!$A:$A,0))&lt;&gt;INDEX(Vehículos!$B:$B,MATCH(D286,Vehículos!$A:$A,0)),"REVISAR: el vehículo no corresponde a la ruta",IF(INDEX(Rutas!$C:$C,MATCH(B286,Rutas!$A:$A,0))&lt;&gt;INDEX(Conductores!$D:$D,MATCH(C286,Conductores!$A:$A,0)),"REVISAR: el conductor no corresponde a la ruta",IF(OR(INDEX(Vehículos!$E:$E,MATCH(D286,Vehículos!$A:$A,0))="Taller",INDEX(Vehículos!$E:$E,MATCH(D286,Vehículos!$A:$A,0))="Fuera de servicio"),"REVISAR: vehículo no disponible",IF(INDEX(Conductores!$G:$G,MATCH(C286,Conductores!$A:$A,0))&lt;&gt;"Activo","REVISAR: conductor no activo",IF(COUNTIFS($A:$A,A286,$C:$C,C286)&gt;1,"REVISAR: conductor asignado dos veces",IF(COUNTIFS($A:$A,A286,$D:$D,D286)&gt;1,"REVISAR: vehículo asignado dos veces","OK"))))))))</f>
        <v/>
      </c>
      <c r="H286" s="9"/>
      <c r="I286" s="9"/>
      <c r="J286" s="14" t="str">
        <f aca="false">IF(OR(H286="",H286=0),"",I286/H286)</f>
        <v/>
      </c>
      <c r="K286" s="9"/>
      <c r="L286" s="9"/>
      <c r="M286" s="24"/>
      <c r="N286" s="9"/>
      <c r="O286" s="9" t="str">
        <f aca="false">IF(AND(OR(K286="En riesgo",K286="Atrasada"),L286=""),"Falta código de motivo",IF(AND(L286="OTR",N286=""),"Explica OTR en las notas",IF(AND(K286="Finalizada",I286&lt;H286,L286=""),"Falta código de motivo","")))</f>
        <v/>
      </c>
      <c r="P286" s="9" t="str">
        <f aca="false">IF(OR(D286="",A286=""),"",IF(COUNTIFS(Revision_previa!$B:$B,D286,Revision_previa!$A:$A,"&gt;="&amp;A286,Revision_previa!$A:$A,"&lt;"&amp;(A286+1))=0,"Sin revisión",IF(COUNTIFS(Revision_previa!$B:$B,D286,Revision_previa!$A:$A,"&gt;="&amp;A286,Revision_previa!$A:$A,"&lt;"&amp;(A286+1),Revision_previa!$D:$D,"Falla")+COUNTIFS(Revision_previa!$B:$B,D286,Revision_previa!$A:$A,"&gt;="&amp;A286,Revision_previa!$A:$A,"&lt;"&amp;(A286+1),Revision_previa!$E:$E,"Falla")+COUNTIFS(Revision_previa!$B:$B,D286,Revision_previa!$A:$A,"&gt;="&amp;A286,Revision_previa!$A:$A,"&lt;"&amp;(A286+1),Revision_previa!$F:$F,"Falla")+COUNTIFS(Revision_previa!$B:$B,D286,Revision_previa!$A:$A,"&gt;="&amp;A286,Revision_previa!$A:$A,"&lt;"&amp;(A286+1),Revision_previa!$H:$H,"Encendido")&gt;0,"No apto","Apto")))</f>
        <v/>
      </c>
    </row>
    <row r="287" customFormat="false" ht="15" hidden="false" customHeight="false" outlineLevel="0" collapsed="false">
      <c r="A287" s="23"/>
      <c r="B287" s="9"/>
      <c r="C287" s="9"/>
      <c r="D287" s="9"/>
      <c r="E287" s="9" t="str">
        <f aca="false">IF(C287="","",IFERROR(INDEX(Conductores!$B:$B,MATCH(C287,Conductores!$A:$A,0)),"ID no encontrado"))</f>
        <v/>
      </c>
      <c r="F287" s="9" t="str">
        <f aca="false">IF(B287="","",IFERROR(INDEX(Rutas!$B:$B,MATCH(B287,Rutas!$A:$A,0)),"ID no encontrado"))</f>
        <v/>
      </c>
      <c r="G287" s="9" t="str">
        <f aca="false">IF(OR(B287="",C287="",D287=""),"",IF(OR(ISNA(MATCH(B287,Rutas!$A:$A,0)),ISNA(MATCH(C287,Conductores!$A:$A,0)),ISNA(MATCH(D287,Vehículos!$A:$A,0))),"REVISAR: ID no encontrado",IF(INDEX(Rutas!$C:$C,MATCH(B287,Rutas!$A:$A,0))&lt;&gt;INDEX(Vehículos!$B:$B,MATCH(D287,Vehículos!$A:$A,0)),"REVISAR: el vehículo no corresponde a la ruta",IF(INDEX(Rutas!$C:$C,MATCH(B287,Rutas!$A:$A,0))&lt;&gt;INDEX(Conductores!$D:$D,MATCH(C287,Conductores!$A:$A,0)),"REVISAR: el conductor no corresponde a la ruta",IF(OR(INDEX(Vehículos!$E:$E,MATCH(D287,Vehículos!$A:$A,0))="Taller",INDEX(Vehículos!$E:$E,MATCH(D287,Vehículos!$A:$A,0))="Fuera de servicio"),"REVISAR: vehículo no disponible",IF(INDEX(Conductores!$G:$G,MATCH(C287,Conductores!$A:$A,0))&lt;&gt;"Activo","REVISAR: conductor no activo",IF(COUNTIFS($A:$A,A287,$C:$C,C287)&gt;1,"REVISAR: conductor asignado dos veces",IF(COUNTIFS($A:$A,A287,$D:$D,D287)&gt;1,"REVISAR: vehículo asignado dos veces","OK"))))))))</f>
        <v/>
      </c>
      <c r="H287" s="9"/>
      <c r="I287" s="9"/>
      <c r="J287" s="14" t="str">
        <f aca="false">IF(OR(H287="",H287=0),"",I287/H287)</f>
        <v/>
      </c>
      <c r="K287" s="9"/>
      <c r="L287" s="9"/>
      <c r="M287" s="24"/>
      <c r="N287" s="9"/>
      <c r="O287" s="9" t="str">
        <f aca="false">IF(AND(OR(K287="En riesgo",K287="Atrasada"),L287=""),"Falta código de motivo",IF(AND(L287="OTR",N287=""),"Explica OTR en las notas",IF(AND(K287="Finalizada",I287&lt;H287,L287=""),"Falta código de motivo","")))</f>
        <v/>
      </c>
      <c r="P287" s="9" t="str">
        <f aca="false">IF(OR(D287="",A287=""),"",IF(COUNTIFS(Revision_previa!$B:$B,D287,Revision_previa!$A:$A,"&gt;="&amp;A287,Revision_previa!$A:$A,"&lt;"&amp;(A287+1))=0,"Sin revisión",IF(COUNTIFS(Revision_previa!$B:$B,D287,Revision_previa!$A:$A,"&gt;="&amp;A287,Revision_previa!$A:$A,"&lt;"&amp;(A287+1),Revision_previa!$D:$D,"Falla")+COUNTIFS(Revision_previa!$B:$B,D287,Revision_previa!$A:$A,"&gt;="&amp;A287,Revision_previa!$A:$A,"&lt;"&amp;(A287+1),Revision_previa!$E:$E,"Falla")+COUNTIFS(Revision_previa!$B:$B,D287,Revision_previa!$A:$A,"&gt;="&amp;A287,Revision_previa!$A:$A,"&lt;"&amp;(A287+1),Revision_previa!$F:$F,"Falla")+COUNTIFS(Revision_previa!$B:$B,D287,Revision_previa!$A:$A,"&gt;="&amp;A287,Revision_previa!$A:$A,"&lt;"&amp;(A287+1),Revision_previa!$H:$H,"Encendido")&gt;0,"No apto","Apto")))</f>
        <v/>
      </c>
    </row>
    <row r="288" customFormat="false" ht="15" hidden="false" customHeight="false" outlineLevel="0" collapsed="false">
      <c r="A288" s="23"/>
      <c r="B288" s="9"/>
      <c r="C288" s="9"/>
      <c r="D288" s="9"/>
      <c r="E288" s="9" t="str">
        <f aca="false">IF(C288="","",IFERROR(INDEX(Conductores!$B:$B,MATCH(C288,Conductores!$A:$A,0)),"ID no encontrado"))</f>
        <v/>
      </c>
      <c r="F288" s="9" t="str">
        <f aca="false">IF(B288="","",IFERROR(INDEX(Rutas!$B:$B,MATCH(B288,Rutas!$A:$A,0)),"ID no encontrado"))</f>
        <v/>
      </c>
      <c r="G288" s="9" t="str">
        <f aca="false">IF(OR(B288="",C288="",D288=""),"",IF(OR(ISNA(MATCH(B288,Rutas!$A:$A,0)),ISNA(MATCH(C288,Conductores!$A:$A,0)),ISNA(MATCH(D288,Vehículos!$A:$A,0))),"REVISAR: ID no encontrado",IF(INDEX(Rutas!$C:$C,MATCH(B288,Rutas!$A:$A,0))&lt;&gt;INDEX(Vehículos!$B:$B,MATCH(D288,Vehículos!$A:$A,0)),"REVISAR: el vehículo no corresponde a la ruta",IF(INDEX(Rutas!$C:$C,MATCH(B288,Rutas!$A:$A,0))&lt;&gt;INDEX(Conductores!$D:$D,MATCH(C288,Conductores!$A:$A,0)),"REVISAR: el conductor no corresponde a la ruta",IF(OR(INDEX(Vehículos!$E:$E,MATCH(D288,Vehículos!$A:$A,0))="Taller",INDEX(Vehículos!$E:$E,MATCH(D288,Vehículos!$A:$A,0))="Fuera de servicio"),"REVISAR: vehículo no disponible",IF(INDEX(Conductores!$G:$G,MATCH(C288,Conductores!$A:$A,0))&lt;&gt;"Activo","REVISAR: conductor no activo",IF(COUNTIFS($A:$A,A288,$C:$C,C288)&gt;1,"REVISAR: conductor asignado dos veces",IF(COUNTIFS($A:$A,A288,$D:$D,D288)&gt;1,"REVISAR: vehículo asignado dos veces","OK"))))))))</f>
        <v/>
      </c>
      <c r="H288" s="9"/>
      <c r="I288" s="9"/>
      <c r="J288" s="14" t="str">
        <f aca="false">IF(OR(H288="",H288=0),"",I288/H288)</f>
        <v/>
      </c>
      <c r="K288" s="9"/>
      <c r="L288" s="9"/>
      <c r="M288" s="24"/>
      <c r="N288" s="9"/>
      <c r="O288" s="9" t="str">
        <f aca="false">IF(AND(OR(K288="En riesgo",K288="Atrasada"),L288=""),"Falta código de motivo",IF(AND(L288="OTR",N288=""),"Explica OTR en las notas",IF(AND(K288="Finalizada",I288&lt;H288,L288=""),"Falta código de motivo","")))</f>
        <v/>
      </c>
      <c r="P288" s="9" t="str">
        <f aca="false">IF(OR(D288="",A288=""),"",IF(COUNTIFS(Revision_previa!$B:$B,D288,Revision_previa!$A:$A,"&gt;="&amp;A288,Revision_previa!$A:$A,"&lt;"&amp;(A288+1))=0,"Sin revisión",IF(COUNTIFS(Revision_previa!$B:$B,D288,Revision_previa!$A:$A,"&gt;="&amp;A288,Revision_previa!$A:$A,"&lt;"&amp;(A288+1),Revision_previa!$D:$D,"Falla")+COUNTIFS(Revision_previa!$B:$B,D288,Revision_previa!$A:$A,"&gt;="&amp;A288,Revision_previa!$A:$A,"&lt;"&amp;(A288+1),Revision_previa!$E:$E,"Falla")+COUNTIFS(Revision_previa!$B:$B,D288,Revision_previa!$A:$A,"&gt;="&amp;A288,Revision_previa!$A:$A,"&lt;"&amp;(A288+1),Revision_previa!$F:$F,"Falla")+COUNTIFS(Revision_previa!$B:$B,D288,Revision_previa!$A:$A,"&gt;="&amp;A288,Revision_previa!$A:$A,"&lt;"&amp;(A288+1),Revision_previa!$H:$H,"Encendido")&gt;0,"No apto","Apto")))</f>
        <v/>
      </c>
    </row>
    <row r="289" customFormat="false" ht="15" hidden="false" customHeight="false" outlineLevel="0" collapsed="false">
      <c r="A289" s="23"/>
      <c r="B289" s="9"/>
      <c r="C289" s="9"/>
      <c r="D289" s="9"/>
      <c r="E289" s="9" t="str">
        <f aca="false">IF(C289="","",IFERROR(INDEX(Conductores!$B:$B,MATCH(C289,Conductores!$A:$A,0)),"ID no encontrado"))</f>
        <v/>
      </c>
      <c r="F289" s="9" t="str">
        <f aca="false">IF(B289="","",IFERROR(INDEX(Rutas!$B:$B,MATCH(B289,Rutas!$A:$A,0)),"ID no encontrado"))</f>
        <v/>
      </c>
      <c r="G289" s="9" t="str">
        <f aca="false">IF(OR(B289="",C289="",D289=""),"",IF(OR(ISNA(MATCH(B289,Rutas!$A:$A,0)),ISNA(MATCH(C289,Conductores!$A:$A,0)),ISNA(MATCH(D289,Vehículos!$A:$A,0))),"REVISAR: ID no encontrado",IF(INDEX(Rutas!$C:$C,MATCH(B289,Rutas!$A:$A,0))&lt;&gt;INDEX(Vehículos!$B:$B,MATCH(D289,Vehículos!$A:$A,0)),"REVISAR: el vehículo no corresponde a la ruta",IF(INDEX(Rutas!$C:$C,MATCH(B289,Rutas!$A:$A,0))&lt;&gt;INDEX(Conductores!$D:$D,MATCH(C289,Conductores!$A:$A,0)),"REVISAR: el conductor no corresponde a la ruta",IF(OR(INDEX(Vehículos!$E:$E,MATCH(D289,Vehículos!$A:$A,0))="Taller",INDEX(Vehículos!$E:$E,MATCH(D289,Vehículos!$A:$A,0))="Fuera de servicio"),"REVISAR: vehículo no disponible",IF(INDEX(Conductores!$G:$G,MATCH(C289,Conductores!$A:$A,0))&lt;&gt;"Activo","REVISAR: conductor no activo",IF(COUNTIFS($A:$A,A289,$C:$C,C289)&gt;1,"REVISAR: conductor asignado dos veces",IF(COUNTIFS($A:$A,A289,$D:$D,D289)&gt;1,"REVISAR: vehículo asignado dos veces","OK"))))))))</f>
        <v/>
      </c>
      <c r="H289" s="9"/>
      <c r="I289" s="9"/>
      <c r="J289" s="14" t="str">
        <f aca="false">IF(OR(H289="",H289=0),"",I289/H289)</f>
        <v/>
      </c>
      <c r="K289" s="9"/>
      <c r="L289" s="9"/>
      <c r="M289" s="24"/>
      <c r="N289" s="9"/>
      <c r="O289" s="9" t="str">
        <f aca="false">IF(AND(OR(K289="En riesgo",K289="Atrasada"),L289=""),"Falta código de motivo",IF(AND(L289="OTR",N289=""),"Explica OTR en las notas",IF(AND(K289="Finalizada",I289&lt;H289,L289=""),"Falta código de motivo","")))</f>
        <v/>
      </c>
      <c r="P289" s="9" t="str">
        <f aca="false">IF(OR(D289="",A289=""),"",IF(COUNTIFS(Revision_previa!$B:$B,D289,Revision_previa!$A:$A,"&gt;="&amp;A289,Revision_previa!$A:$A,"&lt;"&amp;(A289+1))=0,"Sin revisión",IF(COUNTIFS(Revision_previa!$B:$B,D289,Revision_previa!$A:$A,"&gt;="&amp;A289,Revision_previa!$A:$A,"&lt;"&amp;(A289+1),Revision_previa!$D:$D,"Falla")+COUNTIFS(Revision_previa!$B:$B,D289,Revision_previa!$A:$A,"&gt;="&amp;A289,Revision_previa!$A:$A,"&lt;"&amp;(A289+1),Revision_previa!$E:$E,"Falla")+COUNTIFS(Revision_previa!$B:$B,D289,Revision_previa!$A:$A,"&gt;="&amp;A289,Revision_previa!$A:$A,"&lt;"&amp;(A289+1),Revision_previa!$F:$F,"Falla")+COUNTIFS(Revision_previa!$B:$B,D289,Revision_previa!$A:$A,"&gt;="&amp;A289,Revision_previa!$A:$A,"&lt;"&amp;(A289+1),Revision_previa!$H:$H,"Encendido")&gt;0,"No apto","Apto")))</f>
        <v/>
      </c>
    </row>
    <row r="290" customFormat="false" ht="15" hidden="false" customHeight="false" outlineLevel="0" collapsed="false">
      <c r="A290" s="23"/>
      <c r="B290" s="9"/>
      <c r="C290" s="9"/>
      <c r="D290" s="9"/>
      <c r="E290" s="9" t="str">
        <f aca="false">IF(C290="","",IFERROR(INDEX(Conductores!$B:$B,MATCH(C290,Conductores!$A:$A,0)),"ID no encontrado"))</f>
        <v/>
      </c>
      <c r="F290" s="9" t="str">
        <f aca="false">IF(B290="","",IFERROR(INDEX(Rutas!$B:$B,MATCH(B290,Rutas!$A:$A,0)),"ID no encontrado"))</f>
        <v/>
      </c>
      <c r="G290" s="9" t="str">
        <f aca="false">IF(OR(B290="",C290="",D290=""),"",IF(OR(ISNA(MATCH(B290,Rutas!$A:$A,0)),ISNA(MATCH(C290,Conductores!$A:$A,0)),ISNA(MATCH(D290,Vehículos!$A:$A,0))),"REVISAR: ID no encontrado",IF(INDEX(Rutas!$C:$C,MATCH(B290,Rutas!$A:$A,0))&lt;&gt;INDEX(Vehículos!$B:$B,MATCH(D290,Vehículos!$A:$A,0)),"REVISAR: el vehículo no corresponde a la ruta",IF(INDEX(Rutas!$C:$C,MATCH(B290,Rutas!$A:$A,0))&lt;&gt;INDEX(Conductores!$D:$D,MATCH(C290,Conductores!$A:$A,0)),"REVISAR: el conductor no corresponde a la ruta",IF(OR(INDEX(Vehículos!$E:$E,MATCH(D290,Vehículos!$A:$A,0))="Taller",INDEX(Vehículos!$E:$E,MATCH(D290,Vehículos!$A:$A,0))="Fuera de servicio"),"REVISAR: vehículo no disponible",IF(INDEX(Conductores!$G:$G,MATCH(C290,Conductores!$A:$A,0))&lt;&gt;"Activo","REVISAR: conductor no activo",IF(COUNTIFS($A:$A,A290,$C:$C,C290)&gt;1,"REVISAR: conductor asignado dos veces",IF(COUNTIFS($A:$A,A290,$D:$D,D290)&gt;1,"REVISAR: vehículo asignado dos veces","OK"))))))))</f>
        <v/>
      </c>
      <c r="H290" s="9"/>
      <c r="I290" s="9"/>
      <c r="J290" s="14" t="str">
        <f aca="false">IF(OR(H290="",H290=0),"",I290/H290)</f>
        <v/>
      </c>
      <c r="K290" s="9"/>
      <c r="L290" s="9"/>
      <c r="M290" s="24"/>
      <c r="N290" s="9"/>
      <c r="O290" s="9" t="str">
        <f aca="false">IF(AND(OR(K290="En riesgo",K290="Atrasada"),L290=""),"Falta código de motivo",IF(AND(L290="OTR",N290=""),"Explica OTR en las notas",IF(AND(K290="Finalizada",I290&lt;H290,L290=""),"Falta código de motivo","")))</f>
        <v/>
      </c>
      <c r="P290" s="9" t="str">
        <f aca="false">IF(OR(D290="",A290=""),"",IF(COUNTIFS(Revision_previa!$B:$B,D290,Revision_previa!$A:$A,"&gt;="&amp;A290,Revision_previa!$A:$A,"&lt;"&amp;(A290+1))=0,"Sin revisión",IF(COUNTIFS(Revision_previa!$B:$B,D290,Revision_previa!$A:$A,"&gt;="&amp;A290,Revision_previa!$A:$A,"&lt;"&amp;(A290+1),Revision_previa!$D:$D,"Falla")+COUNTIFS(Revision_previa!$B:$B,D290,Revision_previa!$A:$A,"&gt;="&amp;A290,Revision_previa!$A:$A,"&lt;"&amp;(A290+1),Revision_previa!$E:$E,"Falla")+COUNTIFS(Revision_previa!$B:$B,D290,Revision_previa!$A:$A,"&gt;="&amp;A290,Revision_previa!$A:$A,"&lt;"&amp;(A290+1),Revision_previa!$F:$F,"Falla")+COUNTIFS(Revision_previa!$B:$B,D290,Revision_previa!$A:$A,"&gt;="&amp;A290,Revision_previa!$A:$A,"&lt;"&amp;(A290+1),Revision_previa!$H:$H,"Encendido")&gt;0,"No apto","Apto")))</f>
        <v/>
      </c>
    </row>
    <row r="291" customFormat="false" ht="15" hidden="false" customHeight="false" outlineLevel="0" collapsed="false">
      <c r="A291" s="23"/>
      <c r="B291" s="9"/>
      <c r="C291" s="9"/>
      <c r="D291" s="9"/>
      <c r="E291" s="9" t="str">
        <f aca="false">IF(C291="","",IFERROR(INDEX(Conductores!$B:$B,MATCH(C291,Conductores!$A:$A,0)),"ID no encontrado"))</f>
        <v/>
      </c>
      <c r="F291" s="9" t="str">
        <f aca="false">IF(B291="","",IFERROR(INDEX(Rutas!$B:$B,MATCH(B291,Rutas!$A:$A,0)),"ID no encontrado"))</f>
        <v/>
      </c>
      <c r="G291" s="9" t="str">
        <f aca="false">IF(OR(B291="",C291="",D291=""),"",IF(OR(ISNA(MATCH(B291,Rutas!$A:$A,0)),ISNA(MATCH(C291,Conductores!$A:$A,0)),ISNA(MATCH(D291,Vehículos!$A:$A,0))),"REVISAR: ID no encontrado",IF(INDEX(Rutas!$C:$C,MATCH(B291,Rutas!$A:$A,0))&lt;&gt;INDEX(Vehículos!$B:$B,MATCH(D291,Vehículos!$A:$A,0)),"REVISAR: el vehículo no corresponde a la ruta",IF(INDEX(Rutas!$C:$C,MATCH(B291,Rutas!$A:$A,0))&lt;&gt;INDEX(Conductores!$D:$D,MATCH(C291,Conductores!$A:$A,0)),"REVISAR: el conductor no corresponde a la ruta",IF(OR(INDEX(Vehículos!$E:$E,MATCH(D291,Vehículos!$A:$A,0))="Taller",INDEX(Vehículos!$E:$E,MATCH(D291,Vehículos!$A:$A,0))="Fuera de servicio"),"REVISAR: vehículo no disponible",IF(INDEX(Conductores!$G:$G,MATCH(C291,Conductores!$A:$A,0))&lt;&gt;"Activo","REVISAR: conductor no activo",IF(COUNTIFS($A:$A,A291,$C:$C,C291)&gt;1,"REVISAR: conductor asignado dos veces",IF(COUNTIFS($A:$A,A291,$D:$D,D291)&gt;1,"REVISAR: vehículo asignado dos veces","OK"))))))))</f>
        <v/>
      </c>
      <c r="H291" s="9"/>
      <c r="I291" s="9"/>
      <c r="J291" s="14" t="str">
        <f aca="false">IF(OR(H291="",H291=0),"",I291/H291)</f>
        <v/>
      </c>
      <c r="K291" s="9"/>
      <c r="L291" s="9"/>
      <c r="M291" s="24"/>
      <c r="N291" s="9"/>
      <c r="O291" s="9" t="str">
        <f aca="false">IF(AND(OR(K291="En riesgo",K291="Atrasada"),L291=""),"Falta código de motivo",IF(AND(L291="OTR",N291=""),"Explica OTR en las notas",IF(AND(K291="Finalizada",I291&lt;H291,L291=""),"Falta código de motivo","")))</f>
        <v/>
      </c>
      <c r="P291" s="9" t="str">
        <f aca="false">IF(OR(D291="",A291=""),"",IF(COUNTIFS(Revision_previa!$B:$B,D291,Revision_previa!$A:$A,"&gt;="&amp;A291,Revision_previa!$A:$A,"&lt;"&amp;(A291+1))=0,"Sin revisión",IF(COUNTIFS(Revision_previa!$B:$B,D291,Revision_previa!$A:$A,"&gt;="&amp;A291,Revision_previa!$A:$A,"&lt;"&amp;(A291+1),Revision_previa!$D:$D,"Falla")+COUNTIFS(Revision_previa!$B:$B,D291,Revision_previa!$A:$A,"&gt;="&amp;A291,Revision_previa!$A:$A,"&lt;"&amp;(A291+1),Revision_previa!$E:$E,"Falla")+COUNTIFS(Revision_previa!$B:$B,D291,Revision_previa!$A:$A,"&gt;="&amp;A291,Revision_previa!$A:$A,"&lt;"&amp;(A291+1),Revision_previa!$F:$F,"Falla")+COUNTIFS(Revision_previa!$B:$B,D291,Revision_previa!$A:$A,"&gt;="&amp;A291,Revision_previa!$A:$A,"&lt;"&amp;(A291+1),Revision_previa!$H:$H,"Encendido")&gt;0,"No apto","Apto")))</f>
        <v/>
      </c>
    </row>
    <row r="292" customFormat="false" ht="15" hidden="false" customHeight="false" outlineLevel="0" collapsed="false">
      <c r="A292" s="23"/>
      <c r="B292" s="9"/>
      <c r="C292" s="9"/>
      <c r="D292" s="9"/>
      <c r="E292" s="9" t="str">
        <f aca="false">IF(C292="","",IFERROR(INDEX(Conductores!$B:$B,MATCH(C292,Conductores!$A:$A,0)),"ID no encontrado"))</f>
        <v/>
      </c>
      <c r="F292" s="9" t="str">
        <f aca="false">IF(B292="","",IFERROR(INDEX(Rutas!$B:$B,MATCH(B292,Rutas!$A:$A,0)),"ID no encontrado"))</f>
        <v/>
      </c>
      <c r="G292" s="9" t="str">
        <f aca="false">IF(OR(B292="",C292="",D292=""),"",IF(OR(ISNA(MATCH(B292,Rutas!$A:$A,0)),ISNA(MATCH(C292,Conductores!$A:$A,0)),ISNA(MATCH(D292,Vehículos!$A:$A,0))),"REVISAR: ID no encontrado",IF(INDEX(Rutas!$C:$C,MATCH(B292,Rutas!$A:$A,0))&lt;&gt;INDEX(Vehículos!$B:$B,MATCH(D292,Vehículos!$A:$A,0)),"REVISAR: el vehículo no corresponde a la ruta",IF(INDEX(Rutas!$C:$C,MATCH(B292,Rutas!$A:$A,0))&lt;&gt;INDEX(Conductores!$D:$D,MATCH(C292,Conductores!$A:$A,0)),"REVISAR: el conductor no corresponde a la ruta",IF(OR(INDEX(Vehículos!$E:$E,MATCH(D292,Vehículos!$A:$A,0))="Taller",INDEX(Vehículos!$E:$E,MATCH(D292,Vehículos!$A:$A,0))="Fuera de servicio"),"REVISAR: vehículo no disponible",IF(INDEX(Conductores!$G:$G,MATCH(C292,Conductores!$A:$A,0))&lt;&gt;"Activo","REVISAR: conductor no activo",IF(COUNTIFS($A:$A,A292,$C:$C,C292)&gt;1,"REVISAR: conductor asignado dos veces",IF(COUNTIFS($A:$A,A292,$D:$D,D292)&gt;1,"REVISAR: vehículo asignado dos veces","OK"))))))))</f>
        <v/>
      </c>
      <c r="H292" s="9"/>
      <c r="I292" s="9"/>
      <c r="J292" s="14" t="str">
        <f aca="false">IF(OR(H292="",H292=0),"",I292/H292)</f>
        <v/>
      </c>
      <c r="K292" s="9"/>
      <c r="L292" s="9"/>
      <c r="M292" s="24"/>
      <c r="N292" s="9"/>
      <c r="O292" s="9" t="str">
        <f aca="false">IF(AND(OR(K292="En riesgo",K292="Atrasada"),L292=""),"Falta código de motivo",IF(AND(L292="OTR",N292=""),"Explica OTR en las notas",IF(AND(K292="Finalizada",I292&lt;H292,L292=""),"Falta código de motivo","")))</f>
        <v/>
      </c>
      <c r="P292" s="9" t="str">
        <f aca="false">IF(OR(D292="",A292=""),"",IF(COUNTIFS(Revision_previa!$B:$B,D292,Revision_previa!$A:$A,"&gt;="&amp;A292,Revision_previa!$A:$A,"&lt;"&amp;(A292+1))=0,"Sin revisión",IF(COUNTIFS(Revision_previa!$B:$B,D292,Revision_previa!$A:$A,"&gt;="&amp;A292,Revision_previa!$A:$A,"&lt;"&amp;(A292+1),Revision_previa!$D:$D,"Falla")+COUNTIFS(Revision_previa!$B:$B,D292,Revision_previa!$A:$A,"&gt;="&amp;A292,Revision_previa!$A:$A,"&lt;"&amp;(A292+1),Revision_previa!$E:$E,"Falla")+COUNTIFS(Revision_previa!$B:$B,D292,Revision_previa!$A:$A,"&gt;="&amp;A292,Revision_previa!$A:$A,"&lt;"&amp;(A292+1),Revision_previa!$F:$F,"Falla")+COUNTIFS(Revision_previa!$B:$B,D292,Revision_previa!$A:$A,"&gt;="&amp;A292,Revision_previa!$A:$A,"&lt;"&amp;(A292+1),Revision_previa!$H:$H,"Encendido")&gt;0,"No apto","Apto")))</f>
        <v/>
      </c>
    </row>
    <row r="293" customFormat="false" ht="15" hidden="false" customHeight="false" outlineLevel="0" collapsed="false">
      <c r="A293" s="23"/>
      <c r="B293" s="9"/>
      <c r="C293" s="9"/>
      <c r="D293" s="9"/>
      <c r="E293" s="9" t="str">
        <f aca="false">IF(C293="","",IFERROR(INDEX(Conductores!$B:$B,MATCH(C293,Conductores!$A:$A,0)),"ID no encontrado"))</f>
        <v/>
      </c>
      <c r="F293" s="9" t="str">
        <f aca="false">IF(B293="","",IFERROR(INDEX(Rutas!$B:$B,MATCH(B293,Rutas!$A:$A,0)),"ID no encontrado"))</f>
        <v/>
      </c>
      <c r="G293" s="9" t="str">
        <f aca="false">IF(OR(B293="",C293="",D293=""),"",IF(OR(ISNA(MATCH(B293,Rutas!$A:$A,0)),ISNA(MATCH(C293,Conductores!$A:$A,0)),ISNA(MATCH(D293,Vehículos!$A:$A,0))),"REVISAR: ID no encontrado",IF(INDEX(Rutas!$C:$C,MATCH(B293,Rutas!$A:$A,0))&lt;&gt;INDEX(Vehículos!$B:$B,MATCH(D293,Vehículos!$A:$A,0)),"REVISAR: el vehículo no corresponde a la ruta",IF(INDEX(Rutas!$C:$C,MATCH(B293,Rutas!$A:$A,0))&lt;&gt;INDEX(Conductores!$D:$D,MATCH(C293,Conductores!$A:$A,0)),"REVISAR: el conductor no corresponde a la ruta",IF(OR(INDEX(Vehículos!$E:$E,MATCH(D293,Vehículos!$A:$A,0))="Taller",INDEX(Vehículos!$E:$E,MATCH(D293,Vehículos!$A:$A,0))="Fuera de servicio"),"REVISAR: vehículo no disponible",IF(INDEX(Conductores!$G:$G,MATCH(C293,Conductores!$A:$A,0))&lt;&gt;"Activo","REVISAR: conductor no activo",IF(COUNTIFS($A:$A,A293,$C:$C,C293)&gt;1,"REVISAR: conductor asignado dos veces",IF(COUNTIFS($A:$A,A293,$D:$D,D293)&gt;1,"REVISAR: vehículo asignado dos veces","OK"))))))))</f>
        <v/>
      </c>
      <c r="H293" s="9"/>
      <c r="I293" s="9"/>
      <c r="J293" s="14" t="str">
        <f aca="false">IF(OR(H293="",H293=0),"",I293/H293)</f>
        <v/>
      </c>
      <c r="K293" s="9"/>
      <c r="L293" s="9"/>
      <c r="M293" s="24"/>
      <c r="N293" s="9"/>
      <c r="O293" s="9" t="str">
        <f aca="false">IF(AND(OR(K293="En riesgo",K293="Atrasada"),L293=""),"Falta código de motivo",IF(AND(L293="OTR",N293=""),"Explica OTR en las notas",IF(AND(K293="Finalizada",I293&lt;H293,L293=""),"Falta código de motivo","")))</f>
        <v/>
      </c>
      <c r="P293" s="9" t="str">
        <f aca="false">IF(OR(D293="",A293=""),"",IF(COUNTIFS(Revision_previa!$B:$B,D293,Revision_previa!$A:$A,"&gt;="&amp;A293,Revision_previa!$A:$A,"&lt;"&amp;(A293+1))=0,"Sin revisión",IF(COUNTIFS(Revision_previa!$B:$B,D293,Revision_previa!$A:$A,"&gt;="&amp;A293,Revision_previa!$A:$A,"&lt;"&amp;(A293+1),Revision_previa!$D:$D,"Falla")+COUNTIFS(Revision_previa!$B:$B,D293,Revision_previa!$A:$A,"&gt;="&amp;A293,Revision_previa!$A:$A,"&lt;"&amp;(A293+1),Revision_previa!$E:$E,"Falla")+COUNTIFS(Revision_previa!$B:$B,D293,Revision_previa!$A:$A,"&gt;="&amp;A293,Revision_previa!$A:$A,"&lt;"&amp;(A293+1),Revision_previa!$F:$F,"Falla")+COUNTIFS(Revision_previa!$B:$B,D293,Revision_previa!$A:$A,"&gt;="&amp;A293,Revision_previa!$A:$A,"&lt;"&amp;(A293+1),Revision_previa!$H:$H,"Encendido")&gt;0,"No apto","Apto")))</f>
        <v/>
      </c>
    </row>
    <row r="294" customFormat="false" ht="15" hidden="false" customHeight="false" outlineLevel="0" collapsed="false">
      <c r="A294" s="23"/>
      <c r="B294" s="9"/>
      <c r="C294" s="9"/>
      <c r="D294" s="9"/>
      <c r="E294" s="9" t="str">
        <f aca="false">IF(C294="","",IFERROR(INDEX(Conductores!$B:$B,MATCH(C294,Conductores!$A:$A,0)),"ID no encontrado"))</f>
        <v/>
      </c>
      <c r="F294" s="9" t="str">
        <f aca="false">IF(B294="","",IFERROR(INDEX(Rutas!$B:$B,MATCH(B294,Rutas!$A:$A,0)),"ID no encontrado"))</f>
        <v/>
      </c>
      <c r="G294" s="9" t="str">
        <f aca="false">IF(OR(B294="",C294="",D294=""),"",IF(OR(ISNA(MATCH(B294,Rutas!$A:$A,0)),ISNA(MATCH(C294,Conductores!$A:$A,0)),ISNA(MATCH(D294,Vehículos!$A:$A,0))),"REVISAR: ID no encontrado",IF(INDEX(Rutas!$C:$C,MATCH(B294,Rutas!$A:$A,0))&lt;&gt;INDEX(Vehículos!$B:$B,MATCH(D294,Vehículos!$A:$A,0)),"REVISAR: el vehículo no corresponde a la ruta",IF(INDEX(Rutas!$C:$C,MATCH(B294,Rutas!$A:$A,0))&lt;&gt;INDEX(Conductores!$D:$D,MATCH(C294,Conductores!$A:$A,0)),"REVISAR: el conductor no corresponde a la ruta",IF(OR(INDEX(Vehículos!$E:$E,MATCH(D294,Vehículos!$A:$A,0))="Taller",INDEX(Vehículos!$E:$E,MATCH(D294,Vehículos!$A:$A,0))="Fuera de servicio"),"REVISAR: vehículo no disponible",IF(INDEX(Conductores!$G:$G,MATCH(C294,Conductores!$A:$A,0))&lt;&gt;"Activo","REVISAR: conductor no activo",IF(COUNTIFS($A:$A,A294,$C:$C,C294)&gt;1,"REVISAR: conductor asignado dos veces",IF(COUNTIFS($A:$A,A294,$D:$D,D294)&gt;1,"REVISAR: vehículo asignado dos veces","OK"))))))))</f>
        <v/>
      </c>
      <c r="H294" s="9"/>
      <c r="I294" s="9"/>
      <c r="J294" s="14" t="str">
        <f aca="false">IF(OR(H294="",H294=0),"",I294/H294)</f>
        <v/>
      </c>
      <c r="K294" s="9"/>
      <c r="L294" s="9"/>
      <c r="M294" s="24"/>
      <c r="N294" s="9"/>
      <c r="O294" s="9" t="str">
        <f aca="false">IF(AND(OR(K294="En riesgo",K294="Atrasada"),L294=""),"Falta código de motivo",IF(AND(L294="OTR",N294=""),"Explica OTR en las notas",IF(AND(K294="Finalizada",I294&lt;H294,L294=""),"Falta código de motivo","")))</f>
        <v/>
      </c>
      <c r="P294" s="9" t="str">
        <f aca="false">IF(OR(D294="",A294=""),"",IF(COUNTIFS(Revision_previa!$B:$B,D294,Revision_previa!$A:$A,"&gt;="&amp;A294,Revision_previa!$A:$A,"&lt;"&amp;(A294+1))=0,"Sin revisión",IF(COUNTIFS(Revision_previa!$B:$B,D294,Revision_previa!$A:$A,"&gt;="&amp;A294,Revision_previa!$A:$A,"&lt;"&amp;(A294+1),Revision_previa!$D:$D,"Falla")+COUNTIFS(Revision_previa!$B:$B,D294,Revision_previa!$A:$A,"&gt;="&amp;A294,Revision_previa!$A:$A,"&lt;"&amp;(A294+1),Revision_previa!$E:$E,"Falla")+COUNTIFS(Revision_previa!$B:$B,D294,Revision_previa!$A:$A,"&gt;="&amp;A294,Revision_previa!$A:$A,"&lt;"&amp;(A294+1),Revision_previa!$F:$F,"Falla")+COUNTIFS(Revision_previa!$B:$B,D294,Revision_previa!$A:$A,"&gt;="&amp;A294,Revision_previa!$A:$A,"&lt;"&amp;(A294+1),Revision_previa!$H:$H,"Encendido")&gt;0,"No apto","Apto")))</f>
        <v/>
      </c>
    </row>
    <row r="295" customFormat="false" ht="15" hidden="false" customHeight="false" outlineLevel="0" collapsed="false">
      <c r="A295" s="23"/>
      <c r="B295" s="9"/>
      <c r="C295" s="9"/>
      <c r="D295" s="9"/>
      <c r="E295" s="9" t="str">
        <f aca="false">IF(C295="","",IFERROR(INDEX(Conductores!$B:$B,MATCH(C295,Conductores!$A:$A,0)),"ID no encontrado"))</f>
        <v/>
      </c>
      <c r="F295" s="9" t="str">
        <f aca="false">IF(B295="","",IFERROR(INDEX(Rutas!$B:$B,MATCH(B295,Rutas!$A:$A,0)),"ID no encontrado"))</f>
        <v/>
      </c>
      <c r="G295" s="9" t="str">
        <f aca="false">IF(OR(B295="",C295="",D295=""),"",IF(OR(ISNA(MATCH(B295,Rutas!$A:$A,0)),ISNA(MATCH(C295,Conductores!$A:$A,0)),ISNA(MATCH(D295,Vehículos!$A:$A,0))),"REVISAR: ID no encontrado",IF(INDEX(Rutas!$C:$C,MATCH(B295,Rutas!$A:$A,0))&lt;&gt;INDEX(Vehículos!$B:$B,MATCH(D295,Vehículos!$A:$A,0)),"REVISAR: el vehículo no corresponde a la ruta",IF(INDEX(Rutas!$C:$C,MATCH(B295,Rutas!$A:$A,0))&lt;&gt;INDEX(Conductores!$D:$D,MATCH(C295,Conductores!$A:$A,0)),"REVISAR: el conductor no corresponde a la ruta",IF(OR(INDEX(Vehículos!$E:$E,MATCH(D295,Vehículos!$A:$A,0))="Taller",INDEX(Vehículos!$E:$E,MATCH(D295,Vehículos!$A:$A,0))="Fuera de servicio"),"REVISAR: vehículo no disponible",IF(INDEX(Conductores!$G:$G,MATCH(C295,Conductores!$A:$A,0))&lt;&gt;"Activo","REVISAR: conductor no activo",IF(COUNTIFS($A:$A,A295,$C:$C,C295)&gt;1,"REVISAR: conductor asignado dos veces",IF(COUNTIFS($A:$A,A295,$D:$D,D295)&gt;1,"REVISAR: vehículo asignado dos veces","OK"))))))))</f>
        <v/>
      </c>
      <c r="H295" s="9"/>
      <c r="I295" s="9"/>
      <c r="J295" s="14" t="str">
        <f aca="false">IF(OR(H295="",H295=0),"",I295/H295)</f>
        <v/>
      </c>
      <c r="K295" s="9"/>
      <c r="L295" s="9"/>
      <c r="M295" s="24"/>
      <c r="N295" s="9"/>
      <c r="O295" s="9" t="str">
        <f aca="false">IF(AND(OR(K295="En riesgo",K295="Atrasada"),L295=""),"Falta código de motivo",IF(AND(L295="OTR",N295=""),"Explica OTR en las notas",IF(AND(K295="Finalizada",I295&lt;H295,L295=""),"Falta código de motivo","")))</f>
        <v/>
      </c>
      <c r="P295" s="9" t="str">
        <f aca="false">IF(OR(D295="",A295=""),"",IF(COUNTIFS(Revision_previa!$B:$B,D295,Revision_previa!$A:$A,"&gt;="&amp;A295,Revision_previa!$A:$A,"&lt;"&amp;(A295+1))=0,"Sin revisión",IF(COUNTIFS(Revision_previa!$B:$B,D295,Revision_previa!$A:$A,"&gt;="&amp;A295,Revision_previa!$A:$A,"&lt;"&amp;(A295+1),Revision_previa!$D:$D,"Falla")+COUNTIFS(Revision_previa!$B:$B,D295,Revision_previa!$A:$A,"&gt;="&amp;A295,Revision_previa!$A:$A,"&lt;"&amp;(A295+1),Revision_previa!$E:$E,"Falla")+COUNTIFS(Revision_previa!$B:$B,D295,Revision_previa!$A:$A,"&gt;="&amp;A295,Revision_previa!$A:$A,"&lt;"&amp;(A295+1),Revision_previa!$F:$F,"Falla")+COUNTIFS(Revision_previa!$B:$B,D295,Revision_previa!$A:$A,"&gt;="&amp;A295,Revision_previa!$A:$A,"&lt;"&amp;(A295+1),Revision_previa!$H:$H,"Encendido")&gt;0,"No apto","Apto")))</f>
        <v/>
      </c>
    </row>
    <row r="296" customFormat="false" ht="15" hidden="false" customHeight="false" outlineLevel="0" collapsed="false">
      <c r="A296" s="23"/>
      <c r="B296" s="9"/>
      <c r="C296" s="9"/>
      <c r="D296" s="9"/>
      <c r="E296" s="9" t="str">
        <f aca="false">IF(C296="","",IFERROR(INDEX(Conductores!$B:$B,MATCH(C296,Conductores!$A:$A,0)),"ID no encontrado"))</f>
        <v/>
      </c>
      <c r="F296" s="9" t="str">
        <f aca="false">IF(B296="","",IFERROR(INDEX(Rutas!$B:$B,MATCH(B296,Rutas!$A:$A,0)),"ID no encontrado"))</f>
        <v/>
      </c>
      <c r="G296" s="9" t="str">
        <f aca="false">IF(OR(B296="",C296="",D296=""),"",IF(OR(ISNA(MATCH(B296,Rutas!$A:$A,0)),ISNA(MATCH(C296,Conductores!$A:$A,0)),ISNA(MATCH(D296,Vehículos!$A:$A,0))),"REVISAR: ID no encontrado",IF(INDEX(Rutas!$C:$C,MATCH(B296,Rutas!$A:$A,0))&lt;&gt;INDEX(Vehículos!$B:$B,MATCH(D296,Vehículos!$A:$A,0)),"REVISAR: el vehículo no corresponde a la ruta",IF(INDEX(Rutas!$C:$C,MATCH(B296,Rutas!$A:$A,0))&lt;&gt;INDEX(Conductores!$D:$D,MATCH(C296,Conductores!$A:$A,0)),"REVISAR: el conductor no corresponde a la ruta",IF(OR(INDEX(Vehículos!$E:$E,MATCH(D296,Vehículos!$A:$A,0))="Taller",INDEX(Vehículos!$E:$E,MATCH(D296,Vehículos!$A:$A,0))="Fuera de servicio"),"REVISAR: vehículo no disponible",IF(INDEX(Conductores!$G:$G,MATCH(C296,Conductores!$A:$A,0))&lt;&gt;"Activo","REVISAR: conductor no activo",IF(COUNTIFS($A:$A,A296,$C:$C,C296)&gt;1,"REVISAR: conductor asignado dos veces",IF(COUNTIFS($A:$A,A296,$D:$D,D296)&gt;1,"REVISAR: vehículo asignado dos veces","OK"))))))))</f>
        <v/>
      </c>
      <c r="H296" s="9"/>
      <c r="I296" s="9"/>
      <c r="J296" s="14" t="str">
        <f aca="false">IF(OR(H296="",H296=0),"",I296/H296)</f>
        <v/>
      </c>
      <c r="K296" s="9"/>
      <c r="L296" s="9"/>
      <c r="M296" s="24"/>
      <c r="N296" s="9"/>
      <c r="O296" s="9" t="str">
        <f aca="false">IF(AND(OR(K296="En riesgo",K296="Atrasada"),L296=""),"Falta código de motivo",IF(AND(L296="OTR",N296=""),"Explica OTR en las notas",IF(AND(K296="Finalizada",I296&lt;H296,L296=""),"Falta código de motivo","")))</f>
        <v/>
      </c>
      <c r="P296" s="9" t="str">
        <f aca="false">IF(OR(D296="",A296=""),"",IF(COUNTIFS(Revision_previa!$B:$B,D296,Revision_previa!$A:$A,"&gt;="&amp;A296,Revision_previa!$A:$A,"&lt;"&amp;(A296+1))=0,"Sin revisión",IF(COUNTIFS(Revision_previa!$B:$B,D296,Revision_previa!$A:$A,"&gt;="&amp;A296,Revision_previa!$A:$A,"&lt;"&amp;(A296+1),Revision_previa!$D:$D,"Falla")+COUNTIFS(Revision_previa!$B:$B,D296,Revision_previa!$A:$A,"&gt;="&amp;A296,Revision_previa!$A:$A,"&lt;"&amp;(A296+1),Revision_previa!$E:$E,"Falla")+COUNTIFS(Revision_previa!$B:$B,D296,Revision_previa!$A:$A,"&gt;="&amp;A296,Revision_previa!$A:$A,"&lt;"&amp;(A296+1),Revision_previa!$F:$F,"Falla")+COUNTIFS(Revision_previa!$B:$B,D296,Revision_previa!$A:$A,"&gt;="&amp;A296,Revision_previa!$A:$A,"&lt;"&amp;(A296+1),Revision_previa!$H:$H,"Encendido")&gt;0,"No apto","Apto")))</f>
        <v/>
      </c>
    </row>
    <row r="297" customFormat="false" ht="15" hidden="false" customHeight="false" outlineLevel="0" collapsed="false">
      <c r="A297" s="23"/>
      <c r="B297" s="9"/>
      <c r="C297" s="9"/>
      <c r="D297" s="9"/>
      <c r="E297" s="9" t="str">
        <f aca="false">IF(C297="","",IFERROR(INDEX(Conductores!$B:$B,MATCH(C297,Conductores!$A:$A,0)),"ID no encontrado"))</f>
        <v/>
      </c>
      <c r="F297" s="9" t="str">
        <f aca="false">IF(B297="","",IFERROR(INDEX(Rutas!$B:$B,MATCH(B297,Rutas!$A:$A,0)),"ID no encontrado"))</f>
        <v/>
      </c>
      <c r="G297" s="9" t="str">
        <f aca="false">IF(OR(B297="",C297="",D297=""),"",IF(OR(ISNA(MATCH(B297,Rutas!$A:$A,0)),ISNA(MATCH(C297,Conductores!$A:$A,0)),ISNA(MATCH(D297,Vehículos!$A:$A,0))),"REVISAR: ID no encontrado",IF(INDEX(Rutas!$C:$C,MATCH(B297,Rutas!$A:$A,0))&lt;&gt;INDEX(Vehículos!$B:$B,MATCH(D297,Vehículos!$A:$A,0)),"REVISAR: el vehículo no corresponde a la ruta",IF(INDEX(Rutas!$C:$C,MATCH(B297,Rutas!$A:$A,0))&lt;&gt;INDEX(Conductores!$D:$D,MATCH(C297,Conductores!$A:$A,0)),"REVISAR: el conductor no corresponde a la ruta",IF(OR(INDEX(Vehículos!$E:$E,MATCH(D297,Vehículos!$A:$A,0))="Taller",INDEX(Vehículos!$E:$E,MATCH(D297,Vehículos!$A:$A,0))="Fuera de servicio"),"REVISAR: vehículo no disponible",IF(INDEX(Conductores!$G:$G,MATCH(C297,Conductores!$A:$A,0))&lt;&gt;"Activo","REVISAR: conductor no activo",IF(COUNTIFS($A:$A,A297,$C:$C,C297)&gt;1,"REVISAR: conductor asignado dos veces",IF(COUNTIFS($A:$A,A297,$D:$D,D297)&gt;1,"REVISAR: vehículo asignado dos veces","OK"))))))))</f>
        <v/>
      </c>
      <c r="H297" s="9"/>
      <c r="I297" s="9"/>
      <c r="J297" s="14" t="str">
        <f aca="false">IF(OR(H297="",H297=0),"",I297/H297)</f>
        <v/>
      </c>
      <c r="K297" s="9"/>
      <c r="L297" s="9"/>
      <c r="M297" s="24"/>
      <c r="N297" s="9"/>
      <c r="O297" s="9" t="str">
        <f aca="false">IF(AND(OR(K297="En riesgo",K297="Atrasada"),L297=""),"Falta código de motivo",IF(AND(L297="OTR",N297=""),"Explica OTR en las notas",IF(AND(K297="Finalizada",I297&lt;H297,L297=""),"Falta código de motivo","")))</f>
        <v/>
      </c>
      <c r="P297" s="9" t="str">
        <f aca="false">IF(OR(D297="",A297=""),"",IF(COUNTIFS(Revision_previa!$B:$B,D297,Revision_previa!$A:$A,"&gt;="&amp;A297,Revision_previa!$A:$A,"&lt;"&amp;(A297+1))=0,"Sin revisión",IF(COUNTIFS(Revision_previa!$B:$B,D297,Revision_previa!$A:$A,"&gt;="&amp;A297,Revision_previa!$A:$A,"&lt;"&amp;(A297+1),Revision_previa!$D:$D,"Falla")+COUNTIFS(Revision_previa!$B:$B,D297,Revision_previa!$A:$A,"&gt;="&amp;A297,Revision_previa!$A:$A,"&lt;"&amp;(A297+1),Revision_previa!$E:$E,"Falla")+COUNTIFS(Revision_previa!$B:$B,D297,Revision_previa!$A:$A,"&gt;="&amp;A297,Revision_previa!$A:$A,"&lt;"&amp;(A297+1),Revision_previa!$F:$F,"Falla")+COUNTIFS(Revision_previa!$B:$B,D297,Revision_previa!$A:$A,"&gt;="&amp;A297,Revision_previa!$A:$A,"&lt;"&amp;(A297+1),Revision_previa!$H:$H,"Encendido")&gt;0,"No apto","Apto")))</f>
        <v/>
      </c>
    </row>
    <row r="298" customFormat="false" ht="15" hidden="false" customHeight="false" outlineLevel="0" collapsed="false">
      <c r="A298" s="23"/>
      <c r="B298" s="9"/>
      <c r="C298" s="9"/>
      <c r="D298" s="9"/>
      <c r="E298" s="9" t="str">
        <f aca="false">IF(C298="","",IFERROR(INDEX(Conductores!$B:$B,MATCH(C298,Conductores!$A:$A,0)),"ID no encontrado"))</f>
        <v/>
      </c>
      <c r="F298" s="9" t="str">
        <f aca="false">IF(B298="","",IFERROR(INDEX(Rutas!$B:$B,MATCH(B298,Rutas!$A:$A,0)),"ID no encontrado"))</f>
        <v/>
      </c>
      <c r="G298" s="9" t="str">
        <f aca="false">IF(OR(B298="",C298="",D298=""),"",IF(OR(ISNA(MATCH(B298,Rutas!$A:$A,0)),ISNA(MATCH(C298,Conductores!$A:$A,0)),ISNA(MATCH(D298,Vehículos!$A:$A,0))),"REVISAR: ID no encontrado",IF(INDEX(Rutas!$C:$C,MATCH(B298,Rutas!$A:$A,0))&lt;&gt;INDEX(Vehículos!$B:$B,MATCH(D298,Vehículos!$A:$A,0)),"REVISAR: el vehículo no corresponde a la ruta",IF(INDEX(Rutas!$C:$C,MATCH(B298,Rutas!$A:$A,0))&lt;&gt;INDEX(Conductores!$D:$D,MATCH(C298,Conductores!$A:$A,0)),"REVISAR: el conductor no corresponde a la ruta",IF(OR(INDEX(Vehículos!$E:$E,MATCH(D298,Vehículos!$A:$A,0))="Taller",INDEX(Vehículos!$E:$E,MATCH(D298,Vehículos!$A:$A,0))="Fuera de servicio"),"REVISAR: vehículo no disponible",IF(INDEX(Conductores!$G:$G,MATCH(C298,Conductores!$A:$A,0))&lt;&gt;"Activo","REVISAR: conductor no activo",IF(COUNTIFS($A:$A,A298,$C:$C,C298)&gt;1,"REVISAR: conductor asignado dos veces",IF(COUNTIFS($A:$A,A298,$D:$D,D298)&gt;1,"REVISAR: vehículo asignado dos veces","OK"))))))))</f>
        <v/>
      </c>
      <c r="H298" s="9"/>
      <c r="I298" s="9"/>
      <c r="J298" s="14" t="str">
        <f aca="false">IF(OR(H298="",H298=0),"",I298/H298)</f>
        <v/>
      </c>
      <c r="K298" s="9"/>
      <c r="L298" s="9"/>
      <c r="M298" s="24"/>
      <c r="N298" s="9"/>
      <c r="O298" s="9" t="str">
        <f aca="false">IF(AND(OR(K298="En riesgo",K298="Atrasada"),L298=""),"Falta código de motivo",IF(AND(L298="OTR",N298=""),"Explica OTR en las notas",IF(AND(K298="Finalizada",I298&lt;H298,L298=""),"Falta código de motivo","")))</f>
        <v/>
      </c>
      <c r="P298" s="9" t="str">
        <f aca="false">IF(OR(D298="",A298=""),"",IF(COUNTIFS(Revision_previa!$B:$B,D298,Revision_previa!$A:$A,"&gt;="&amp;A298,Revision_previa!$A:$A,"&lt;"&amp;(A298+1))=0,"Sin revisión",IF(COUNTIFS(Revision_previa!$B:$B,D298,Revision_previa!$A:$A,"&gt;="&amp;A298,Revision_previa!$A:$A,"&lt;"&amp;(A298+1),Revision_previa!$D:$D,"Falla")+COUNTIFS(Revision_previa!$B:$B,D298,Revision_previa!$A:$A,"&gt;="&amp;A298,Revision_previa!$A:$A,"&lt;"&amp;(A298+1),Revision_previa!$E:$E,"Falla")+COUNTIFS(Revision_previa!$B:$B,D298,Revision_previa!$A:$A,"&gt;="&amp;A298,Revision_previa!$A:$A,"&lt;"&amp;(A298+1),Revision_previa!$F:$F,"Falla")+COUNTIFS(Revision_previa!$B:$B,D298,Revision_previa!$A:$A,"&gt;="&amp;A298,Revision_previa!$A:$A,"&lt;"&amp;(A298+1),Revision_previa!$H:$H,"Encendido")&gt;0,"No apto","Apto")))</f>
        <v/>
      </c>
    </row>
    <row r="299" customFormat="false" ht="15" hidden="false" customHeight="false" outlineLevel="0" collapsed="false">
      <c r="A299" s="23"/>
      <c r="B299" s="9"/>
      <c r="C299" s="9"/>
      <c r="D299" s="9"/>
      <c r="E299" s="9" t="str">
        <f aca="false">IF(C299="","",IFERROR(INDEX(Conductores!$B:$B,MATCH(C299,Conductores!$A:$A,0)),"ID no encontrado"))</f>
        <v/>
      </c>
      <c r="F299" s="9" t="str">
        <f aca="false">IF(B299="","",IFERROR(INDEX(Rutas!$B:$B,MATCH(B299,Rutas!$A:$A,0)),"ID no encontrado"))</f>
        <v/>
      </c>
      <c r="G299" s="9" t="str">
        <f aca="false">IF(OR(B299="",C299="",D299=""),"",IF(OR(ISNA(MATCH(B299,Rutas!$A:$A,0)),ISNA(MATCH(C299,Conductores!$A:$A,0)),ISNA(MATCH(D299,Vehículos!$A:$A,0))),"REVISAR: ID no encontrado",IF(INDEX(Rutas!$C:$C,MATCH(B299,Rutas!$A:$A,0))&lt;&gt;INDEX(Vehículos!$B:$B,MATCH(D299,Vehículos!$A:$A,0)),"REVISAR: el vehículo no corresponde a la ruta",IF(INDEX(Rutas!$C:$C,MATCH(B299,Rutas!$A:$A,0))&lt;&gt;INDEX(Conductores!$D:$D,MATCH(C299,Conductores!$A:$A,0)),"REVISAR: el conductor no corresponde a la ruta",IF(OR(INDEX(Vehículos!$E:$E,MATCH(D299,Vehículos!$A:$A,0))="Taller",INDEX(Vehículos!$E:$E,MATCH(D299,Vehículos!$A:$A,0))="Fuera de servicio"),"REVISAR: vehículo no disponible",IF(INDEX(Conductores!$G:$G,MATCH(C299,Conductores!$A:$A,0))&lt;&gt;"Activo","REVISAR: conductor no activo",IF(COUNTIFS($A:$A,A299,$C:$C,C299)&gt;1,"REVISAR: conductor asignado dos veces",IF(COUNTIFS($A:$A,A299,$D:$D,D299)&gt;1,"REVISAR: vehículo asignado dos veces","OK"))))))))</f>
        <v/>
      </c>
      <c r="H299" s="9"/>
      <c r="I299" s="9"/>
      <c r="J299" s="14" t="str">
        <f aca="false">IF(OR(H299="",H299=0),"",I299/H299)</f>
        <v/>
      </c>
      <c r="K299" s="9"/>
      <c r="L299" s="9"/>
      <c r="M299" s="24"/>
      <c r="N299" s="9"/>
      <c r="O299" s="9" t="str">
        <f aca="false">IF(AND(OR(K299="En riesgo",K299="Atrasada"),L299=""),"Falta código de motivo",IF(AND(L299="OTR",N299=""),"Explica OTR en las notas",IF(AND(K299="Finalizada",I299&lt;H299,L299=""),"Falta código de motivo","")))</f>
        <v/>
      </c>
      <c r="P299" s="9" t="str">
        <f aca="false">IF(OR(D299="",A299=""),"",IF(COUNTIFS(Revision_previa!$B:$B,D299,Revision_previa!$A:$A,"&gt;="&amp;A299,Revision_previa!$A:$A,"&lt;"&amp;(A299+1))=0,"Sin revisión",IF(COUNTIFS(Revision_previa!$B:$B,D299,Revision_previa!$A:$A,"&gt;="&amp;A299,Revision_previa!$A:$A,"&lt;"&amp;(A299+1),Revision_previa!$D:$D,"Falla")+COUNTIFS(Revision_previa!$B:$B,D299,Revision_previa!$A:$A,"&gt;="&amp;A299,Revision_previa!$A:$A,"&lt;"&amp;(A299+1),Revision_previa!$E:$E,"Falla")+COUNTIFS(Revision_previa!$B:$B,D299,Revision_previa!$A:$A,"&gt;="&amp;A299,Revision_previa!$A:$A,"&lt;"&amp;(A299+1),Revision_previa!$F:$F,"Falla")+COUNTIFS(Revision_previa!$B:$B,D299,Revision_previa!$A:$A,"&gt;="&amp;A299,Revision_previa!$A:$A,"&lt;"&amp;(A299+1),Revision_previa!$H:$H,"Encendido")&gt;0,"No apto","Apto")))</f>
        <v/>
      </c>
    </row>
    <row r="300" customFormat="false" ht="15" hidden="false" customHeight="false" outlineLevel="0" collapsed="false">
      <c r="A300" s="23"/>
      <c r="B300" s="9"/>
      <c r="C300" s="9"/>
      <c r="D300" s="9"/>
      <c r="E300" s="9" t="str">
        <f aca="false">IF(C300="","",IFERROR(INDEX(Conductores!$B:$B,MATCH(C300,Conductores!$A:$A,0)),"ID no encontrado"))</f>
        <v/>
      </c>
      <c r="F300" s="9" t="str">
        <f aca="false">IF(B300="","",IFERROR(INDEX(Rutas!$B:$B,MATCH(B300,Rutas!$A:$A,0)),"ID no encontrado"))</f>
        <v/>
      </c>
      <c r="G300" s="9" t="str">
        <f aca="false">IF(OR(B300="",C300="",D300=""),"",IF(OR(ISNA(MATCH(B300,Rutas!$A:$A,0)),ISNA(MATCH(C300,Conductores!$A:$A,0)),ISNA(MATCH(D300,Vehículos!$A:$A,0))),"REVISAR: ID no encontrado",IF(INDEX(Rutas!$C:$C,MATCH(B300,Rutas!$A:$A,0))&lt;&gt;INDEX(Vehículos!$B:$B,MATCH(D300,Vehículos!$A:$A,0)),"REVISAR: el vehículo no corresponde a la ruta",IF(INDEX(Rutas!$C:$C,MATCH(B300,Rutas!$A:$A,0))&lt;&gt;INDEX(Conductores!$D:$D,MATCH(C300,Conductores!$A:$A,0)),"REVISAR: el conductor no corresponde a la ruta",IF(OR(INDEX(Vehículos!$E:$E,MATCH(D300,Vehículos!$A:$A,0))="Taller",INDEX(Vehículos!$E:$E,MATCH(D300,Vehículos!$A:$A,0))="Fuera de servicio"),"REVISAR: vehículo no disponible",IF(INDEX(Conductores!$G:$G,MATCH(C300,Conductores!$A:$A,0))&lt;&gt;"Activo","REVISAR: conductor no activo",IF(COUNTIFS($A:$A,A300,$C:$C,C300)&gt;1,"REVISAR: conductor asignado dos veces",IF(COUNTIFS($A:$A,A300,$D:$D,D300)&gt;1,"REVISAR: vehículo asignado dos veces","OK"))))))))</f>
        <v/>
      </c>
      <c r="H300" s="9"/>
      <c r="I300" s="9"/>
      <c r="J300" s="14" t="str">
        <f aca="false">IF(OR(H300="",H300=0),"",I300/H300)</f>
        <v/>
      </c>
      <c r="K300" s="9"/>
      <c r="L300" s="9"/>
      <c r="M300" s="24"/>
      <c r="N300" s="9"/>
      <c r="O300" s="9" t="str">
        <f aca="false">IF(AND(OR(K300="En riesgo",K300="Atrasada"),L300=""),"Falta código de motivo",IF(AND(L300="OTR",N300=""),"Explica OTR en las notas",IF(AND(K300="Finalizada",I300&lt;H300,L300=""),"Falta código de motivo","")))</f>
        <v/>
      </c>
      <c r="P300" s="9" t="str">
        <f aca="false">IF(OR(D300="",A300=""),"",IF(COUNTIFS(Revision_previa!$B:$B,D300,Revision_previa!$A:$A,"&gt;="&amp;A300,Revision_previa!$A:$A,"&lt;"&amp;(A300+1))=0,"Sin revisión",IF(COUNTIFS(Revision_previa!$B:$B,D300,Revision_previa!$A:$A,"&gt;="&amp;A300,Revision_previa!$A:$A,"&lt;"&amp;(A300+1),Revision_previa!$D:$D,"Falla")+COUNTIFS(Revision_previa!$B:$B,D300,Revision_previa!$A:$A,"&gt;="&amp;A300,Revision_previa!$A:$A,"&lt;"&amp;(A300+1),Revision_previa!$E:$E,"Falla")+COUNTIFS(Revision_previa!$B:$B,D300,Revision_previa!$A:$A,"&gt;="&amp;A300,Revision_previa!$A:$A,"&lt;"&amp;(A300+1),Revision_previa!$F:$F,"Falla")+COUNTIFS(Revision_previa!$B:$B,D300,Revision_previa!$A:$A,"&gt;="&amp;A300,Revision_previa!$A:$A,"&lt;"&amp;(A300+1),Revision_previa!$H:$H,"Encendido")&gt;0,"No apto","Apto")))</f>
        <v/>
      </c>
    </row>
    <row r="301" customFormat="false" ht="15" hidden="false" customHeight="false" outlineLevel="0" collapsed="false">
      <c r="A301" s="23"/>
      <c r="B301" s="9"/>
      <c r="C301" s="9"/>
      <c r="D301" s="9"/>
      <c r="E301" s="9" t="str">
        <f aca="false">IF(C301="","",IFERROR(INDEX(Conductores!$B:$B,MATCH(C301,Conductores!$A:$A,0)),"ID no encontrado"))</f>
        <v/>
      </c>
      <c r="F301" s="9" t="str">
        <f aca="false">IF(B301="","",IFERROR(INDEX(Rutas!$B:$B,MATCH(B301,Rutas!$A:$A,0)),"ID no encontrado"))</f>
        <v/>
      </c>
      <c r="G301" s="9" t="str">
        <f aca="false">IF(OR(B301="",C301="",D301=""),"",IF(OR(ISNA(MATCH(B301,Rutas!$A:$A,0)),ISNA(MATCH(C301,Conductores!$A:$A,0)),ISNA(MATCH(D301,Vehículos!$A:$A,0))),"REVISAR: ID no encontrado",IF(INDEX(Rutas!$C:$C,MATCH(B301,Rutas!$A:$A,0))&lt;&gt;INDEX(Vehículos!$B:$B,MATCH(D301,Vehículos!$A:$A,0)),"REVISAR: el vehículo no corresponde a la ruta",IF(INDEX(Rutas!$C:$C,MATCH(B301,Rutas!$A:$A,0))&lt;&gt;INDEX(Conductores!$D:$D,MATCH(C301,Conductores!$A:$A,0)),"REVISAR: el conductor no corresponde a la ruta",IF(OR(INDEX(Vehículos!$E:$E,MATCH(D301,Vehículos!$A:$A,0))="Taller",INDEX(Vehículos!$E:$E,MATCH(D301,Vehículos!$A:$A,0))="Fuera de servicio"),"REVISAR: vehículo no disponible",IF(INDEX(Conductores!$G:$G,MATCH(C301,Conductores!$A:$A,0))&lt;&gt;"Activo","REVISAR: conductor no activo",IF(COUNTIFS($A:$A,A301,$C:$C,C301)&gt;1,"REVISAR: conductor asignado dos veces",IF(COUNTIFS($A:$A,A301,$D:$D,D301)&gt;1,"REVISAR: vehículo asignado dos veces","OK"))))))))</f>
        <v/>
      </c>
      <c r="H301" s="9"/>
      <c r="I301" s="9"/>
      <c r="J301" s="14" t="str">
        <f aca="false">IF(OR(H301="",H301=0),"",I301/H301)</f>
        <v/>
      </c>
      <c r="K301" s="9"/>
      <c r="L301" s="9"/>
      <c r="M301" s="24"/>
      <c r="N301" s="9"/>
      <c r="O301" s="9" t="str">
        <f aca="false">IF(AND(OR(K301="En riesgo",K301="Atrasada"),L301=""),"Falta código de motivo",IF(AND(L301="OTR",N301=""),"Explica OTR en las notas",IF(AND(K301="Finalizada",I301&lt;H301,L301=""),"Falta código de motivo","")))</f>
        <v/>
      </c>
      <c r="P301" s="9" t="str">
        <f aca="false">IF(OR(D301="",A301=""),"",IF(COUNTIFS(Revision_previa!$B:$B,D301,Revision_previa!$A:$A,"&gt;="&amp;A301,Revision_previa!$A:$A,"&lt;"&amp;(A301+1))=0,"Sin revisión",IF(COUNTIFS(Revision_previa!$B:$B,D301,Revision_previa!$A:$A,"&gt;="&amp;A301,Revision_previa!$A:$A,"&lt;"&amp;(A301+1),Revision_previa!$D:$D,"Falla")+COUNTIFS(Revision_previa!$B:$B,D301,Revision_previa!$A:$A,"&gt;="&amp;A301,Revision_previa!$A:$A,"&lt;"&amp;(A301+1),Revision_previa!$E:$E,"Falla")+COUNTIFS(Revision_previa!$B:$B,D301,Revision_previa!$A:$A,"&gt;="&amp;A301,Revision_previa!$A:$A,"&lt;"&amp;(A301+1),Revision_previa!$F:$F,"Falla")+COUNTIFS(Revision_previa!$B:$B,D301,Revision_previa!$A:$A,"&gt;="&amp;A301,Revision_previa!$A:$A,"&lt;"&amp;(A301+1),Revision_previa!$H:$H,"Encendido")&gt;0,"No apto","Apto")))</f>
        <v/>
      </c>
    </row>
  </sheetData>
  <autoFilter ref="A1:P301"/>
  <conditionalFormatting sqref="K2:K301">
    <cfRule type="cellIs" priority="2" operator="equal" aboveAverage="0" equalAverage="0" bottom="0" percent="0" rank="0" text="" dxfId="10">
      <formula>"En tiempo"</formula>
    </cfRule>
    <cfRule type="cellIs" priority="3" operator="equal" aboveAverage="0" equalAverage="0" bottom="0" percent="0" rank="0" text="" dxfId="11">
      <formula>"En riesgo"</formula>
    </cfRule>
    <cfRule type="cellIs" priority="4" operator="equal" aboveAverage="0" equalAverage="0" bottom="0" percent="0" rank="0" text="" dxfId="12">
      <formula>"Atrasada"</formula>
    </cfRule>
    <cfRule type="cellIs" priority="5" operator="equal" aboveAverage="0" equalAverage="0" bottom="0" percent="0" rank="0" text="" dxfId="13">
      <formula>"Finalizada"</formula>
    </cfRule>
    <cfRule type="cellIs" priority="6" operator="equal" aboveAverage="0" equalAverage="0" bottom="0" percent="0" rank="0" text="" dxfId="13">
      <formula>"Cancelada"</formula>
    </cfRule>
  </conditionalFormatting>
  <conditionalFormatting sqref="G2:G301">
    <cfRule type="expression" priority="7" aboveAverage="0" equalAverage="0" bottom="0" percent="0" rank="0" text="" dxfId="14">
      <formula>LEFT(G2,7)="REVISAR"</formula>
    </cfRule>
  </conditionalFormatting>
  <conditionalFormatting sqref="O2:O301">
    <cfRule type="expression" priority="8" aboveAverage="0" equalAverage="0" bottom="0" percent="0" rank="0" text="" dxfId="14">
      <formula>O2&lt;&gt;""</formula>
    </cfRule>
  </conditionalFormatting>
  <conditionalFormatting sqref="P2:P301">
    <cfRule type="cellIs" priority="9" operator="equal" aboveAverage="0" equalAverage="0" bottom="0" percent="0" rank="0" text="" dxfId="15">
      <formula>"No apto"</formula>
    </cfRule>
    <cfRule type="cellIs" priority="10" operator="equal" aboveAverage="0" equalAverage="0" bottom="0" percent="0" rank="0" text="" dxfId="11">
      <formula>"Sin revisión"</formula>
    </cfRule>
  </conditionalFormatting>
  <dataValidations count="6">
    <dataValidation allowBlank="true" error="Escribe una fecha válida, por ejemplo 09/10/2026." errorStyle="stop" errorTitle="Falta una fecha" operator="greaterThan" showDropDown="false" showErrorMessage="true" showInputMessage="false" sqref="A2:A301" type="date">
      <formula1>36526</formula1>
      <formula2>0</formula2>
    </dataValidation>
    <dataValidation allowBlank="true" error="Usa un ID de ruta que exista en la pestaña Rutas." errorStyle="stop" errorTitle="Valor no permitido" operator="between" showDropDown="false" showErrorMessage="true" showInputMessage="false" sqref="B2:B301" type="list">
      <formula1>Rutas!$A$2:$A$301</formula1>
      <formula2>0</formula2>
    </dataValidation>
    <dataValidation allowBlank="true" error="Usa un ID de conductor que exista en la pestaña Conductores." errorStyle="stop" errorTitle="Valor no permitido" operator="between" showDropDown="false" showErrorMessage="true" showInputMessage="false" sqref="C2:C301" type="list">
      <formula1>Conductores!$A$2:$A$301</formula1>
      <formula2>0</formula2>
    </dataValidation>
    <dataValidation allowBlank="true" error="Usa un ID de vehículo que exista en la pestaña Vehículos." errorStyle="stop" errorTitle="Valor no permitido" operator="between" showDropDown="false" showErrorMessage="true" showInputMessage="false" sqref="D2:D301" type="list">
      <formula1>Vehículos!$A$2:$A$301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K2:K301" type="list">
      <formula1>Listas!$G$2:$G$7</formula1>
      <formula2>0</formula2>
    </dataValidation>
    <dataValidation allowBlank="true" error="Elige un código de motivo de la pestaña Listas." errorStyle="stop" errorTitle="Valor no permitido" operator="between" showDropDown="false" showErrorMessage="true" showInputMessage="false" sqref="L2:L301" type="list">
      <formula1>Listas!$O$2:$O$13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42"/>
    <col collapsed="false" customWidth="true" hidden="false" outlineLevel="0" max="11" min="11" style="0" width="17"/>
    <col collapsed="false" customWidth="true" hidden="false" outlineLevel="0" max="12" min="12" style="0" width="11"/>
  </cols>
  <sheetData>
    <row r="1" customFormat="false" ht="31.5" hidden="false" customHeight="true" outlineLevel="0" collapsed="false">
      <c r="A1" s="17" t="s">
        <v>168</v>
      </c>
      <c r="B1" s="17" t="s">
        <v>132</v>
      </c>
      <c r="C1" s="17" t="s">
        <v>169</v>
      </c>
      <c r="D1" s="17" t="s">
        <v>133</v>
      </c>
      <c r="E1" s="17" t="s">
        <v>134</v>
      </c>
      <c r="F1" s="17" t="s">
        <v>143</v>
      </c>
      <c r="G1" s="18" t="s">
        <v>170</v>
      </c>
      <c r="H1" s="17" t="s">
        <v>171</v>
      </c>
      <c r="I1" s="17" t="s">
        <v>172</v>
      </c>
      <c r="J1" s="17" t="s">
        <v>173</v>
      </c>
      <c r="K1" s="17" t="s">
        <v>174</v>
      </c>
      <c r="L1" s="17" t="s">
        <v>175</v>
      </c>
    </row>
    <row r="2" customFormat="false" ht="23.85" hidden="false" customHeight="false" outlineLevel="0" collapsed="false">
      <c r="A2" s="20" t="s">
        <v>176</v>
      </c>
      <c r="B2" s="19" t="n">
        <v>46304</v>
      </c>
      <c r="C2" s="22" t="n">
        <v>0.486111111111111</v>
      </c>
      <c r="D2" s="20" t="s">
        <v>157</v>
      </c>
      <c r="E2" s="20" t="s">
        <v>158</v>
      </c>
      <c r="F2" s="20" t="s">
        <v>161</v>
      </c>
      <c r="G2" s="20" t="str">
        <f aca="false">IF(F2="","",IFERROR(INDEX(Listas!$P$2:$P$13,MATCH(F2,Listas!$O$2:$O$13,0)),"Código desconocido"))</f>
        <v>Tráfico o cierre de vía</v>
      </c>
      <c r="H2" s="20" t="s">
        <v>177</v>
      </c>
      <c r="I2" s="25" t="s">
        <v>178</v>
      </c>
      <c r="J2" s="25" t="s">
        <v>179</v>
      </c>
      <c r="K2" s="20" t="s">
        <v>180</v>
      </c>
      <c r="L2" s="20" t="s">
        <v>181</v>
      </c>
    </row>
    <row r="3" customFormat="false" ht="15" hidden="false" customHeight="false" outlineLevel="0" collapsed="false">
      <c r="A3" s="9"/>
      <c r="B3" s="23"/>
      <c r="C3" s="24"/>
      <c r="D3" s="9"/>
      <c r="E3" s="9"/>
      <c r="F3" s="9"/>
      <c r="G3" s="9" t="str">
        <f aca="false">IF(F3="","",IFERROR(INDEX(Listas!$P$2:$P$13,MATCH(F3,Listas!$O$2:$O$13,0)),"Código desconocido"))</f>
        <v/>
      </c>
      <c r="H3" s="9"/>
      <c r="I3" s="26"/>
      <c r="J3" s="26"/>
      <c r="K3" s="9"/>
      <c r="L3" s="9"/>
    </row>
    <row r="4" customFormat="false" ht="15" hidden="false" customHeight="false" outlineLevel="0" collapsed="false">
      <c r="A4" s="9"/>
      <c r="B4" s="23"/>
      <c r="C4" s="24"/>
      <c r="D4" s="9"/>
      <c r="E4" s="9"/>
      <c r="F4" s="9"/>
      <c r="G4" s="9" t="str">
        <f aca="false">IF(F4="","",IFERROR(INDEX(Listas!$P$2:$P$13,MATCH(F4,Listas!$O$2:$O$13,0)),"Código desconocido"))</f>
        <v/>
      </c>
      <c r="H4" s="9"/>
      <c r="I4" s="26"/>
      <c r="J4" s="26"/>
      <c r="K4" s="9"/>
      <c r="L4" s="9"/>
    </row>
    <row r="5" customFormat="false" ht="15" hidden="false" customHeight="false" outlineLevel="0" collapsed="false">
      <c r="A5" s="9"/>
      <c r="B5" s="23"/>
      <c r="C5" s="24"/>
      <c r="D5" s="9"/>
      <c r="E5" s="9"/>
      <c r="F5" s="9"/>
      <c r="G5" s="9" t="str">
        <f aca="false">IF(F5="","",IFERROR(INDEX(Listas!$P$2:$P$13,MATCH(F5,Listas!$O$2:$O$13,0)),"Código desconocido"))</f>
        <v/>
      </c>
      <c r="H5" s="9"/>
      <c r="I5" s="26"/>
      <c r="J5" s="26"/>
      <c r="K5" s="9"/>
      <c r="L5" s="9"/>
    </row>
    <row r="6" customFormat="false" ht="15" hidden="false" customHeight="false" outlineLevel="0" collapsed="false">
      <c r="A6" s="9"/>
      <c r="B6" s="23"/>
      <c r="C6" s="24"/>
      <c r="D6" s="9"/>
      <c r="E6" s="9"/>
      <c r="F6" s="9"/>
      <c r="G6" s="9" t="str">
        <f aca="false">IF(F6="","",IFERROR(INDEX(Listas!$P$2:$P$13,MATCH(F6,Listas!$O$2:$O$13,0)),"Código desconocido"))</f>
        <v/>
      </c>
      <c r="H6" s="9"/>
      <c r="I6" s="26"/>
      <c r="J6" s="26"/>
      <c r="K6" s="9"/>
      <c r="L6" s="9"/>
    </row>
    <row r="7" customFormat="false" ht="15" hidden="false" customHeight="false" outlineLevel="0" collapsed="false">
      <c r="A7" s="9"/>
      <c r="B7" s="23"/>
      <c r="C7" s="24"/>
      <c r="D7" s="9"/>
      <c r="E7" s="9"/>
      <c r="F7" s="9"/>
      <c r="G7" s="9" t="str">
        <f aca="false">IF(F7="","",IFERROR(INDEX(Listas!$P$2:$P$13,MATCH(F7,Listas!$O$2:$O$13,0)),"Código desconocido"))</f>
        <v/>
      </c>
      <c r="H7" s="9"/>
      <c r="I7" s="26"/>
      <c r="J7" s="26"/>
      <c r="K7" s="9"/>
      <c r="L7" s="9"/>
    </row>
    <row r="8" customFormat="false" ht="15" hidden="false" customHeight="false" outlineLevel="0" collapsed="false">
      <c r="A8" s="9"/>
      <c r="B8" s="23"/>
      <c r="C8" s="24"/>
      <c r="D8" s="9"/>
      <c r="E8" s="9"/>
      <c r="F8" s="9"/>
      <c r="G8" s="9" t="str">
        <f aca="false">IF(F8="","",IFERROR(INDEX(Listas!$P$2:$P$13,MATCH(F8,Listas!$O$2:$O$13,0)),"Código desconocido"))</f>
        <v/>
      </c>
      <c r="H8" s="9"/>
      <c r="I8" s="26"/>
      <c r="J8" s="26"/>
      <c r="K8" s="9"/>
      <c r="L8" s="9"/>
    </row>
    <row r="9" customFormat="false" ht="15" hidden="false" customHeight="false" outlineLevel="0" collapsed="false">
      <c r="A9" s="9"/>
      <c r="B9" s="23"/>
      <c r="C9" s="24"/>
      <c r="D9" s="9"/>
      <c r="E9" s="9"/>
      <c r="F9" s="9"/>
      <c r="G9" s="9" t="str">
        <f aca="false">IF(F9="","",IFERROR(INDEX(Listas!$P$2:$P$13,MATCH(F9,Listas!$O$2:$O$13,0)),"Código desconocido"))</f>
        <v/>
      </c>
      <c r="H9" s="9"/>
      <c r="I9" s="26"/>
      <c r="J9" s="26"/>
      <c r="K9" s="9"/>
      <c r="L9" s="9"/>
    </row>
    <row r="10" customFormat="false" ht="15" hidden="false" customHeight="false" outlineLevel="0" collapsed="false">
      <c r="A10" s="9"/>
      <c r="B10" s="23"/>
      <c r="C10" s="24"/>
      <c r="D10" s="9"/>
      <c r="E10" s="9"/>
      <c r="F10" s="9"/>
      <c r="G10" s="9" t="str">
        <f aca="false">IF(F10="","",IFERROR(INDEX(Listas!$P$2:$P$13,MATCH(F10,Listas!$O$2:$O$13,0)),"Código desconocido"))</f>
        <v/>
      </c>
      <c r="H10" s="9"/>
      <c r="I10" s="26"/>
      <c r="J10" s="26"/>
      <c r="K10" s="9"/>
      <c r="L10" s="9"/>
    </row>
    <row r="11" customFormat="false" ht="15" hidden="false" customHeight="false" outlineLevel="0" collapsed="false">
      <c r="A11" s="9"/>
      <c r="B11" s="23"/>
      <c r="C11" s="24"/>
      <c r="D11" s="9"/>
      <c r="E11" s="9"/>
      <c r="F11" s="9"/>
      <c r="G11" s="9" t="str">
        <f aca="false">IF(F11="","",IFERROR(INDEX(Listas!$P$2:$P$13,MATCH(F11,Listas!$O$2:$O$13,0)),"Código desconocido"))</f>
        <v/>
      </c>
      <c r="H11" s="9"/>
      <c r="I11" s="26"/>
      <c r="J11" s="26"/>
      <c r="K11" s="9"/>
      <c r="L11" s="9"/>
    </row>
    <row r="12" customFormat="false" ht="15" hidden="false" customHeight="false" outlineLevel="0" collapsed="false">
      <c r="A12" s="9"/>
      <c r="B12" s="23"/>
      <c r="C12" s="24"/>
      <c r="D12" s="9"/>
      <c r="E12" s="9"/>
      <c r="F12" s="9"/>
      <c r="G12" s="9" t="str">
        <f aca="false">IF(F12="","",IFERROR(INDEX(Listas!$P$2:$P$13,MATCH(F12,Listas!$O$2:$O$13,0)),"Código desconocido"))</f>
        <v/>
      </c>
      <c r="H12" s="9"/>
      <c r="I12" s="26"/>
      <c r="J12" s="26"/>
      <c r="K12" s="9"/>
      <c r="L12" s="9"/>
    </row>
    <row r="13" customFormat="false" ht="15" hidden="false" customHeight="false" outlineLevel="0" collapsed="false">
      <c r="A13" s="9"/>
      <c r="B13" s="23"/>
      <c r="C13" s="24"/>
      <c r="D13" s="9"/>
      <c r="E13" s="9"/>
      <c r="F13" s="9"/>
      <c r="G13" s="9" t="str">
        <f aca="false">IF(F13="","",IFERROR(INDEX(Listas!$P$2:$P$13,MATCH(F13,Listas!$O$2:$O$13,0)),"Código desconocido"))</f>
        <v/>
      </c>
      <c r="H13" s="9"/>
      <c r="I13" s="26"/>
      <c r="J13" s="26"/>
      <c r="K13" s="9"/>
      <c r="L13" s="9"/>
    </row>
    <row r="14" customFormat="false" ht="15" hidden="false" customHeight="false" outlineLevel="0" collapsed="false">
      <c r="A14" s="9"/>
      <c r="B14" s="23"/>
      <c r="C14" s="24"/>
      <c r="D14" s="9"/>
      <c r="E14" s="9"/>
      <c r="F14" s="9"/>
      <c r="G14" s="9" t="str">
        <f aca="false">IF(F14="","",IFERROR(INDEX(Listas!$P$2:$P$13,MATCH(F14,Listas!$O$2:$O$13,0)),"Código desconocido"))</f>
        <v/>
      </c>
      <c r="H14" s="9"/>
      <c r="I14" s="26"/>
      <c r="J14" s="26"/>
      <c r="K14" s="9"/>
      <c r="L14" s="9"/>
    </row>
    <row r="15" customFormat="false" ht="15" hidden="false" customHeight="false" outlineLevel="0" collapsed="false">
      <c r="A15" s="9"/>
      <c r="B15" s="23"/>
      <c r="C15" s="24"/>
      <c r="D15" s="9"/>
      <c r="E15" s="9"/>
      <c r="F15" s="9"/>
      <c r="G15" s="9" t="str">
        <f aca="false">IF(F15="","",IFERROR(INDEX(Listas!$P$2:$P$13,MATCH(F15,Listas!$O$2:$O$13,0)),"Código desconocido"))</f>
        <v/>
      </c>
      <c r="H15" s="9"/>
      <c r="I15" s="26"/>
      <c r="J15" s="26"/>
      <c r="K15" s="9"/>
      <c r="L15" s="9"/>
    </row>
    <row r="16" customFormat="false" ht="15" hidden="false" customHeight="false" outlineLevel="0" collapsed="false">
      <c r="A16" s="9"/>
      <c r="B16" s="23"/>
      <c r="C16" s="24"/>
      <c r="D16" s="9"/>
      <c r="E16" s="9"/>
      <c r="F16" s="9"/>
      <c r="G16" s="9" t="str">
        <f aca="false">IF(F16="","",IFERROR(INDEX(Listas!$P$2:$P$13,MATCH(F16,Listas!$O$2:$O$13,0)),"Código desconocido"))</f>
        <v/>
      </c>
      <c r="H16" s="9"/>
      <c r="I16" s="26"/>
      <c r="J16" s="26"/>
      <c r="K16" s="9"/>
      <c r="L16" s="9"/>
    </row>
    <row r="17" customFormat="false" ht="15" hidden="false" customHeight="false" outlineLevel="0" collapsed="false">
      <c r="A17" s="9"/>
      <c r="B17" s="23"/>
      <c r="C17" s="24"/>
      <c r="D17" s="9"/>
      <c r="E17" s="9"/>
      <c r="F17" s="9"/>
      <c r="G17" s="9" t="str">
        <f aca="false">IF(F17="","",IFERROR(INDEX(Listas!$P$2:$P$13,MATCH(F17,Listas!$O$2:$O$13,0)),"Código desconocido"))</f>
        <v/>
      </c>
      <c r="H17" s="9"/>
      <c r="I17" s="26"/>
      <c r="J17" s="26"/>
      <c r="K17" s="9"/>
      <c r="L17" s="9"/>
    </row>
    <row r="18" customFormat="false" ht="15" hidden="false" customHeight="false" outlineLevel="0" collapsed="false">
      <c r="A18" s="9"/>
      <c r="B18" s="23"/>
      <c r="C18" s="24"/>
      <c r="D18" s="9"/>
      <c r="E18" s="9"/>
      <c r="F18" s="9"/>
      <c r="G18" s="9" t="str">
        <f aca="false">IF(F18="","",IFERROR(INDEX(Listas!$P$2:$P$13,MATCH(F18,Listas!$O$2:$O$13,0)),"Código desconocido"))</f>
        <v/>
      </c>
      <c r="H18" s="9"/>
      <c r="I18" s="26"/>
      <c r="J18" s="26"/>
      <c r="K18" s="9"/>
      <c r="L18" s="9"/>
    </row>
    <row r="19" customFormat="false" ht="15" hidden="false" customHeight="false" outlineLevel="0" collapsed="false">
      <c r="A19" s="9"/>
      <c r="B19" s="23"/>
      <c r="C19" s="24"/>
      <c r="D19" s="9"/>
      <c r="E19" s="9"/>
      <c r="F19" s="9"/>
      <c r="G19" s="9" t="str">
        <f aca="false">IF(F19="","",IFERROR(INDEX(Listas!$P$2:$P$13,MATCH(F19,Listas!$O$2:$O$13,0)),"Código desconocido"))</f>
        <v/>
      </c>
      <c r="H19" s="9"/>
      <c r="I19" s="26"/>
      <c r="J19" s="26"/>
      <c r="K19" s="9"/>
      <c r="L19" s="9"/>
    </row>
    <row r="20" customFormat="false" ht="15" hidden="false" customHeight="false" outlineLevel="0" collapsed="false">
      <c r="A20" s="9"/>
      <c r="B20" s="23"/>
      <c r="C20" s="24"/>
      <c r="D20" s="9"/>
      <c r="E20" s="9"/>
      <c r="F20" s="9"/>
      <c r="G20" s="9" t="str">
        <f aca="false">IF(F20="","",IFERROR(INDEX(Listas!$P$2:$P$13,MATCH(F20,Listas!$O$2:$O$13,0)),"Código desconocido"))</f>
        <v/>
      </c>
      <c r="H20" s="9"/>
      <c r="I20" s="26"/>
      <c r="J20" s="26"/>
      <c r="K20" s="9"/>
      <c r="L20" s="9"/>
    </row>
    <row r="21" customFormat="false" ht="15" hidden="false" customHeight="false" outlineLevel="0" collapsed="false">
      <c r="A21" s="9"/>
      <c r="B21" s="23"/>
      <c r="C21" s="24"/>
      <c r="D21" s="9"/>
      <c r="E21" s="9"/>
      <c r="F21" s="9"/>
      <c r="G21" s="9" t="str">
        <f aca="false">IF(F21="","",IFERROR(INDEX(Listas!$P$2:$P$13,MATCH(F21,Listas!$O$2:$O$13,0)),"Código desconocido"))</f>
        <v/>
      </c>
      <c r="H21" s="9"/>
      <c r="I21" s="26"/>
      <c r="J21" s="26"/>
      <c r="K21" s="9"/>
      <c r="L21" s="9"/>
    </row>
    <row r="22" customFormat="false" ht="15" hidden="false" customHeight="false" outlineLevel="0" collapsed="false">
      <c r="A22" s="9"/>
      <c r="B22" s="23"/>
      <c r="C22" s="24"/>
      <c r="D22" s="9"/>
      <c r="E22" s="9"/>
      <c r="F22" s="9"/>
      <c r="G22" s="9" t="str">
        <f aca="false">IF(F22="","",IFERROR(INDEX(Listas!$P$2:$P$13,MATCH(F22,Listas!$O$2:$O$13,0)),"Código desconocido"))</f>
        <v/>
      </c>
      <c r="H22" s="9"/>
      <c r="I22" s="26"/>
      <c r="J22" s="26"/>
      <c r="K22" s="9"/>
      <c r="L22" s="9"/>
    </row>
    <row r="23" customFormat="false" ht="15" hidden="false" customHeight="false" outlineLevel="0" collapsed="false">
      <c r="A23" s="9"/>
      <c r="B23" s="23"/>
      <c r="C23" s="24"/>
      <c r="D23" s="9"/>
      <c r="E23" s="9"/>
      <c r="F23" s="9"/>
      <c r="G23" s="9" t="str">
        <f aca="false">IF(F23="","",IFERROR(INDEX(Listas!$P$2:$P$13,MATCH(F23,Listas!$O$2:$O$13,0)),"Código desconocido"))</f>
        <v/>
      </c>
      <c r="H23" s="9"/>
      <c r="I23" s="26"/>
      <c r="J23" s="26"/>
      <c r="K23" s="9"/>
      <c r="L23" s="9"/>
    </row>
    <row r="24" customFormat="false" ht="15" hidden="false" customHeight="false" outlineLevel="0" collapsed="false">
      <c r="A24" s="9"/>
      <c r="B24" s="23"/>
      <c r="C24" s="24"/>
      <c r="D24" s="9"/>
      <c r="E24" s="9"/>
      <c r="F24" s="9"/>
      <c r="G24" s="9" t="str">
        <f aca="false">IF(F24="","",IFERROR(INDEX(Listas!$P$2:$P$13,MATCH(F24,Listas!$O$2:$O$13,0)),"Código desconocido"))</f>
        <v/>
      </c>
      <c r="H24" s="9"/>
      <c r="I24" s="26"/>
      <c r="J24" s="26"/>
      <c r="K24" s="9"/>
      <c r="L24" s="9"/>
    </row>
    <row r="25" customFormat="false" ht="15" hidden="false" customHeight="false" outlineLevel="0" collapsed="false">
      <c r="A25" s="9"/>
      <c r="B25" s="23"/>
      <c r="C25" s="24"/>
      <c r="D25" s="9"/>
      <c r="E25" s="9"/>
      <c r="F25" s="9"/>
      <c r="G25" s="9" t="str">
        <f aca="false">IF(F25="","",IFERROR(INDEX(Listas!$P$2:$P$13,MATCH(F25,Listas!$O$2:$O$13,0)),"Código desconocido"))</f>
        <v/>
      </c>
      <c r="H25" s="9"/>
      <c r="I25" s="26"/>
      <c r="J25" s="26"/>
      <c r="K25" s="9"/>
      <c r="L25" s="9"/>
    </row>
    <row r="26" customFormat="false" ht="15" hidden="false" customHeight="false" outlineLevel="0" collapsed="false">
      <c r="A26" s="9"/>
      <c r="B26" s="23"/>
      <c r="C26" s="24"/>
      <c r="D26" s="9"/>
      <c r="E26" s="9"/>
      <c r="F26" s="9"/>
      <c r="G26" s="9" t="str">
        <f aca="false">IF(F26="","",IFERROR(INDEX(Listas!$P$2:$P$13,MATCH(F26,Listas!$O$2:$O$13,0)),"Código desconocido"))</f>
        <v/>
      </c>
      <c r="H26" s="9"/>
      <c r="I26" s="26"/>
      <c r="J26" s="26"/>
      <c r="K26" s="9"/>
      <c r="L26" s="9"/>
    </row>
    <row r="27" customFormat="false" ht="15" hidden="false" customHeight="false" outlineLevel="0" collapsed="false">
      <c r="A27" s="9"/>
      <c r="B27" s="23"/>
      <c r="C27" s="24"/>
      <c r="D27" s="9"/>
      <c r="E27" s="9"/>
      <c r="F27" s="9"/>
      <c r="G27" s="9" t="str">
        <f aca="false">IF(F27="","",IFERROR(INDEX(Listas!$P$2:$P$13,MATCH(F27,Listas!$O$2:$O$13,0)),"Código desconocido"))</f>
        <v/>
      </c>
      <c r="H27" s="9"/>
      <c r="I27" s="26"/>
      <c r="J27" s="26"/>
      <c r="K27" s="9"/>
      <c r="L27" s="9"/>
    </row>
    <row r="28" customFormat="false" ht="15" hidden="false" customHeight="false" outlineLevel="0" collapsed="false">
      <c r="A28" s="9"/>
      <c r="B28" s="23"/>
      <c r="C28" s="24"/>
      <c r="D28" s="9"/>
      <c r="E28" s="9"/>
      <c r="F28" s="9"/>
      <c r="G28" s="9" t="str">
        <f aca="false">IF(F28="","",IFERROR(INDEX(Listas!$P$2:$P$13,MATCH(F28,Listas!$O$2:$O$13,0)),"Código desconocido"))</f>
        <v/>
      </c>
      <c r="H28" s="9"/>
      <c r="I28" s="26"/>
      <c r="J28" s="26"/>
      <c r="K28" s="9"/>
      <c r="L28" s="9"/>
    </row>
    <row r="29" customFormat="false" ht="15" hidden="false" customHeight="false" outlineLevel="0" collapsed="false">
      <c r="A29" s="9"/>
      <c r="B29" s="23"/>
      <c r="C29" s="24"/>
      <c r="D29" s="9"/>
      <c r="E29" s="9"/>
      <c r="F29" s="9"/>
      <c r="G29" s="9" t="str">
        <f aca="false">IF(F29="","",IFERROR(INDEX(Listas!$P$2:$P$13,MATCH(F29,Listas!$O$2:$O$13,0)),"Código desconocido"))</f>
        <v/>
      </c>
      <c r="H29" s="9"/>
      <c r="I29" s="26"/>
      <c r="J29" s="26"/>
      <c r="K29" s="9"/>
      <c r="L29" s="9"/>
    </row>
    <row r="30" customFormat="false" ht="15" hidden="false" customHeight="false" outlineLevel="0" collapsed="false">
      <c r="A30" s="9"/>
      <c r="B30" s="23"/>
      <c r="C30" s="24"/>
      <c r="D30" s="9"/>
      <c r="E30" s="9"/>
      <c r="F30" s="9"/>
      <c r="G30" s="9" t="str">
        <f aca="false">IF(F30="","",IFERROR(INDEX(Listas!$P$2:$P$13,MATCH(F30,Listas!$O$2:$O$13,0)),"Código desconocido"))</f>
        <v/>
      </c>
      <c r="H30" s="9"/>
      <c r="I30" s="26"/>
      <c r="J30" s="26"/>
      <c r="K30" s="9"/>
      <c r="L30" s="9"/>
    </row>
    <row r="31" customFormat="false" ht="15" hidden="false" customHeight="false" outlineLevel="0" collapsed="false">
      <c r="A31" s="9"/>
      <c r="B31" s="23"/>
      <c r="C31" s="24"/>
      <c r="D31" s="9"/>
      <c r="E31" s="9"/>
      <c r="F31" s="9"/>
      <c r="G31" s="9" t="str">
        <f aca="false">IF(F31="","",IFERROR(INDEX(Listas!$P$2:$P$13,MATCH(F31,Listas!$O$2:$O$13,0)),"Código desconocido"))</f>
        <v/>
      </c>
      <c r="H31" s="9"/>
      <c r="I31" s="26"/>
      <c r="J31" s="26"/>
      <c r="K31" s="9"/>
      <c r="L31" s="9"/>
    </row>
    <row r="32" customFormat="false" ht="15" hidden="false" customHeight="false" outlineLevel="0" collapsed="false">
      <c r="A32" s="9"/>
      <c r="B32" s="23"/>
      <c r="C32" s="24"/>
      <c r="D32" s="9"/>
      <c r="E32" s="9"/>
      <c r="F32" s="9"/>
      <c r="G32" s="9" t="str">
        <f aca="false">IF(F32="","",IFERROR(INDEX(Listas!$P$2:$P$13,MATCH(F32,Listas!$O$2:$O$13,0)),"Código desconocido"))</f>
        <v/>
      </c>
      <c r="H32" s="9"/>
      <c r="I32" s="26"/>
      <c r="J32" s="26"/>
      <c r="K32" s="9"/>
      <c r="L32" s="9"/>
    </row>
    <row r="33" customFormat="false" ht="15" hidden="false" customHeight="false" outlineLevel="0" collapsed="false">
      <c r="A33" s="9"/>
      <c r="B33" s="23"/>
      <c r="C33" s="24"/>
      <c r="D33" s="9"/>
      <c r="E33" s="9"/>
      <c r="F33" s="9"/>
      <c r="G33" s="9" t="str">
        <f aca="false">IF(F33="","",IFERROR(INDEX(Listas!$P$2:$P$13,MATCH(F33,Listas!$O$2:$O$13,0)),"Código desconocido"))</f>
        <v/>
      </c>
      <c r="H33" s="9"/>
      <c r="I33" s="26"/>
      <c r="J33" s="26"/>
      <c r="K33" s="9"/>
      <c r="L33" s="9"/>
    </row>
    <row r="34" customFormat="false" ht="15" hidden="false" customHeight="false" outlineLevel="0" collapsed="false">
      <c r="A34" s="9"/>
      <c r="B34" s="23"/>
      <c r="C34" s="24"/>
      <c r="D34" s="9"/>
      <c r="E34" s="9"/>
      <c r="F34" s="9"/>
      <c r="G34" s="9" t="str">
        <f aca="false">IF(F34="","",IFERROR(INDEX(Listas!$P$2:$P$13,MATCH(F34,Listas!$O$2:$O$13,0)),"Código desconocido"))</f>
        <v/>
      </c>
      <c r="H34" s="9"/>
      <c r="I34" s="26"/>
      <c r="J34" s="26"/>
      <c r="K34" s="9"/>
      <c r="L34" s="9"/>
    </row>
    <row r="35" customFormat="false" ht="15" hidden="false" customHeight="false" outlineLevel="0" collapsed="false">
      <c r="A35" s="9"/>
      <c r="B35" s="23"/>
      <c r="C35" s="24"/>
      <c r="D35" s="9"/>
      <c r="E35" s="9"/>
      <c r="F35" s="9"/>
      <c r="G35" s="9" t="str">
        <f aca="false">IF(F35="","",IFERROR(INDEX(Listas!$P$2:$P$13,MATCH(F35,Listas!$O$2:$O$13,0)),"Código desconocido"))</f>
        <v/>
      </c>
      <c r="H35" s="9"/>
      <c r="I35" s="26"/>
      <c r="J35" s="26"/>
      <c r="K35" s="9"/>
      <c r="L35" s="9"/>
    </row>
    <row r="36" customFormat="false" ht="15" hidden="false" customHeight="false" outlineLevel="0" collapsed="false">
      <c r="A36" s="9"/>
      <c r="B36" s="23"/>
      <c r="C36" s="24"/>
      <c r="D36" s="9"/>
      <c r="E36" s="9"/>
      <c r="F36" s="9"/>
      <c r="G36" s="9" t="str">
        <f aca="false">IF(F36="","",IFERROR(INDEX(Listas!$P$2:$P$13,MATCH(F36,Listas!$O$2:$O$13,0)),"Código desconocido"))</f>
        <v/>
      </c>
      <c r="H36" s="9"/>
      <c r="I36" s="26"/>
      <c r="J36" s="26"/>
      <c r="K36" s="9"/>
      <c r="L36" s="9"/>
    </row>
    <row r="37" customFormat="false" ht="15" hidden="false" customHeight="false" outlineLevel="0" collapsed="false">
      <c r="A37" s="9"/>
      <c r="B37" s="23"/>
      <c r="C37" s="24"/>
      <c r="D37" s="9"/>
      <c r="E37" s="9"/>
      <c r="F37" s="9"/>
      <c r="G37" s="9" t="str">
        <f aca="false">IF(F37="","",IFERROR(INDEX(Listas!$P$2:$P$13,MATCH(F37,Listas!$O$2:$O$13,0)),"Código desconocido"))</f>
        <v/>
      </c>
      <c r="H37" s="9"/>
      <c r="I37" s="26"/>
      <c r="J37" s="26"/>
      <c r="K37" s="9"/>
      <c r="L37" s="9"/>
    </row>
    <row r="38" customFormat="false" ht="15" hidden="false" customHeight="false" outlineLevel="0" collapsed="false">
      <c r="A38" s="9"/>
      <c r="B38" s="23"/>
      <c r="C38" s="24"/>
      <c r="D38" s="9"/>
      <c r="E38" s="9"/>
      <c r="F38" s="9"/>
      <c r="G38" s="9" t="str">
        <f aca="false">IF(F38="","",IFERROR(INDEX(Listas!$P$2:$P$13,MATCH(F38,Listas!$O$2:$O$13,0)),"Código desconocido"))</f>
        <v/>
      </c>
      <c r="H38" s="9"/>
      <c r="I38" s="26"/>
      <c r="J38" s="26"/>
      <c r="K38" s="9"/>
      <c r="L38" s="9"/>
    </row>
    <row r="39" customFormat="false" ht="15" hidden="false" customHeight="false" outlineLevel="0" collapsed="false">
      <c r="A39" s="9"/>
      <c r="B39" s="23"/>
      <c r="C39" s="24"/>
      <c r="D39" s="9"/>
      <c r="E39" s="9"/>
      <c r="F39" s="9"/>
      <c r="G39" s="9" t="str">
        <f aca="false">IF(F39="","",IFERROR(INDEX(Listas!$P$2:$P$13,MATCH(F39,Listas!$O$2:$O$13,0)),"Código desconocido"))</f>
        <v/>
      </c>
      <c r="H39" s="9"/>
      <c r="I39" s="26"/>
      <c r="J39" s="26"/>
      <c r="K39" s="9"/>
      <c r="L39" s="9"/>
    </row>
    <row r="40" customFormat="false" ht="15" hidden="false" customHeight="false" outlineLevel="0" collapsed="false">
      <c r="A40" s="9"/>
      <c r="B40" s="23"/>
      <c r="C40" s="24"/>
      <c r="D40" s="9"/>
      <c r="E40" s="9"/>
      <c r="F40" s="9"/>
      <c r="G40" s="9" t="str">
        <f aca="false">IF(F40="","",IFERROR(INDEX(Listas!$P$2:$P$13,MATCH(F40,Listas!$O$2:$O$13,0)),"Código desconocido"))</f>
        <v/>
      </c>
      <c r="H40" s="9"/>
      <c r="I40" s="26"/>
      <c r="J40" s="26"/>
      <c r="K40" s="9"/>
      <c r="L40" s="9"/>
    </row>
    <row r="41" customFormat="false" ht="15" hidden="false" customHeight="false" outlineLevel="0" collapsed="false">
      <c r="A41" s="9"/>
      <c r="B41" s="23"/>
      <c r="C41" s="24"/>
      <c r="D41" s="9"/>
      <c r="E41" s="9"/>
      <c r="F41" s="9"/>
      <c r="G41" s="9" t="str">
        <f aca="false">IF(F41="","",IFERROR(INDEX(Listas!$P$2:$P$13,MATCH(F41,Listas!$O$2:$O$13,0)),"Código desconocido"))</f>
        <v/>
      </c>
      <c r="H41" s="9"/>
      <c r="I41" s="26"/>
      <c r="J41" s="26"/>
      <c r="K41" s="9"/>
      <c r="L41" s="9"/>
    </row>
    <row r="42" customFormat="false" ht="15" hidden="false" customHeight="false" outlineLevel="0" collapsed="false">
      <c r="A42" s="9"/>
      <c r="B42" s="23"/>
      <c r="C42" s="24"/>
      <c r="D42" s="9"/>
      <c r="E42" s="9"/>
      <c r="F42" s="9"/>
      <c r="G42" s="9" t="str">
        <f aca="false">IF(F42="","",IFERROR(INDEX(Listas!$P$2:$P$13,MATCH(F42,Listas!$O$2:$O$13,0)),"Código desconocido"))</f>
        <v/>
      </c>
      <c r="H42" s="9"/>
      <c r="I42" s="26"/>
      <c r="J42" s="26"/>
      <c r="K42" s="9"/>
      <c r="L42" s="9"/>
    </row>
    <row r="43" customFormat="false" ht="15" hidden="false" customHeight="false" outlineLevel="0" collapsed="false">
      <c r="A43" s="9"/>
      <c r="B43" s="23"/>
      <c r="C43" s="24"/>
      <c r="D43" s="9"/>
      <c r="E43" s="9"/>
      <c r="F43" s="9"/>
      <c r="G43" s="9" t="str">
        <f aca="false">IF(F43="","",IFERROR(INDEX(Listas!$P$2:$P$13,MATCH(F43,Listas!$O$2:$O$13,0)),"Código desconocido"))</f>
        <v/>
      </c>
      <c r="H43" s="9"/>
      <c r="I43" s="26"/>
      <c r="J43" s="26"/>
      <c r="K43" s="9"/>
      <c r="L43" s="9"/>
    </row>
    <row r="44" customFormat="false" ht="15" hidden="false" customHeight="false" outlineLevel="0" collapsed="false">
      <c r="A44" s="9"/>
      <c r="B44" s="23"/>
      <c r="C44" s="24"/>
      <c r="D44" s="9"/>
      <c r="E44" s="9"/>
      <c r="F44" s="9"/>
      <c r="G44" s="9" t="str">
        <f aca="false">IF(F44="","",IFERROR(INDEX(Listas!$P$2:$P$13,MATCH(F44,Listas!$O$2:$O$13,0)),"Código desconocido"))</f>
        <v/>
      </c>
      <c r="H44" s="9"/>
      <c r="I44" s="26"/>
      <c r="J44" s="26"/>
      <c r="K44" s="9"/>
      <c r="L44" s="9"/>
    </row>
    <row r="45" customFormat="false" ht="15" hidden="false" customHeight="false" outlineLevel="0" collapsed="false">
      <c r="A45" s="9"/>
      <c r="B45" s="23"/>
      <c r="C45" s="24"/>
      <c r="D45" s="9"/>
      <c r="E45" s="9"/>
      <c r="F45" s="9"/>
      <c r="G45" s="9" t="str">
        <f aca="false">IF(F45="","",IFERROR(INDEX(Listas!$P$2:$P$13,MATCH(F45,Listas!$O$2:$O$13,0)),"Código desconocido"))</f>
        <v/>
      </c>
      <c r="H45" s="9"/>
      <c r="I45" s="26"/>
      <c r="J45" s="26"/>
      <c r="K45" s="9"/>
      <c r="L45" s="9"/>
    </row>
    <row r="46" customFormat="false" ht="15" hidden="false" customHeight="false" outlineLevel="0" collapsed="false">
      <c r="A46" s="9"/>
      <c r="B46" s="23"/>
      <c r="C46" s="24"/>
      <c r="D46" s="9"/>
      <c r="E46" s="9"/>
      <c r="F46" s="9"/>
      <c r="G46" s="9" t="str">
        <f aca="false">IF(F46="","",IFERROR(INDEX(Listas!$P$2:$P$13,MATCH(F46,Listas!$O$2:$O$13,0)),"Código desconocido"))</f>
        <v/>
      </c>
      <c r="H46" s="9"/>
      <c r="I46" s="26"/>
      <c r="J46" s="26"/>
      <c r="K46" s="9"/>
      <c r="L46" s="9"/>
    </row>
    <row r="47" customFormat="false" ht="15" hidden="false" customHeight="false" outlineLevel="0" collapsed="false">
      <c r="A47" s="9"/>
      <c r="B47" s="23"/>
      <c r="C47" s="24"/>
      <c r="D47" s="9"/>
      <c r="E47" s="9"/>
      <c r="F47" s="9"/>
      <c r="G47" s="9" t="str">
        <f aca="false">IF(F47="","",IFERROR(INDEX(Listas!$P$2:$P$13,MATCH(F47,Listas!$O$2:$O$13,0)),"Código desconocido"))</f>
        <v/>
      </c>
      <c r="H47" s="9"/>
      <c r="I47" s="26"/>
      <c r="J47" s="26"/>
      <c r="K47" s="9"/>
      <c r="L47" s="9"/>
    </row>
    <row r="48" customFormat="false" ht="15" hidden="false" customHeight="false" outlineLevel="0" collapsed="false">
      <c r="A48" s="9"/>
      <c r="B48" s="23"/>
      <c r="C48" s="24"/>
      <c r="D48" s="9"/>
      <c r="E48" s="9"/>
      <c r="F48" s="9"/>
      <c r="G48" s="9" t="str">
        <f aca="false">IF(F48="","",IFERROR(INDEX(Listas!$P$2:$P$13,MATCH(F48,Listas!$O$2:$O$13,0)),"Código desconocido"))</f>
        <v/>
      </c>
      <c r="H48" s="9"/>
      <c r="I48" s="26"/>
      <c r="J48" s="26"/>
      <c r="K48" s="9"/>
      <c r="L48" s="9"/>
    </row>
    <row r="49" customFormat="false" ht="15" hidden="false" customHeight="false" outlineLevel="0" collapsed="false">
      <c r="A49" s="9"/>
      <c r="B49" s="23"/>
      <c r="C49" s="24"/>
      <c r="D49" s="9"/>
      <c r="E49" s="9"/>
      <c r="F49" s="9"/>
      <c r="G49" s="9" t="str">
        <f aca="false">IF(F49="","",IFERROR(INDEX(Listas!$P$2:$P$13,MATCH(F49,Listas!$O$2:$O$13,0)),"Código desconocido"))</f>
        <v/>
      </c>
      <c r="H49" s="9"/>
      <c r="I49" s="26"/>
      <c r="J49" s="26"/>
      <c r="K49" s="9"/>
      <c r="L49" s="9"/>
    </row>
    <row r="50" customFormat="false" ht="15" hidden="false" customHeight="false" outlineLevel="0" collapsed="false">
      <c r="A50" s="9"/>
      <c r="B50" s="23"/>
      <c r="C50" s="24"/>
      <c r="D50" s="9"/>
      <c r="E50" s="9"/>
      <c r="F50" s="9"/>
      <c r="G50" s="9" t="str">
        <f aca="false">IF(F50="","",IFERROR(INDEX(Listas!$P$2:$P$13,MATCH(F50,Listas!$O$2:$O$13,0)),"Código desconocido"))</f>
        <v/>
      </c>
      <c r="H50" s="9"/>
      <c r="I50" s="26"/>
      <c r="J50" s="26"/>
      <c r="K50" s="9"/>
      <c r="L50" s="9"/>
    </row>
    <row r="51" customFormat="false" ht="15" hidden="false" customHeight="false" outlineLevel="0" collapsed="false">
      <c r="A51" s="9"/>
      <c r="B51" s="23"/>
      <c r="C51" s="24"/>
      <c r="D51" s="9"/>
      <c r="E51" s="9"/>
      <c r="F51" s="9"/>
      <c r="G51" s="9" t="str">
        <f aca="false">IF(F51="","",IFERROR(INDEX(Listas!$P$2:$P$13,MATCH(F51,Listas!$O$2:$O$13,0)),"Código desconocido"))</f>
        <v/>
      </c>
      <c r="H51" s="9"/>
      <c r="I51" s="26"/>
      <c r="J51" s="26"/>
      <c r="K51" s="9"/>
      <c r="L51" s="9"/>
    </row>
    <row r="52" customFormat="false" ht="15" hidden="false" customHeight="false" outlineLevel="0" collapsed="false">
      <c r="A52" s="9"/>
      <c r="B52" s="23"/>
      <c r="C52" s="24"/>
      <c r="D52" s="9"/>
      <c r="E52" s="9"/>
      <c r="F52" s="9"/>
      <c r="G52" s="9" t="str">
        <f aca="false">IF(F52="","",IFERROR(INDEX(Listas!$P$2:$P$13,MATCH(F52,Listas!$O$2:$O$13,0)),"Código desconocido"))</f>
        <v/>
      </c>
      <c r="H52" s="9"/>
      <c r="I52" s="26"/>
      <c r="J52" s="26"/>
      <c r="K52" s="9"/>
      <c r="L52" s="9"/>
    </row>
    <row r="53" customFormat="false" ht="15" hidden="false" customHeight="false" outlineLevel="0" collapsed="false">
      <c r="A53" s="9"/>
      <c r="B53" s="23"/>
      <c r="C53" s="24"/>
      <c r="D53" s="9"/>
      <c r="E53" s="9"/>
      <c r="F53" s="9"/>
      <c r="G53" s="9" t="str">
        <f aca="false">IF(F53="","",IFERROR(INDEX(Listas!$P$2:$P$13,MATCH(F53,Listas!$O$2:$O$13,0)),"Código desconocido"))</f>
        <v/>
      </c>
      <c r="H53" s="9"/>
      <c r="I53" s="26"/>
      <c r="J53" s="26"/>
      <c r="K53" s="9"/>
      <c r="L53" s="9"/>
    </row>
    <row r="54" customFormat="false" ht="15" hidden="false" customHeight="false" outlineLevel="0" collapsed="false">
      <c r="A54" s="9"/>
      <c r="B54" s="23"/>
      <c r="C54" s="24"/>
      <c r="D54" s="9"/>
      <c r="E54" s="9"/>
      <c r="F54" s="9"/>
      <c r="G54" s="9" t="str">
        <f aca="false">IF(F54="","",IFERROR(INDEX(Listas!$P$2:$P$13,MATCH(F54,Listas!$O$2:$O$13,0)),"Código desconocido"))</f>
        <v/>
      </c>
      <c r="H54" s="9"/>
      <c r="I54" s="26"/>
      <c r="J54" s="26"/>
      <c r="K54" s="9"/>
      <c r="L54" s="9"/>
    </row>
    <row r="55" customFormat="false" ht="15" hidden="false" customHeight="false" outlineLevel="0" collapsed="false">
      <c r="A55" s="9"/>
      <c r="B55" s="23"/>
      <c r="C55" s="24"/>
      <c r="D55" s="9"/>
      <c r="E55" s="9"/>
      <c r="F55" s="9"/>
      <c r="G55" s="9" t="str">
        <f aca="false">IF(F55="","",IFERROR(INDEX(Listas!$P$2:$P$13,MATCH(F55,Listas!$O$2:$O$13,0)),"Código desconocido"))</f>
        <v/>
      </c>
      <c r="H55" s="9"/>
      <c r="I55" s="26"/>
      <c r="J55" s="26"/>
      <c r="K55" s="9"/>
      <c r="L55" s="9"/>
    </row>
    <row r="56" customFormat="false" ht="15" hidden="false" customHeight="false" outlineLevel="0" collapsed="false">
      <c r="A56" s="9"/>
      <c r="B56" s="23"/>
      <c r="C56" s="24"/>
      <c r="D56" s="9"/>
      <c r="E56" s="9"/>
      <c r="F56" s="9"/>
      <c r="G56" s="9" t="str">
        <f aca="false">IF(F56="","",IFERROR(INDEX(Listas!$P$2:$P$13,MATCH(F56,Listas!$O$2:$O$13,0)),"Código desconocido"))</f>
        <v/>
      </c>
      <c r="H56" s="9"/>
      <c r="I56" s="26"/>
      <c r="J56" s="26"/>
      <c r="K56" s="9"/>
      <c r="L56" s="9"/>
    </row>
    <row r="57" customFormat="false" ht="15" hidden="false" customHeight="false" outlineLevel="0" collapsed="false">
      <c r="A57" s="9"/>
      <c r="B57" s="23"/>
      <c r="C57" s="24"/>
      <c r="D57" s="9"/>
      <c r="E57" s="9"/>
      <c r="F57" s="9"/>
      <c r="G57" s="9" t="str">
        <f aca="false">IF(F57="","",IFERROR(INDEX(Listas!$P$2:$P$13,MATCH(F57,Listas!$O$2:$O$13,0)),"Código desconocido"))</f>
        <v/>
      </c>
      <c r="H57" s="9"/>
      <c r="I57" s="26"/>
      <c r="J57" s="26"/>
      <c r="K57" s="9"/>
      <c r="L57" s="9"/>
    </row>
    <row r="58" customFormat="false" ht="15" hidden="false" customHeight="false" outlineLevel="0" collapsed="false">
      <c r="A58" s="9"/>
      <c r="B58" s="23"/>
      <c r="C58" s="24"/>
      <c r="D58" s="9"/>
      <c r="E58" s="9"/>
      <c r="F58" s="9"/>
      <c r="G58" s="9" t="str">
        <f aca="false">IF(F58="","",IFERROR(INDEX(Listas!$P$2:$P$13,MATCH(F58,Listas!$O$2:$O$13,0)),"Código desconocido"))</f>
        <v/>
      </c>
      <c r="H58" s="9"/>
      <c r="I58" s="26"/>
      <c r="J58" s="26"/>
      <c r="K58" s="9"/>
      <c r="L58" s="9"/>
    </row>
    <row r="59" customFormat="false" ht="15" hidden="false" customHeight="false" outlineLevel="0" collapsed="false">
      <c r="A59" s="9"/>
      <c r="B59" s="23"/>
      <c r="C59" s="24"/>
      <c r="D59" s="9"/>
      <c r="E59" s="9"/>
      <c r="F59" s="9"/>
      <c r="G59" s="9" t="str">
        <f aca="false">IF(F59="","",IFERROR(INDEX(Listas!$P$2:$P$13,MATCH(F59,Listas!$O$2:$O$13,0)),"Código desconocido"))</f>
        <v/>
      </c>
      <c r="H59" s="9"/>
      <c r="I59" s="26"/>
      <c r="J59" s="26"/>
      <c r="K59" s="9"/>
      <c r="L59" s="9"/>
    </row>
    <row r="60" customFormat="false" ht="15" hidden="false" customHeight="false" outlineLevel="0" collapsed="false">
      <c r="A60" s="9"/>
      <c r="B60" s="23"/>
      <c r="C60" s="24"/>
      <c r="D60" s="9"/>
      <c r="E60" s="9"/>
      <c r="F60" s="9"/>
      <c r="G60" s="9" t="str">
        <f aca="false">IF(F60="","",IFERROR(INDEX(Listas!$P$2:$P$13,MATCH(F60,Listas!$O$2:$O$13,0)),"Código desconocido"))</f>
        <v/>
      </c>
      <c r="H60" s="9"/>
      <c r="I60" s="26"/>
      <c r="J60" s="26"/>
      <c r="K60" s="9"/>
      <c r="L60" s="9"/>
    </row>
    <row r="61" customFormat="false" ht="15" hidden="false" customHeight="false" outlineLevel="0" collapsed="false">
      <c r="A61" s="9"/>
      <c r="B61" s="23"/>
      <c r="C61" s="24"/>
      <c r="D61" s="9"/>
      <c r="E61" s="9"/>
      <c r="F61" s="9"/>
      <c r="G61" s="9" t="str">
        <f aca="false">IF(F61="","",IFERROR(INDEX(Listas!$P$2:$P$13,MATCH(F61,Listas!$O$2:$O$13,0)),"Código desconocido"))</f>
        <v/>
      </c>
      <c r="H61" s="9"/>
      <c r="I61" s="26"/>
      <c r="J61" s="26"/>
      <c r="K61" s="9"/>
      <c r="L61" s="9"/>
    </row>
    <row r="62" customFormat="false" ht="15" hidden="false" customHeight="false" outlineLevel="0" collapsed="false">
      <c r="A62" s="9"/>
      <c r="B62" s="23"/>
      <c r="C62" s="24"/>
      <c r="D62" s="9"/>
      <c r="E62" s="9"/>
      <c r="F62" s="9"/>
      <c r="G62" s="9" t="str">
        <f aca="false">IF(F62="","",IFERROR(INDEX(Listas!$P$2:$P$13,MATCH(F62,Listas!$O$2:$O$13,0)),"Código desconocido"))</f>
        <v/>
      </c>
      <c r="H62" s="9"/>
      <c r="I62" s="26"/>
      <c r="J62" s="26"/>
      <c r="K62" s="9"/>
      <c r="L62" s="9"/>
    </row>
    <row r="63" customFormat="false" ht="15" hidden="false" customHeight="false" outlineLevel="0" collapsed="false">
      <c r="A63" s="9"/>
      <c r="B63" s="23"/>
      <c r="C63" s="24"/>
      <c r="D63" s="9"/>
      <c r="E63" s="9"/>
      <c r="F63" s="9"/>
      <c r="G63" s="9" t="str">
        <f aca="false">IF(F63="","",IFERROR(INDEX(Listas!$P$2:$P$13,MATCH(F63,Listas!$O$2:$O$13,0)),"Código desconocido"))</f>
        <v/>
      </c>
      <c r="H63" s="9"/>
      <c r="I63" s="26"/>
      <c r="J63" s="26"/>
      <c r="K63" s="9"/>
      <c r="L63" s="9"/>
    </row>
    <row r="64" customFormat="false" ht="15" hidden="false" customHeight="false" outlineLevel="0" collapsed="false">
      <c r="A64" s="9"/>
      <c r="B64" s="23"/>
      <c r="C64" s="24"/>
      <c r="D64" s="9"/>
      <c r="E64" s="9"/>
      <c r="F64" s="9"/>
      <c r="G64" s="9" t="str">
        <f aca="false">IF(F64="","",IFERROR(INDEX(Listas!$P$2:$P$13,MATCH(F64,Listas!$O$2:$O$13,0)),"Código desconocido"))</f>
        <v/>
      </c>
      <c r="H64" s="9"/>
      <c r="I64" s="26"/>
      <c r="J64" s="26"/>
      <c r="K64" s="9"/>
      <c r="L64" s="9"/>
    </row>
    <row r="65" customFormat="false" ht="15" hidden="false" customHeight="false" outlineLevel="0" collapsed="false">
      <c r="A65" s="9"/>
      <c r="B65" s="23"/>
      <c r="C65" s="24"/>
      <c r="D65" s="9"/>
      <c r="E65" s="9"/>
      <c r="F65" s="9"/>
      <c r="G65" s="9" t="str">
        <f aca="false">IF(F65="","",IFERROR(INDEX(Listas!$P$2:$P$13,MATCH(F65,Listas!$O$2:$O$13,0)),"Código desconocido"))</f>
        <v/>
      </c>
      <c r="H65" s="9"/>
      <c r="I65" s="26"/>
      <c r="J65" s="26"/>
      <c r="K65" s="9"/>
      <c r="L65" s="9"/>
    </row>
    <row r="66" customFormat="false" ht="15" hidden="false" customHeight="false" outlineLevel="0" collapsed="false">
      <c r="A66" s="9"/>
      <c r="B66" s="23"/>
      <c r="C66" s="24"/>
      <c r="D66" s="9"/>
      <c r="E66" s="9"/>
      <c r="F66" s="9"/>
      <c r="G66" s="9" t="str">
        <f aca="false">IF(F66="","",IFERROR(INDEX(Listas!$P$2:$P$13,MATCH(F66,Listas!$O$2:$O$13,0)),"Código desconocido"))</f>
        <v/>
      </c>
      <c r="H66" s="9"/>
      <c r="I66" s="26"/>
      <c r="J66" s="26"/>
      <c r="K66" s="9"/>
      <c r="L66" s="9"/>
    </row>
    <row r="67" customFormat="false" ht="15" hidden="false" customHeight="false" outlineLevel="0" collapsed="false">
      <c r="A67" s="9"/>
      <c r="B67" s="23"/>
      <c r="C67" s="24"/>
      <c r="D67" s="9"/>
      <c r="E67" s="9"/>
      <c r="F67" s="9"/>
      <c r="G67" s="9" t="str">
        <f aca="false">IF(F67="","",IFERROR(INDEX(Listas!$P$2:$P$13,MATCH(F67,Listas!$O$2:$O$13,0)),"Código desconocido"))</f>
        <v/>
      </c>
      <c r="H67" s="9"/>
      <c r="I67" s="26"/>
      <c r="J67" s="26"/>
      <c r="K67" s="9"/>
      <c r="L67" s="9"/>
    </row>
    <row r="68" customFormat="false" ht="15" hidden="false" customHeight="false" outlineLevel="0" collapsed="false">
      <c r="A68" s="9"/>
      <c r="B68" s="23"/>
      <c r="C68" s="24"/>
      <c r="D68" s="9"/>
      <c r="E68" s="9"/>
      <c r="F68" s="9"/>
      <c r="G68" s="9" t="str">
        <f aca="false">IF(F68="","",IFERROR(INDEX(Listas!$P$2:$P$13,MATCH(F68,Listas!$O$2:$O$13,0)),"Código desconocido"))</f>
        <v/>
      </c>
      <c r="H68" s="9"/>
      <c r="I68" s="26"/>
      <c r="J68" s="26"/>
      <c r="K68" s="9"/>
      <c r="L68" s="9"/>
    </row>
    <row r="69" customFormat="false" ht="15" hidden="false" customHeight="false" outlineLevel="0" collapsed="false">
      <c r="A69" s="9"/>
      <c r="B69" s="23"/>
      <c r="C69" s="24"/>
      <c r="D69" s="9"/>
      <c r="E69" s="9"/>
      <c r="F69" s="9"/>
      <c r="G69" s="9" t="str">
        <f aca="false">IF(F69="","",IFERROR(INDEX(Listas!$P$2:$P$13,MATCH(F69,Listas!$O$2:$O$13,0)),"Código desconocido"))</f>
        <v/>
      </c>
      <c r="H69" s="9"/>
      <c r="I69" s="26"/>
      <c r="J69" s="26"/>
      <c r="K69" s="9"/>
      <c r="L69" s="9"/>
    </row>
    <row r="70" customFormat="false" ht="15" hidden="false" customHeight="false" outlineLevel="0" collapsed="false">
      <c r="A70" s="9"/>
      <c r="B70" s="23"/>
      <c r="C70" s="24"/>
      <c r="D70" s="9"/>
      <c r="E70" s="9"/>
      <c r="F70" s="9"/>
      <c r="G70" s="9" t="str">
        <f aca="false">IF(F70="","",IFERROR(INDEX(Listas!$P$2:$P$13,MATCH(F70,Listas!$O$2:$O$13,0)),"Código desconocido"))</f>
        <v/>
      </c>
      <c r="H70" s="9"/>
      <c r="I70" s="26"/>
      <c r="J70" s="26"/>
      <c r="K70" s="9"/>
      <c r="L70" s="9"/>
    </row>
    <row r="71" customFormat="false" ht="15" hidden="false" customHeight="false" outlineLevel="0" collapsed="false">
      <c r="A71" s="9"/>
      <c r="B71" s="23"/>
      <c r="C71" s="24"/>
      <c r="D71" s="9"/>
      <c r="E71" s="9"/>
      <c r="F71" s="9"/>
      <c r="G71" s="9" t="str">
        <f aca="false">IF(F71="","",IFERROR(INDEX(Listas!$P$2:$P$13,MATCH(F71,Listas!$O$2:$O$13,0)),"Código desconocido"))</f>
        <v/>
      </c>
      <c r="H71" s="9"/>
      <c r="I71" s="26"/>
      <c r="J71" s="26"/>
      <c r="K71" s="9"/>
      <c r="L71" s="9"/>
    </row>
    <row r="72" customFormat="false" ht="15" hidden="false" customHeight="false" outlineLevel="0" collapsed="false">
      <c r="A72" s="9"/>
      <c r="B72" s="23"/>
      <c r="C72" s="24"/>
      <c r="D72" s="9"/>
      <c r="E72" s="9"/>
      <c r="F72" s="9"/>
      <c r="G72" s="9" t="str">
        <f aca="false">IF(F72="","",IFERROR(INDEX(Listas!$P$2:$P$13,MATCH(F72,Listas!$O$2:$O$13,0)),"Código desconocido"))</f>
        <v/>
      </c>
      <c r="H72" s="9"/>
      <c r="I72" s="26"/>
      <c r="J72" s="26"/>
      <c r="K72" s="9"/>
      <c r="L72" s="9"/>
    </row>
    <row r="73" customFormat="false" ht="15" hidden="false" customHeight="false" outlineLevel="0" collapsed="false">
      <c r="A73" s="9"/>
      <c r="B73" s="23"/>
      <c r="C73" s="24"/>
      <c r="D73" s="9"/>
      <c r="E73" s="9"/>
      <c r="F73" s="9"/>
      <c r="G73" s="9" t="str">
        <f aca="false">IF(F73="","",IFERROR(INDEX(Listas!$P$2:$P$13,MATCH(F73,Listas!$O$2:$O$13,0)),"Código desconocido"))</f>
        <v/>
      </c>
      <c r="H73" s="9"/>
      <c r="I73" s="26"/>
      <c r="J73" s="26"/>
      <c r="K73" s="9"/>
      <c r="L73" s="9"/>
    </row>
    <row r="74" customFormat="false" ht="15" hidden="false" customHeight="false" outlineLevel="0" collapsed="false">
      <c r="A74" s="9"/>
      <c r="B74" s="23"/>
      <c r="C74" s="24"/>
      <c r="D74" s="9"/>
      <c r="E74" s="9"/>
      <c r="F74" s="9"/>
      <c r="G74" s="9" t="str">
        <f aca="false">IF(F74="","",IFERROR(INDEX(Listas!$P$2:$P$13,MATCH(F74,Listas!$O$2:$O$13,0)),"Código desconocido"))</f>
        <v/>
      </c>
      <c r="H74" s="9"/>
      <c r="I74" s="26"/>
      <c r="J74" s="26"/>
      <c r="K74" s="9"/>
      <c r="L74" s="9"/>
    </row>
    <row r="75" customFormat="false" ht="15" hidden="false" customHeight="false" outlineLevel="0" collapsed="false">
      <c r="A75" s="9"/>
      <c r="B75" s="23"/>
      <c r="C75" s="24"/>
      <c r="D75" s="9"/>
      <c r="E75" s="9"/>
      <c r="F75" s="9"/>
      <c r="G75" s="9" t="str">
        <f aca="false">IF(F75="","",IFERROR(INDEX(Listas!$P$2:$P$13,MATCH(F75,Listas!$O$2:$O$13,0)),"Código desconocido"))</f>
        <v/>
      </c>
      <c r="H75" s="9"/>
      <c r="I75" s="26"/>
      <c r="J75" s="26"/>
      <c r="K75" s="9"/>
      <c r="L75" s="9"/>
    </row>
    <row r="76" customFormat="false" ht="15" hidden="false" customHeight="false" outlineLevel="0" collapsed="false">
      <c r="A76" s="9"/>
      <c r="B76" s="23"/>
      <c r="C76" s="24"/>
      <c r="D76" s="9"/>
      <c r="E76" s="9"/>
      <c r="F76" s="9"/>
      <c r="G76" s="9" t="str">
        <f aca="false">IF(F76="","",IFERROR(INDEX(Listas!$P$2:$P$13,MATCH(F76,Listas!$O$2:$O$13,0)),"Código desconocido"))</f>
        <v/>
      </c>
      <c r="H76" s="9"/>
      <c r="I76" s="26"/>
      <c r="J76" s="26"/>
      <c r="K76" s="9"/>
      <c r="L76" s="9"/>
    </row>
    <row r="77" customFormat="false" ht="15" hidden="false" customHeight="false" outlineLevel="0" collapsed="false">
      <c r="A77" s="9"/>
      <c r="B77" s="23"/>
      <c r="C77" s="24"/>
      <c r="D77" s="9"/>
      <c r="E77" s="9"/>
      <c r="F77" s="9"/>
      <c r="G77" s="9" t="str">
        <f aca="false">IF(F77="","",IFERROR(INDEX(Listas!$P$2:$P$13,MATCH(F77,Listas!$O$2:$O$13,0)),"Código desconocido"))</f>
        <v/>
      </c>
      <c r="H77" s="9"/>
      <c r="I77" s="26"/>
      <c r="J77" s="26"/>
      <c r="K77" s="9"/>
      <c r="L77" s="9"/>
    </row>
    <row r="78" customFormat="false" ht="15" hidden="false" customHeight="false" outlineLevel="0" collapsed="false">
      <c r="A78" s="9"/>
      <c r="B78" s="23"/>
      <c r="C78" s="24"/>
      <c r="D78" s="9"/>
      <c r="E78" s="9"/>
      <c r="F78" s="9"/>
      <c r="G78" s="9" t="str">
        <f aca="false">IF(F78="","",IFERROR(INDEX(Listas!$P$2:$P$13,MATCH(F78,Listas!$O$2:$O$13,0)),"Código desconocido"))</f>
        <v/>
      </c>
      <c r="H78" s="9"/>
      <c r="I78" s="26"/>
      <c r="J78" s="26"/>
      <c r="K78" s="9"/>
      <c r="L78" s="9"/>
    </row>
    <row r="79" customFormat="false" ht="15" hidden="false" customHeight="false" outlineLevel="0" collapsed="false">
      <c r="A79" s="9"/>
      <c r="B79" s="23"/>
      <c r="C79" s="24"/>
      <c r="D79" s="9"/>
      <c r="E79" s="9"/>
      <c r="F79" s="9"/>
      <c r="G79" s="9" t="str">
        <f aca="false">IF(F79="","",IFERROR(INDEX(Listas!$P$2:$P$13,MATCH(F79,Listas!$O$2:$O$13,0)),"Código desconocido"))</f>
        <v/>
      </c>
      <c r="H79" s="9"/>
      <c r="I79" s="26"/>
      <c r="J79" s="26"/>
      <c r="K79" s="9"/>
      <c r="L79" s="9"/>
    </row>
    <row r="80" customFormat="false" ht="15" hidden="false" customHeight="false" outlineLevel="0" collapsed="false">
      <c r="A80" s="9"/>
      <c r="B80" s="23"/>
      <c r="C80" s="24"/>
      <c r="D80" s="9"/>
      <c r="E80" s="9"/>
      <c r="F80" s="9"/>
      <c r="G80" s="9" t="str">
        <f aca="false">IF(F80="","",IFERROR(INDEX(Listas!$P$2:$P$13,MATCH(F80,Listas!$O$2:$O$13,0)),"Código desconocido"))</f>
        <v/>
      </c>
      <c r="H80" s="9"/>
      <c r="I80" s="26"/>
      <c r="J80" s="26"/>
      <c r="K80" s="9"/>
      <c r="L80" s="9"/>
    </row>
    <row r="81" customFormat="false" ht="15" hidden="false" customHeight="false" outlineLevel="0" collapsed="false">
      <c r="A81" s="9"/>
      <c r="B81" s="23"/>
      <c r="C81" s="24"/>
      <c r="D81" s="9"/>
      <c r="E81" s="9"/>
      <c r="F81" s="9"/>
      <c r="G81" s="9" t="str">
        <f aca="false">IF(F81="","",IFERROR(INDEX(Listas!$P$2:$P$13,MATCH(F81,Listas!$O$2:$O$13,0)),"Código desconocido"))</f>
        <v/>
      </c>
      <c r="H81" s="9"/>
      <c r="I81" s="26"/>
      <c r="J81" s="26"/>
      <c r="K81" s="9"/>
      <c r="L81" s="9"/>
    </row>
    <row r="82" customFormat="false" ht="15" hidden="false" customHeight="false" outlineLevel="0" collapsed="false">
      <c r="A82" s="9"/>
      <c r="B82" s="23"/>
      <c r="C82" s="24"/>
      <c r="D82" s="9"/>
      <c r="E82" s="9"/>
      <c r="F82" s="9"/>
      <c r="G82" s="9" t="str">
        <f aca="false">IF(F82="","",IFERROR(INDEX(Listas!$P$2:$P$13,MATCH(F82,Listas!$O$2:$O$13,0)),"Código desconocido"))</f>
        <v/>
      </c>
      <c r="H82" s="9"/>
      <c r="I82" s="26"/>
      <c r="J82" s="26"/>
      <c r="K82" s="9"/>
      <c r="L82" s="9"/>
    </row>
    <row r="83" customFormat="false" ht="15" hidden="false" customHeight="false" outlineLevel="0" collapsed="false">
      <c r="A83" s="9"/>
      <c r="B83" s="23"/>
      <c r="C83" s="24"/>
      <c r="D83" s="9"/>
      <c r="E83" s="9"/>
      <c r="F83" s="9"/>
      <c r="G83" s="9" t="str">
        <f aca="false">IF(F83="","",IFERROR(INDEX(Listas!$P$2:$P$13,MATCH(F83,Listas!$O$2:$O$13,0)),"Código desconocido"))</f>
        <v/>
      </c>
      <c r="H83" s="9"/>
      <c r="I83" s="26"/>
      <c r="J83" s="26"/>
      <c r="K83" s="9"/>
      <c r="L83" s="9"/>
    </row>
    <row r="84" customFormat="false" ht="15" hidden="false" customHeight="false" outlineLevel="0" collapsed="false">
      <c r="A84" s="9"/>
      <c r="B84" s="23"/>
      <c r="C84" s="24"/>
      <c r="D84" s="9"/>
      <c r="E84" s="9"/>
      <c r="F84" s="9"/>
      <c r="G84" s="9" t="str">
        <f aca="false">IF(F84="","",IFERROR(INDEX(Listas!$P$2:$P$13,MATCH(F84,Listas!$O$2:$O$13,0)),"Código desconocido"))</f>
        <v/>
      </c>
      <c r="H84" s="9"/>
      <c r="I84" s="26"/>
      <c r="J84" s="26"/>
      <c r="K84" s="9"/>
      <c r="L84" s="9"/>
    </row>
    <row r="85" customFormat="false" ht="15" hidden="false" customHeight="false" outlineLevel="0" collapsed="false">
      <c r="A85" s="9"/>
      <c r="B85" s="23"/>
      <c r="C85" s="24"/>
      <c r="D85" s="9"/>
      <c r="E85" s="9"/>
      <c r="F85" s="9"/>
      <c r="G85" s="9" t="str">
        <f aca="false">IF(F85="","",IFERROR(INDEX(Listas!$P$2:$P$13,MATCH(F85,Listas!$O$2:$O$13,0)),"Código desconocido"))</f>
        <v/>
      </c>
      <c r="H85" s="9"/>
      <c r="I85" s="26"/>
      <c r="J85" s="26"/>
      <c r="K85" s="9"/>
      <c r="L85" s="9"/>
    </row>
    <row r="86" customFormat="false" ht="15" hidden="false" customHeight="false" outlineLevel="0" collapsed="false">
      <c r="A86" s="9"/>
      <c r="B86" s="23"/>
      <c r="C86" s="24"/>
      <c r="D86" s="9"/>
      <c r="E86" s="9"/>
      <c r="F86" s="9"/>
      <c r="G86" s="9" t="str">
        <f aca="false">IF(F86="","",IFERROR(INDEX(Listas!$P$2:$P$13,MATCH(F86,Listas!$O$2:$O$13,0)),"Código desconocido"))</f>
        <v/>
      </c>
      <c r="H86" s="9"/>
      <c r="I86" s="26"/>
      <c r="J86" s="26"/>
      <c r="K86" s="9"/>
      <c r="L86" s="9"/>
    </row>
    <row r="87" customFormat="false" ht="15" hidden="false" customHeight="false" outlineLevel="0" collapsed="false">
      <c r="A87" s="9"/>
      <c r="B87" s="23"/>
      <c r="C87" s="24"/>
      <c r="D87" s="9"/>
      <c r="E87" s="9"/>
      <c r="F87" s="9"/>
      <c r="G87" s="9" t="str">
        <f aca="false">IF(F87="","",IFERROR(INDEX(Listas!$P$2:$P$13,MATCH(F87,Listas!$O$2:$O$13,0)),"Código desconocido"))</f>
        <v/>
      </c>
      <c r="H87" s="9"/>
      <c r="I87" s="26"/>
      <c r="J87" s="26"/>
      <c r="K87" s="9"/>
      <c r="L87" s="9"/>
    </row>
    <row r="88" customFormat="false" ht="15" hidden="false" customHeight="false" outlineLevel="0" collapsed="false">
      <c r="A88" s="9"/>
      <c r="B88" s="23"/>
      <c r="C88" s="24"/>
      <c r="D88" s="9"/>
      <c r="E88" s="9"/>
      <c r="F88" s="9"/>
      <c r="G88" s="9" t="str">
        <f aca="false">IF(F88="","",IFERROR(INDEX(Listas!$P$2:$P$13,MATCH(F88,Listas!$O$2:$O$13,0)),"Código desconocido"))</f>
        <v/>
      </c>
      <c r="H88" s="9"/>
      <c r="I88" s="26"/>
      <c r="J88" s="26"/>
      <c r="K88" s="9"/>
      <c r="L88" s="9"/>
    </row>
    <row r="89" customFormat="false" ht="15" hidden="false" customHeight="false" outlineLevel="0" collapsed="false">
      <c r="A89" s="9"/>
      <c r="B89" s="23"/>
      <c r="C89" s="24"/>
      <c r="D89" s="9"/>
      <c r="E89" s="9"/>
      <c r="F89" s="9"/>
      <c r="G89" s="9" t="str">
        <f aca="false">IF(F89="","",IFERROR(INDEX(Listas!$P$2:$P$13,MATCH(F89,Listas!$O$2:$O$13,0)),"Código desconocido"))</f>
        <v/>
      </c>
      <c r="H89" s="9"/>
      <c r="I89" s="26"/>
      <c r="J89" s="26"/>
      <c r="K89" s="9"/>
      <c r="L89" s="9"/>
    </row>
    <row r="90" customFormat="false" ht="15" hidden="false" customHeight="false" outlineLevel="0" collapsed="false">
      <c r="A90" s="9"/>
      <c r="B90" s="23"/>
      <c r="C90" s="24"/>
      <c r="D90" s="9"/>
      <c r="E90" s="9"/>
      <c r="F90" s="9"/>
      <c r="G90" s="9" t="str">
        <f aca="false">IF(F90="","",IFERROR(INDEX(Listas!$P$2:$P$13,MATCH(F90,Listas!$O$2:$O$13,0)),"Código desconocido"))</f>
        <v/>
      </c>
      <c r="H90" s="9"/>
      <c r="I90" s="26"/>
      <c r="J90" s="26"/>
      <c r="K90" s="9"/>
      <c r="L90" s="9"/>
    </row>
    <row r="91" customFormat="false" ht="15" hidden="false" customHeight="false" outlineLevel="0" collapsed="false">
      <c r="A91" s="9"/>
      <c r="B91" s="23"/>
      <c r="C91" s="24"/>
      <c r="D91" s="9"/>
      <c r="E91" s="9"/>
      <c r="F91" s="9"/>
      <c r="G91" s="9" t="str">
        <f aca="false">IF(F91="","",IFERROR(INDEX(Listas!$P$2:$P$13,MATCH(F91,Listas!$O$2:$O$13,0)),"Código desconocido"))</f>
        <v/>
      </c>
      <c r="H91" s="9"/>
      <c r="I91" s="26"/>
      <c r="J91" s="26"/>
      <c r="K91" s="9"/>
      <c r="L91" s="9"/>
    </row>
    <row r="92" customFormat="false" ht="15" hidden="false" customHeight="false" outlineLevel="0" collapsed="false">
      <c r="A92" s="9"/>
      <c r="B92" s="23"/>
      <c r="C92" s="24"/>
      <c r="D92" s="9"/>
      <c r="E92" s="9"/>
      <c r="F92" s="9"/>
      <c r="G92" s="9" t="str">
        <f aca="false">IF(F92="","",IFERROR(INDEX(Listas!$P$2:$P$13,MATCH(F92,Listas!$O$2:$O$13,0)),"Código desconocido"))</f>
        <v/>
      </c>
      <c r="H92" s="9"/>
      <c r="I92" s="26"/>
      <c r="J92" s="26"/>
      <c r="K92" s="9"/>
      <c r="L92" s="9"/>
    </row>
    <row r="93" customFormat="false" ht="15" hidden="false" customHeight="false" outlineLevel="0" collapsed="false">
      <c r="A93" s="9"/>
      <c r="B93" s="23"/>
      <c r="C93" s="24"/>
      <c r="D93" s="9"/>
      <c r="E93" s="9"/>
      <c r="F93" s="9"/>
      <c r="G93" s="9" t="str">
        <f aca="false">IF(F93="","",IFERROR(INDEX(Listas!$P$2:$P$13,MATCH(F93,Listas!$O$2:$O$13,0)),"Código desconocido"))</f>
        <v/>
      </c>
      <c r="H93" s="9"/>
      <c r="I93" s="26"/>
      <c r="J93" s="26"/>
      <c r="K93" s="9"/>
      <c r="L93" s="9"/>
    </row>
    <row r="94" customFormat="false" ht="15" hidden="false" customHeight="false" outlineLevel="0" collapsed="false">
      <c r="A94" s="9"/>
      <c r="B94" s="23"/>
      <c r="C94" s="24"/>
      <c r="D94" s="9"/>
      <c r="E94" s="9"/>
      <c r="F94" s="9"/>
      <c r="G94" s="9" t="str">
        <f aca="false">IF(F94="","",IFERROR(INDEX(Listas!$P$2:$P$13,MATCH(F94,Listas!$O$2:$O$13,0)),"Código desconocido"))</f>
        <v/>
      </c>
      <c r="H94" s="9"/>
      <c r="I94" s="26"/>
      <c r="J94" s="26"/>
      <c r="K94" s="9"/>
      <c r="L94" s="9"/>
    </row>
    <row r="95" customFormat="false" ht="15" hidden="false" customHeight="false" outlineLevel="0" collapsed="false">
      <c r="A95" s="9"/>
      <c r="B95" s="23"/>
      <c r="C95" s="24"/>
      <c r="D95" s="9"/>
      <c r="E95" s="9"/>
      <c r="F95" s="9"/>
      <c r="G95" s="9" t="str">
        <f aca="false">IF(F95="","",IFERROR(INDEX(Listas!$P$2:$P$13,MATCH(F95,Listas!$O$2:$O$13,0)),"Código desconocido"))</f>
        <v/>
      </c>
      <c r="H95" s="9"/>
      <c r="I95" s="26"/>
      <c r="J95" s="26"/>
      <c r="K95" s="9"/>
      <c r="L95" s="9"/>
    </row>
    <row r="96" customFormat="false" ht="15" hidden="false" customHeight="false" outlineLevel="0" collapsed="false">
      <c r="A96" s="9"/>
      <c r="B96" s="23"/>
      <c r="C96" s="24"/>
      <c r="D96" s="9"/>
      <c r="E96" s="9"/>
      <c r="F96" s="9"/>
      <c r="G96" s="9" t="str">
        <f aca="false">IF(F96="","",IFERROR(INDEX(Listas!$P$2:$P$13,MATCH(F96,Listas!$O$2:$O$13,0)),"Código desconocido"))</f>
        <v/>
      </c>
      <c r="H96" s="9"/>
      <c r="I96" s="26"/>
      <c r="J96" s="26"/>
      <c r="K96" s="9"/>
      <c r="L96" s="9"/>
    </row>
    <row r="97" customFormat="false" ht="15" hidden="false" customHeight="false" outlineLevel="0" collapsed="false">
      <c r="A97" s="9"/>
      <c r="B97" s="23"/>
      <c r="C97" s="24"/>
      <c r="D97" s="9"/>
      <c r="E97" s="9"/>
      <c r="F97" s="9"/>
      <c r="G97" s="9" t="str">
        <f aca="false">IF(F97="","",IFERROR(INDEX(Listas!$P$2:$P$13,MATCH(F97,Listas!$O$2:$O$13,0)),"Código desconocido"))</f>
        <v/>
      </c>
      <c r="H97" s="9"/>
      <c r="I97" s="26"/>
      <c r="J97" s="26"/>
      <c r="K97" s="9"/>
      <c r="L97" s="9"/>
    </row>
    <row r="98" customFormat="false" ht="15" hidden="false" customHeight="false" outlineLevel="0" collapsed="false">
      <c r="A98" s="9"/>
      <c r="B98" s="23"/>
      <c r="C98" s="24"/>
      <c r="D98" s="9"/>
      <c r="E98" s="9"/>
      <c r="F98" s="9"/>
      <c r="G98" s="9" t="str">
        <f aca="false">IF(F98="","",IFERROR(INDEX(Listas!$P$2:$P$13,MATCH(F98,Listas!$O$2:$O$13,0)),"Código desconocido"))</f>
        <v/>
      </c>
      <c r="H98" s="9"/>
      <c r="I98" s="26"/>
      <c r="J98" s="26"/>
      <c r="K98" s="9"/>
      <c r="L98" s="9"/>
    </row>
    <row r="99" customFormat="false" ht="15" hidden="false" customHeight="false" outlineLevel="0" collapsed="false">
      <c r="A99" s="9"/>
      <c r="B99" s="23"/>
      <c r="C99" s="24"/>
      <c r="D99" s="9"/>
      <c r="E99" s="9"/>
      <c r="F99" s="9"/>
      <c r="G99" s="9" t="str">
        <f aca="false">IF(F99="","",IFERROR(INDEX(Listas!$P$2:$P$13,MATCH(F99,Listas!$O$2:$O$13,0)),"Código desconocido"))</f>
        <v/>
      </c>
      <c r="H99" s="9"/>
      <c r="I99" s="26"/>
      <c r="J99" s="26"/>
      <c r="K99" s="9"/>
      <c r="L99" s="9"/>
    </row>
    <row r="100" customFormat="false" ht="15" hidden="false" customHeight="false" outlineLevel="0" collapsed="false">
      <c r="A100" s="9"/>
      <c r="B100" s="23"/>
      <c r="C100" s="24"/>
      <c r="D100" s="9"/>
      <c r="E100" s="9"/>
      <c r="F100" s="9"/>
      <c r="G100" s="9" t="str">
        <f aca="false">IF(F100="","",IFERROR(INDEX(Listas!$P$2:$P$13,MATCH(F100,Listas!$O$2:$O$13,0)),"Código desconocido"))</f>
        <v/>
      </c>
      <c r="H100" s="9"/>
      <c r="I100" s="26"/>
      <c r="J100" s="26"/>
      <c r="K100" s="9"/>
      <c r="L100" s="9"/>
    </row>
    <row r="101" customFormat="false" ht="15" hidden="false" customHeight="false" outlineLevel="0" collapsed="false">
      <c r="A101" s="9"/>
      <c r="B101" s="23"/>
      <c r="C101" s="24"/>
      <c r="D101" s="9"/>
      <c r="E101" s="9"/>
      <c r="F101" s="9"/>
      <c r="G101" s="9" t="str">
        <f aca="false">IF(F101="","",IFERROR(INDEX(Listas!$P$2:$P$13,MATCH(F101,Listas!$O$2:$O$13,0)),"Código desconocido"))</f>
        <v/>
      </c>
      <c r="H101" s="9"/>
      <c r="I101" s="26"/>
      <c r="J101" s="26"/>
      <c r="K101" s="9"/>
      <c r="L101" s="9"/>
    </row>
    <row r="102" customFormat="false" ht="15" hidden="false" customHeight="false" outlineLevel="0" collapsed="false">
      <c r="A102" s="9"/>
      <c r="B102" s="23"/>
      <c r="C102" s="24"/>
      <c r="D102" s="9"/>
      <c r="E102" s="9"/>
      <c r="F102" s="9"/>
      <c r="G102" s="9" t="str">
        <f aca="false">IF(F102="","",IFERROR(INDEX(Listas!$P$2:$P$13,MATCH(F102,Listas!$O$2:$O$13,0)),"Código desconocido"))</f>
        <v/>
      </c>
      <c r="H102" s="9"/>
      <c r="I102" s="26"/>
      <c r="J102" s="26"/>
      <c r="K102" s="9"/>
      <c r="L102" s="9"/>
    </row>
    <row r="103" customFormat="false" ht="15" hidden="false" customHeight="false" outlineLevel="0" collapsed="false">
      <c r="A103" s="9"/>
      <c r="B103" s="23"/>
      <c r="C103" s="24"/>
      <c r="D103" s="9"/>
      <c r="E103" s="9"/>
      <c r="F103" s="9"/>
      <c r="G103" s="9" t="str">
        <f aca="false">IF(F103="","",IFERROR(INDEX(Listas!$P$2:$P$13,MATCH(F103,Listas!$O$2:$O$13,0)),"Código desconocido"))</f>
        <v/>
      </c>
      <c r="H103" s="9"/>
      <c r="I103" s="26"/>
      <c r="J103" s="26"/>
      <c r="K103" s="9"/>
      <c r="L103" s="9"/>
    </row>
    <row r="104" customFormat="false" ht="15" hidden="false" customHeight="false" outlineLevel="0" collapsed="false">
      <c r="A104" s="9"/>
      <c r="B104" s="23"/>
      <c r="C104" s="24"/>
      <c r="D104" s="9"/>
      <c r="E104" s="9"/>
      <c r="F104" s="9"/>
      <c r="G104" s="9" t="str">
        <f aca="false">IF(F104="","",IFERROR(INDEX(Listas!$P$2:$P$13,MATCH(F104,Listas!$O$2:$O$13,0)),"Código desconocido"))</f>
        <v/>
      </c>
      <c r="H104" s="9"/>
      <c r="I104" s="26"/>
      <c r="J104" s="26"/>
      <c r="K104" s="9"/>
      <c r="L104" s="9"/>
    </row>
    <row r="105" customFormat="false" ht="15" hidden="false" customHeight="false" outlineLevel="0" collapsed="false">
      <c r="A105" s="9"/>
      <c r="B105" s="23"/>
      <c r="C105" s="24"/>
      <c r="D105" s="9"/>
      <c r="E105" s="9"/>
      <c r="F105" s="9"/>
      <c r="G105" s="9" t="str">
        <f aca="false">IF(F105="","",IFERROR(INDEX(Listas!$P$2:$P$13,MATCH(F105,Listas!$O$2:$O$13,0)),"Código desconocido"))</f>
        <v/>
      </c>
      <c r="H105" s="9"/>
      <c r="I105" s="26"/>
      <c r="J105" s="26"/>
      <c r="K105" s="9"/>
      <c r="L105" s="9"/>
    </row>
    <row r="106" customFormat="false" ht="15" hidden="false" customHeight="false" outlineLevel="0" collapsed="false">
      <c r="A106" s="9"/>
      <c r="B106" s="23"/>
      <c r="C106" s="24"/>
      <c r="D106" s="9"/>
      <c r="E106" s="9"/>
      <c r="F106" s="9"/>
      <c r="G106" s="9" t="str">
        <f aca="false">IF(F106="","",IFERROR(INDEX(Listas!$P$2:$P$13,MATCH(F106,Listas!$O$2:$O$13,0)),"Código desconocido"))</f>
        <v/>
      </c>
      <c r="H106" s="9"/>
      <c r="I106" s="26"/>
      <c r="J106" s="26"/>
      <c r="K106" s="9"/>
      <c r="L106" s="9"/>
    </row>
    <row r="107" customFormat="false" ht="15" hidden="false" customHeight="false" outlineLevel="0" collapsed="false">
      <c r="A107" s="9"/>
      <c r="B107" s="23"/>
      <c r="C107" s="24"/>
      <c r="D107" s="9"/>
      <c r="E107" s="9"/>
      <c r="F107" s="9"/>
      <c r="G107" s="9" t="str">
        <f aca="false">IF(F107="","",IFERROR(INDEX(Listas!$P$2:$P$13,MATCH(F107,Listas!$O$2:$O$13,0)),"Código desconocido"))</f>
        <v/>
      </c>
      <c r="H107" s="9"/>
      <c r="I107" s="26"/>
      <c r="J107" s="26"/>
      <c r="K107" s="9"/>
      <c r="L107" s="9"/>
    </row>
    <row r="108" customFormat="false" ht="15" hidden="false" customHeight="false" outlineLevel="0" collapsed="false">
      <c r="A108" s="9"/>
      <c r="B108" s="23"/>
      <c r="C108" s="24"/>
      <c r="D108" s="9"/>
      <c r="E108" s="9"/>
      <c r="F108" s="9"/>
      <c r="G108" s="9" t="str">
        <f aca="false">IF(F108="","",IFERROR(INDEX(Listas!$P$2:$P$13,MATCH(F108,Listas!$O$2:$O$13,0)),"Código desconocido"))</f>
        <v/>
      </c>
      <c r="H108" s="9"/>
      <c r="I108" s="26"/>
      <c r="J108" s="26"/>
      <c r="K108" s="9"/>
      <c r="L108" s="9"/>
    </row>
    <row r="109" customFormat="false" ht="15" hidden="false" customHeight="false" outlineLevel="0" collapsed="false">
      <c r="A109" s="9"/>
      <c r="B109" s="23"/>
      <c r="C109" s="24"/>
      <c r="D109" s="9"/>
      <c r="E109" s="9"/>
      <c r="F109" s="9"/>
      <c r="G109" s="9" t="str">
        <f aca="false">IF(F109="","",IFERROR(INDEX(Listas!$P$2:$P$13,MATCH(F109,Listas!$O$2:$O$13,0)),"Código desconocido"))</f>
        <v/>
      </c>
      <c r="H109" s="9"/>
      <c r="I109" s="26"/>
      <c r="J109" s="26"/>
      <c r="K109" s="9"/>
      <c r="L109" s="9"/>
    </row>
    <row r="110" customFormat="false" ht="15" hidden="false" customHeight="false" outlineLevel="0" collapsed="false">
      <c r="A110" s="9"/>
      <c r="B110" s="23"/>
      <c r="C110" s="24"/>
      <c r="D110" s="9"/>
      <c r="E110" s="9"/>
      <c r="F110" s="9"/>
      <c r="G110" s="9" t="str">
        <f aca="false">IF(F110="","",IFERROR(INDEX(Listas!$P$2:$P$13,MATCH(F110,Listas!$O$2:$O$13,0)),"Código desconocido"))</f>
        <v/>
      </c>
      <c r="H110" s="9"/>
      <c r="I110" s="26"/>
      <c r="J110" s="26"/>
      <c r="K110" s="9"/>
      <c r="L110" s="9"/>
    </row>
    <row r="111" customFormat="false" ht="15" hidden="false" customHeight="false" outlineLevel="0" collapsed="false">
      <c r="A111" s="9"/>
      <c r="B111" s="23"/>
      <c r="C111" s="24"/>
      <c r="D111" s="9"/>
      <c r="E111" s="9"/>
      <c r="F111" s="9"/>
      <c r="G111" s="9" t="str">
        <f aca="false">IF(F111="","",IFERROR(INDEX(Listas!$P$2:$P$13,MATCH(F111,Listas!$O$2:$O$13,0)),"Código desconocido"))</f>
        <v/>
      </c>
      <c r="H111" s="9"/>
      <c r="I111" s="26"/>
      <c r="J111" s="26"/>
      <c r="K111" s="9"/>
      <c r="L111" s="9"/>
    </row>
    <row r="112" customFormat="false" ht="15" hidden="false" customHeight="false" outlineLevel="0" collapsed="false">
      <c r="A112" s="9"/>
      <c r="B112" s="23"/>
      <c r="C112" s="24"/>
      <c r="D112" s="9"/>
      <c r="E112" s="9"/>
      <c r="F112" s="9"/>
      <c r="G112" s="9" t="str">
        <f aca="false">IF(F112="","",IFERROR(INDEX(Listas!$P$2:$P$13,MATCH(F112,Listas!$O$2:$O$13,0)),"Código desconocido"))</f>
        <v/>
      </c>
      <c r="H112" s="9"/>
      <c r="I112" s="26"/>
      <c r="J112" s="26"/>
      <c r="K112" s="9"/>
      <c r="L112" s="9"/>
    </row>
    <row r="113" customFormat="false" ht="15" hidden="false" customHeight="false" outlineLevel="0" collapsed="false">
      <c r="A113" s="9"/>
      <c r="B113" s="23"/>
      <c r="C113" s="24"/>
      <c r="D113" s="9"/>
      <c r="E113" s="9"/>
      <c r="F113" s="9"/>
      <c r="G113" s="9" t="str">
        <f aca="false">IF(F113="","",IFERROR(INDEX(Listas!$P$2:$P$13,MATCH(F113,Listas!$O$2:$O$13,0)),"Código desconocido"))</f>
        <v/>
      </c>
      <c r="H113" s="9"/>
      <c r="I113" s="26"/>
      <c r="J113" s="26"/>
      <c r="K113" s="9"/>
      <c r="L113" s="9"/>
    </row>
    <row r="114" customFormat="false" ht="15" hidden="false" customHeight="false" outlineLevel="0" collapsed="false">
      <c r="A114" s="9"/>
      <c r="B114" s="23"/>
      <c r="C114" s="24"/>
      <c r="D114" s="9"/>
      <c r="E114" s="9"/>
      <c r="F114" s="9"/>
      <c r="G114" s="9" t="str">
        <f aca="false">IF(F114="","",IFERROR(INDEX(Listas!$P$2:$P$13,MATCH(F114,Listas!$O$2:$O$13,0)),"Código desconocido"))</f>
        <v/>
      </c>
      <c r="H114" s="9"/>
      <c r="I114" s="26"/>
      <c r="J114" s="26"/>
      <c r="K114" s="9"/>
      <c r="L114" s="9"/>
    </row>
    <row r="115" customFormat="false" ht="15" hidden="false" customHeight="false" outlineLevel="0" collapsed="false">
      <c r="A115" s="9"/>
      <c r="B115" s="23"/>
      <c r="C115" s="24"/>
      <c r="D115" s="9"/>
      <c r="E115" s="9"/>
      <c r="F115" s="9"/>
      <c r="G115" s="9" t="str">
        <f aca="false">IF(F115="","",IFERROR(INDEX(Listas!$P$2:$P$13,MATCH(F115,Listas!$O$2:$O$13,0)),"Código desconocido"))</f>
        <v/>
      </c>
      <c r="H115" s="9"/>
      <c r="I115" s="26"/>
      <c r="J115" s="26"/>
      <c r="K115" s="9"/>
      <c r="L115" s="9"/>
    </row>
    <row r="116" customFormat="false" ht="15" hidden="false" customHeight="false" outlineLevel="0" collapsed="false">
      <c r="A116" s="9"/>
      <c r="B116" s="23"/>
      <c r="C116" s="24"/>
      <c r="D116" s="9"/>
      <c r="E116" s="9"/>
      <c r="F116" s="9"/>
      <c r="G116" s="9" t="str">
        <f aca="false">IF(F116="","",IFERROR(INDEX(Listas!$P$2:$P$13,MATCH(F116,Listas!$O$2:$O$13,0)),"Código desconocido"))</f>
        <v/>
      </c>
      <c r="H116" s="9"/>
      <c r="I116" s="26"/>
      <c r="J116" s="26"/>
      <c r="K116" s="9"/>
      <c r="L116" s="9"/>
    </row>
    <row r="117" customFormat="false" ht="15" hidden="false" customHeight="false" outlineLevel="0" collapsed="false">
      <c r="A117" s="9"/>
      <c r="B117" s="23"/>
      <c r="C117" s="24"/>
      <c r="D117" s="9"/>
      <c r="E117" s="9"/>
      <c r="F117" s="9"/>
      <c r="G117" s="9" t="str">
        <f aca="false">IF(F117="","",IFERROR(INDEX(Listas!$P$2:$P$13,MATCH(F117,Listas!$O$2:$O$13,0)),"Código desconocido"))</f>
        <v/>
      </c>
      <c r="H117" s="9"/>
      <c r="I117" s="26"/>
      <c r="J117" s="26"/>
      <c r="K117" s="9"/>
      <c r="L117" s="9"/>
    </row>
    <row r="118" customFormat="false" ht="15" hidden="false" customHeight="false" outlineLevel="0" collapsed="false">
      <c r="A118" s="9"/>
      <c r="B118" s="23"/>
      <c r="C118" s="24"/>
      <c r="D118" s="9"/>
      <c r="E118" s="9"/>
      <c r="F118" s="9"/>
      <c r="G118" s="9" t="str">
        <f aca="false">IF(F118="","",IFERROR(INDEX(Listas!$P$2:$P$13,MATCH(F118,Listas!$O$2:$O$13,0)),"Código desconocido"))</f>
        <v/>
      </c>
      <c r="H118" s="9"/>
      <c r="I118" s="26"/>
      <c r="J118" s="26"/>
      <c r="K118" s="9"/>
      <c r="L118" s="9"/>
    </row>
    <row r="119" customFormat="false" ht="15" hidden="false" customHeight="false" outlineLevel="0" collapsed="false">
      <c r="A119" s="9"/>
      <c r="B119" s="23"/>
      <c r="C119" s="24"/>
      <c r="D119" s="9"/>
      <c r="E119" s="9"/>
      <c r="F119" s="9"/>
      <c r="G119" s="9" t="str">
        <f aca="false">IF(F119="","",IFERROR(INDEX(Listas!$P$2:$P$13,MATCH(F119,Listas!$O$2:$O$13,0)),"Código desconocido"))</f>
        <v/>
      </c>
      <c r="H119" s="9"/>
      <c r="I119" s="26"/>
      <c r="J119" s="26"/>
      <c r="K119" s="9"/>
      <c r="L119" s="9"/>
    </row>
    <row r="120" customFormat="false" ht="15" hidden="false" customHeight="false" outlineLevel="0" collapsed="false">
      <c r="A120" s="9"/>
      <c r="B120" s="23"/>
      <c r="C120" s="24"/>
      <c r="D120" s="9"/>
      <c r="E120" s="9"/>
      <c r="F120" s="9"/>
      <c r="G120" s="9" t="str">
        <f aca="false">IF(F120="","",IFERROR(INDEX(Listas!$P$2:$P$13,MATCH(F120,Listas!$O$2:$O$13,0)),"Código desconocido"))</f>
        <v/>
      </c>
      <c r="H120" s="9"/>
      <c r="I120" s="26"/>
      <c r="J120" s="26"/>
      <c r="K120" s="9"/>
      <c r="L120" s="9"/>
    </row>
    <row r="121" customFormat="false" ht="15" hidden="false" customHeight="false" outlineLevel="0" collapsed="false">
      <c r="A121" s="9"/>
      <c r="B121" s="23"/>
      <c r="C121" s="24"/>
      <c r="D121" s="9"/>
      <c r="E121" s="9"/>
      <c r="F121" s="9"/>
      <c r="G121" s="9" t="str">
        <f aca="false">IF(F121="","",IFERROR(INDEX(Listas!$P$2:$P$13,MATCH(F121,Listas!$O$2:$O$13,0)),"Código desconocido"))</f>
        <v/>
      </c>
      <c r="H121" s="9"/>
      <c r="I121" s="26"/>
      <c r="J121" s="26"/>
      <c r="K121" s="9"/>
      <c r="L121" s="9"/>
    </row>
    <row r="122" customFormat="false" ht="15" hidden="false" customHeight="false" outlineLevel="0" collapsed="false">
      <c r="A122" s="9"/>
      <c r="B122" s="23"/>
      <c r="C122" s="24"/>
      <c r="D122" s="9"/>
      <c r="E122" s="9"/>
      <c r="F122" s="9"/>
      <c r="G122" s="9" t="str">
        <f aca="false">IF(F122="","",IFERROR(INDEX(Listas!$P$2:$P$13,MATCH(F122,Listas!$O$2:$O$13,0)),"Código desconocido"))</f>
        <v/>
      </c>
      <c r="H122" s="9"/>
      <c r="I122" s="26"/>
      <c r="J122" s="26"/>
      <c r="K122" s="9"/>
      <c r="L122" s="9"/>
    </row>
    <row r="123" customFormat="false" ht="15" hidden="false" customHeight="false" outlineLevel="0" collapsed="false">
      <c r="A123" s="9"/>
      <c r="B123" s="23"/>
      <c r="C123" s="24"/>
      <c r="D123" s="9"/>
      <c r="E123" s="9"/>
      <c r="F123" s="9"/>
      <c r="G123" s="9" t="str">
        <f aca="false">IF(F123="","",IFERROR(INDEX(Listas!$P$2:$P$13,MATCH(F123,Listas!$O$2:$O$13,0)),"Código desconocido"))</f>
        <v/>
      </c>
      <c r="H123" s="9"/>
      <c r="I123" s="26"/>
      <c r="J123" s="26"/>
      <c r="K123" s="9"/>
      <c r="L123" s="9"/>
    </row>
    <row r="124" customFormat="false" ht="15" hidden="false" customHeight="false" outlineLevel="0" collapsed="false">
      <c r="A124" s="9"/>
      <c r="B124" s="23"/>
      <c r="C124" s="24"/>
      <c r="D124" s="9"/>
      <c r="E124" s="9"/>
      <c r="F124" s="9"/>
      <c r="G124" s="9" t="str">
        <f aca="false">IF(F124="","",IFERROR(INDEX(Listas!$P$2:$P$13,MATCH(F124,Listas!$O$2:$O$13,0)),"Código desconocido"))</f>
        <v/>
      </c>
      <c r="H124" s="9"/>
      <c r="I124" s="26"/>
      <c r="J124" s="26"/>
      <c r="K124" s="9"/>
      <c r="L124" s="9"/>
    </row>
    <row r="125" customFormat="false" ht="15" hidden="false" customHeight="false" outlineLevel="0" collapsed="false">
      <c r="A125" s="9"/>
      <c r="B125" s="23"/>
      <c r="C125" s="24"/>
      <c r="D125" s="9"/>
      <c r="E125" s="9"/>
      <c r="F125" s="9"/>
      <c r="G125" s="9" t="str">
        <f aca="false">IF(F125="","",IFERROR(INDEX(Listas!$P$2:$P$13,MATCH(F125,Listas!$O$2:$O$13,0)),"Código desconocido"))</f>
        <v/>
      </c>
      <c r="H125" s="9"/>
      <c r="I125" s="26"/>
      <c r="J125" s="26"/>
      <c r="K125" s="9"/>
      <c r="L125" s="9"/>
    </row>
    <row r="126" customFormat="false" ht="15" hidden="false" customHeight="false" outlineLevel="0" collapsed="false">
      <c r="A126" s="9"/>
      <c r="B126" s="23"/>
      <c r="C126" s="24"/>
      <c r="D126" s="9"/>
      <c r="E126" s="9"/>
      <c r="F126" s="9"/>
      <c r="G126" s="9" t="str">
        <f aca="false">IF(F126="","",IFERROR(INDEX(Listas!$P$2:$P$13,MATCH(F126,Listas!$O$2:$O$13,0)),"Código desconocido"))</f>
        <v/>
      </c>
      <c r="H126" s="9"/>
      <c r="I126" s="26"/>
      <c r="J126" s="26"/>
      <c r="K126" s="9"/>
      <c r="L126" s="9"/>
    </row>
    <row r="127" customFormat="false" ht="15" hidden="false" customHeight="false" outlineLevel="0" collapsed="false">
      <c r="A127" s="9"/>
      <c r="B127" s="23"/>
      <c r="C127" s="24"/>
      <c r="D127" s="9"/>
      <c r="E127" s="9"/>
      <c r="F127" s="9"/>
      <c r="G127" s="9" t="str">
        <f aca="false">IF(F127="","",IFERROR(INDEX(Listas!$P$2:$P$13,MATCH(F127,Listas!$O$2:$O$13,0)),"Código desconocido"))</f>
        <v/>
      </c>
      <c r="H127" s="9"/>
      <c r="I127" s="26"/>
      <c r="J127" s="26"/>
      <c r="K127" s="9"/>
      <c r="L127" s="9"/>
    </row>
    <row r="128" customFormat="false" ht="15" hidden="false" customHeight="false" outlineLevel="0" collapsed="false">
      <c r="A128" s="9"/>
      <c r="B128" s="23"/>
      <c r="C128" s="24"/>
      <c r="D128" s="9"/>
      <c r="E128" s="9"/>
      <c r="F128" s="9"/>
      <c r="G128" s="9" t="str">
        <f aca="false">IF(F128="","",IFERROR(INDEX(Listas!$P$2:$P$13,MATCH(F128,Listas!$O$2:$O$13,0)),"Código desconocido"))</f>
        <v/>
      </c>
      <c r="H128" s="9"/>
      <c r="I128" s="26"/>
      <c r="J128" s="26"/>
      <c r="K128" s="9"/>
      <c r="L128" s="9"/>
    </row>
    <row r="129" customFormat="false" ht="15" hidden="false" customHeight="false" outlineLevel="0" collapsed="false">
      <c r="A129" s="9"/>
      <c r="B129" s="23"/>
      <c r="C129" s="24"/>
      <c r="D129" s="9"/>
      <c r="E129" s="9"/>
      <c r="F129" s="9"/>
      <c r="G129" s="9" t="str">
        <f aca="false">IF(F129="","",IFERROR(INDEX(Listas!$P$2:$P$13,MATCH(F129,Listas!$O$2:$O$13,0)),"Código desconocido"))</f>
        <v/>
      </c>
      <c r="H129" s="9"/>
      <c r="I129" s="26"/>
      <c r="J129" s="26"/>
      <c r="K129" s="9"/>
      <c r="L129" s="9"/>
    </row>
    <row r="130" customFormat="false" ht="15" hidden="false" customHeight="false" outlineLevel="0" collapsed="false">
      <c r="A130" s="9"/>
      <c r="B130" s="23"/>
      <c r="C130" s="24"/>
      <c r="D130" s="9"/>
      <c r="E130" s="9"/>
      <c r="F130" s="9"/>
      <c r="G130" s="9" t="str">
        <f aca="false">IF(F130="","",IFERROR(INDEX(Listas!$P$2:$P$13,MATCH(F130,Listas!$O$2:$O$13,0)),"Código desconocido"))</f>
        <v/>
      </c>
      <c r="H130" s="9"/>
      <c r="I130" s="26"/>
      <c r="J130" s="26"/>
      <c r="K130" s="9"/>
      <c r="L130" s="9"/>
    </row>
    <row r="131" customFormat="false" ht="15" hidden="false" customHeight="false" outlineLevel="0" collapsed="false">
      <c r="A131" s="9"/>
      <c r="B131" s="23"/>
      <c r="C131" s="24"/>
      <c r="D131" s="9"/>
      <c r="E131" s="9"/>
      <c r="F131" s="9"/>
      <c r="G131" s="9" t="str">
        <f aca="false">IF(F131="","",IFERROR(INDEX(Listas!$P$2:$P$13,MATCH(F131,Listas!$O$2:$O$13,0)),"Código desconocido"))</f>
        <v/>
      </c>
      <c r="H131" s="9"/>
      <c r="I131" s="26"/>
      <c r="J131" s="26"/>
      <c r="K131" s="9"/>
      <c r="L131" s="9"/>
    </row>
    <row r="132" customFormat="false" ht="15" hidden="false" customHeight="false" outlineLevel="0" collapsed="false">
      <c r="A132" s="9"/>
      <c r="B132" s="23"/>
      <c r="C132" s="24"/>
      <c r="D132" s="9"/>
      <c r="E132" s="9"/>
      <c r="F132" s="9"/>
      <c r="G132" s="9" t="str">
        <f aca="false">IF(F132="","",IFERROR(INDEX(Listas!$P$2:$P$13,MATCH(F132,Listas!$O$2:$O$13,0)),"Código desconocido"))</f>
        <v/>
      </c>
      <c r="H132" s="9"/>
      <c r="I132" s="26"/>
      <c r="J132" s="26"/>
      <c r="K132" s="9"/>
      <c r="L132" s="9"/>
    </row>
    <row r="133" customFormat="false" ht="15" hidden="false" customHeight="false" outlineLevel="0" collapsed="false">
      <c r="A133" s="9"/>
      <c r="B133" s="23"/>
      <c r="C133" s="24"/>
      <c r="D133" s="9"/>
      <c r="E133" s="9"/>
      <c r="F133" s="9"/>
      <c r="G133" s="9" t="str">
        <f aca="false">IF(F133="","",IFERROR(INDEX(Listas!$P$2:$P$13,MATCH(F133,Listas!$O$2:$O$13,0)),"Código desconocido"))</f>
        <v/>
      </c>
      <c r="H133" s="9"/>
      <c r="I133" s="26"/>
      <c r="J133" s="26"/>
      <c r="K133" s="9"/>
      <c r="L133" s="9"/>
    </row>
    <row r="134" customFormat="false" ht="15" hidden="false" customHeight="false" outlineLevel="0" collapsed="false">
      <c r="A134" s="9"/>
      <c r="B134" s="23"/>
      <c r="C134" s="24"/>
      <c r="D134" s="9"/>
      <c r="E134" s="9"/>
      <c r="F134" s="9"/>
      <c r="G134" s="9" t="str">
        <f aca="false">IF(F134="","",IFERROR(INDEX(Listas!$P$2:$P$13,MATCH(F134,Listas!$O$2:$O$13,0)),"Código desconocido"))</f>
        <v/>
      </c>
      <c r="H134" s="9"/>
      <c r="I134" s="26"/>
      <c r="J134" s="26"/>
      <c r="K134" s="9"/>
      <c r="L134" s="9"/>
    </row>
    <row r="135" customFormat="false" ht="15" hidden="false" customHeight="false" outlineLevel="0" collapsed="false">
      <c r="A135" s="9"/>
      <c r="B135" s="23"/>
      <c r="C135" s="24"/>
      <c r="D135" s="9"/>
      <c r="E135" s="9"/>
      <c r="F135" s="9"/>
      <c r="G135" s="9" t="str">
        <f aca="false">IF(F135="","",IFERROR(INDEX(Listas!$P$2:$P$13,MATCH(F135,Listas!$O$2:$O$13,0)),"Código desconocido"))</f>
        <v/>
      </c>
      <c r="H135" s="9"/>
      <c r="I135" s="26"/>
      <c r="J135" s="26"/>
      <c r="K135" s="9"/>
      <c r="L135" s="9"/>
    </row>
    <row r="136" customFormat="false" ht="15" hidden="false" customHeight="false" outlineLevel="0" collapsed="false">
      <c r="A136" s="9"/>
      <c r="B136" s="23"/>
      <c r="C136" s="24"/>
      <c r="D136" s="9"/>
      <c r="E136" s="9"/>
      <c r="F136" s="9"/>
      <c r="G136" s="9" t="str">
        <f aca="false">IF(F136="","",IFERROR(INDEX(Listas!$P$2:$P$13,MATCH(F136,Listas!$O$2:$O$13,0)),"Código desconocido"))</f>
        <v/>
      </c>
      <c r="H136" s="9"/>
      <c r="I136" s="26"/>
      <c r="J136" s="26"/>
      <c r="K136" s="9"/>
      <c r="L136" s="9"/>
    </row>
    <row r="137" customFormat="false" ht="15" hidden="false" customHeight="false" outlineLevel="0" collapsed="false">
      <c r="A137" s="9"/>
      <c r="B137" s="23"/>
      <c r="C137" s="24"/>
      <c r="D137" s="9"/>
      <c r="E137" s="9"/>
      <c r="F137" s="9"/>
      <c r="G137" s="9" t="str">
        <f aca="false">IF(F137="","",IFERROR(INDEX(Listas!$P$2:$P$13,MATCH(F137,Listas!$O$2:$O$13,0)),"Código desconocido"))</f>
        <v/>
      </c>
      <c r="H137" s="9"/>
      <c r="I137" s="26"/>
      <c r="J137" s="26"/>
      <c r="K137" s="9"/>
      <c r="L137" s="9"/>
    </row>
    <row r="138" customFormat="false" ht="15" hidden="false" customHeight="false" outlineLevel="0" collapsed="false">
      <c r="A138" s="9"/>
      <c r="B138" s="23"/>
      <c r="C138" s="24"/>
      <c r="D138" s="9"/>
      <c r="E138" s="9"/>
      <c r="F138" s="9"/>
      <c r="G138" s="9" t="str">
        <f aca="false">IF(F138="","",IFERROR(INDEX(Listas!$P$2:$P$13,MATCH(F138,Listas!$O$2:$O$13,0)),"Código desconocido"))</f>
        <v/>
      </c>
      <c r="H138" s="9"/>
      <c r="I138" s="26"/>
      <c r="J138" s="26"/>
      <c r="K138" s="9"/>
      <c r="L138" s="9"/>
    </row>
    <row r="139" customFormat="false" ht="15" hidden="false" customHeight="false" outlineLevel="0" collapsed="false">
      <c r="A139" s="9"/>
      <c r="B139" s="23"/>
      <c r="C139" s="24"/>
      <c r="D139" s="9"/>
      <c r="E139" s="9"/>
      <c r="F139" s="9"/>
      <c r="G139" s="9" t="str">
        <f aca="false">IF(F139="","",IFERROR(INDEX(Listas!$P$2:$P$13,MATCH(F139,Listas!$O$2:$O$13,0)),"Código desconocido"))</f>
        <v/>
      </c>
      <c r="H139" s="9"/>
      <c r="I139" s="26"/>
      <c r="J139" s="26"/>
      <c r="K139" s="9"/>
      <c r="L139" s="9"/>
    </row>
    <row r="140" customFormat="false" ht="15" hidden="false" customHeight="false" outlineLevel="0" collapsed="false">
      <c r="A140" s="9"/>
      <c r="B140" s="23"/>
      <c r="C140" s="24"/>
      <c r="D140" s="9"/>
      <c r="E140" s="9"/>
      <c r="F140" s="9"/>
      <c r="G140" s="9" t="str">
        <f aca="false">IF(F140="","",IFERROR(INDEX(Listas!$P$2:$P$13,MATCH(F140,Listas!$O$2:$O$13,0)),"Código desconocido"))</f>
        <v/>
      </c>
      <c r="H140" s="9"/>
      <c r="I140" s="26"/>
      <c r="J140" s="26"/>
      <c r="K140" s="9"/>
      <c r="L140" s="9"/>
    </row>
    <row r="141" customFormat="false" ht="15" hidden="false" customHeight="false" outlineLevel="0" collapsed="false">
      <c r="A141" s="9"/>
      <c r="B141" s="23"/>
      <c r="C141" s="24"/>
      <c r="D141" s="9"/>
      <c r="E141" s="9"/>
      <c r="F141" s="9"/>
      <c r="G141" s="9" t="str">
        <f aca="false">IF(F141="","",IFERROR(INDEX(Listas!$P$2:$P$13,MATCH(F141,Listas!$O$2:$O$13,0)),"Código desconocido"))</f>
        <v/>
      </c>
      <c r="H141" s="9"/>
      <c r="I141" s="26"/>
      <c r="J141" s="26"/>
      <c r="K141" s="9"/>
      <c r="L141" s="9"/>
    </row>
    <row r="142" customFormat="false" ht="15" hidden="false" customHeight="false" outlineLevel="0" collapsed="false">
      <c r="A142" s="9"/>
      <c r="B142" s="23"/>
      <c r="C142" s="24"/>
      <c r="D142" s="9"/>
      <c r="E142" s="9"/>
      <c r="F142" s="9"/>
      <c r="G142" s="9" t="str">
        <f aca="false">IF(F142="","",IFERROR(INDEX(Listas!$P$2:$P$13,MATCH(F142,Listas!$O$2:$O$13,0)),"Código desconocido"))</f>
        <v/>
      </c>
      <c r="H142" s="9"/>
      <c r="I142" s="26"/>
      <c r="J142" s="26"/>
      <c r="K142" s="9"/>
      <c r="L142" s="9"/>
    </row>
    <row r="143" customFormat="false" ht="15" hidden="false" customHeight="false" outlineLevel="0" collapsed="false">
      <c r="A143" s="9"/>
      <c r="B143" s="23"/>
      <c r="C143" s="24"/>
      <c r="D143" s="9"/>
      <c r="E143" s="9"/>
      <c r="F143" s="9"/>
      <c r="G143" s="9" t="str">
        <f aca="false">IF(F143="","",IFERROR(INDEX(Listas!$P$2:$P$13,MATCH(F143,Listas!$O$2:$O$13,0)),"Código desconocido"))</f>
        <v/>
      </c>
      <c r="H143" s="9"/>
      <c r="I143" s="26"/>
      <c r="J143" s="26"/>
      <c r="K143" s="9"/>
      <c r="L143" s="9"/>
    </row>
    <row r="144" customFormat="false" ht="15" hidden="false" customHeight="false" outlineLevel="0" collapsed="false">
      <c r="A144" s="9"/>
      <c r="B144" s="23"/>
      <c r="C144" s="24"/>
      <c r="D144" s="9"/>
      <c r="E144" s="9"/>
      <c r="F144" s="9"/>
      <c r="G144" s="9" t="str">
        <f aca="false">IF(F144="","",IFERROR(INDEX(Listas!$P$2:$P$13,MATCH(F144,Listas!$O$2:$O$13,0)),"Código desconocido"))</f>
        <v/>
      </c>
      <c r="H144" s="9"/>
      <c r="I144" s="26"/>
      <c r="J144" s="26"/>
      <c r="K144" s="9"/>
      <c r="L144" s="9"/>
    </row>
    <row r="145" customFormat="false" ht="15" hidden="false" customHeight="false" outlineLevel="0" collapsed="false">
      <c r="A145" s="9"/>
      <c r="B145" s="23"/>
      <c r="C145" s="24"/>
      <c r="D145" s="9"/>
      <c r="E145" s="9"/>
      <c r="F145" s="9"/>
      <c r="G145" s="9" t="str">
        <f aca="false">IF(F145="","",IFERROR(INDEX(Listas!$P$2:$P$13,MATCH(F145,Listas!$O$2:$O$13,0)),"Código desconocido"))</f>
        <v/>
      </c>
      <c r="H145" s="9"/>
      <c r="I145" s="26"/>
      <c r="J145" s="26"/>
      <c r="K145" s="9"/>
      <c r="L145" s="9"/>
    </row>
    <row r="146" customFormat="false" ht="15" hidden="false" customHeight="false" outlineLevel="0" collapsed="false">
      <c r="A146" s="9"/>
      <c r="B146" s="23"/>
      <c r="C146" s="24"/>
      <c r="D146" s="9"/>
      <c r="E146" s="9"/>
      <c r="F146" s="9"/>
      <c r="G146" s="9" t="str">
        <f aca="false">IF(F146="","",IFERROR(INDEX(Listas!$P$2:$P$13,MATCH(F146,Listas!$O$2:$O$13,0)),"Código desconocido"))</f>
        <v/>
      </c>
      <c r="H146" s="9"/>
      <c r="I146" s="26"/>
      <c r="J146" s="26"/>
      <c r="K146" s="9"/>
      <c r="L146" s="9"/>
    </row>
    <row r="147" customFormat="false" ht="15" hidden="false" customHeight="false" outlineLevel="0" collapsed="false">
      <c r="A147" s="9"/>
      <c r="B147" s="23"/>
      <c r="C147" s="24"/>
      <c r="D147" s="9"/>
      <c r="E147" s="9"/>
      <c r="F147" s="9"/>
      <c r="G147" s="9" t="str">
        <f aca="false">IF(F147="","",IFERROR(INDEX(Listas!$P$2:$P$13,MATCH(F147,Listas!$O$2:$O$13,0)),"Código desconocido"))</f>
        <v/>
      </c>
      <c r="H147" s="9"/>
      <c r="I147" s="26"/>
      <c r="J147" s="26"/>
      <c r="K147" s="9"/>
      <c r="L147" s="9"/>
    </row>
    <row r="148" customFormat="false" ht="15" hidden="false" customHeight="false" outlineLevel="0" collapsed="false">
      <c r="A148" s="9"/>
      <c r="B148" s="23"/>
      <c r="C148" s="24"/>
      <c r="D148" s="9"/>
      <c r="E148" s="9"/>
      <c r="F148" s="9"/>
      <c r="G148" s="9" t="str">
        <f aca="false">IF(F148="","",IFERROR(INDEX(Listas!$P$2:$P$13,MATCH(F148,Listas!$O$2:$O$13,0)),"Código desconocido"))</f>
        <v/>
      </c>
      <c r="H148" s="9"/>
      <c r="I148" s="26"/>
      <c r="J148" s="26"/>
      <c r="K148" s="9"/>
      <c r="L148" s="9"/>
    </row>
    <row r="149" customFormat="false" ht="15" hidden="false" customHeight="false" outlineLevel="0" collapsed="false">
      <c r="A149" s="9"/>
      <c r="B149" s="23"/>
      <c r="C149" s="24"/>
      <c r="D149" s="9"/>
      <c r="E149" s="9"/>
      <c r="F149" s="9"/>
      <c r="G149" s="9" t="str">
        <f aca="false">IF(F149="","",IFERROR(INDEX(Listas!$P$2:$P$13,MATCH(F149,Listas!$O$2:$O$13,0)),"Código desconocido"))</f>
        <v/>
      </c>
      <c r="H149" s="9"/>
      <c r="I149" s="26"/>
      <c r="J149" s="26"/>
      <c r="K149" s="9"/>
      <c r="L149" s="9"/>
    </row>
    <row r="150" customFormat="false" ht="15" hidden="false" customHeight="false" outlineLevel="0" collapsed="false">
      <c r="A150" s="9"/>
      <c r="B150" s="23"/>
      <c r="C150" s="24"/>
      <c r="D150" s="9"/>
      <c r="E150" s="9"/>
      <c r="F150" s="9"/>
      <c r="G150" s="9" t="str">
        <f aca="false">IF(F150="","",IFERROR(INDEX(Listas!$P$2:$P$13,MATCH(F150,Listas!$O$2:$O$13,0)),"Código desconocido"))</f>
        <v/>
      </c>
      <c r="H150" s="9"/>
      <c r="I150" s="26"/>
      <c r="J150" s="26"/>
      <c r="K150" s="9"/>
      <c r="L150" s="9"/>
    </row>
    <row r="151" customFormat="false" ht="15" hidden="false" customHeight="false" outlineLevel="0" collapsed="false">
      <c r="A151" s="9"/>
      <c r="B151" s="23"/>
      <c r="C151" s="24"/>
      <c r="D151" s="9"/>
      <c r="E151" s="9"/>
      <c r="F151" s="9"/>
      <c r="G151" s="9" t="str">
        <f aca="false">IF(F151="","",IFERROR(INDEX(Listas!$P$2:$P$13,MATCH(F151,Listas!$O$2:$O$13,0)),"Código desconocido"))</f>
        <v/>
      </c>
      <c r="H151" s="9"/>
      <c r="I151" s="26"/>
      <c r="J151" s="26"/>
      <c r="K151" s="9"/>
      <c r="L151" s="9"/>
    </row>
    <row r="152" customFormat="false" ht="15" hidden="false" customHeight="false" outlineLevel="0" collapsed="false">
      <c r="A152" s="9"/>
      <c r="B152" s="23"/>
      <c r="C152" s="24"/>
      <c r="D152" s="9"/>
      <c r="E152" s="9"/>
      <c r="F152" s="9"/>
      <c r="G152" s="9" t="str">
        <f aca="false">IF(F152="","",IFERROR(INDEX(Listas!$P$2:$P$13,MATCH(F152,Listas!$O$2:$O$13,0)),"Código desconocido"))</f>
        <v/>
      </c>
      <c r="H152" s="9"/>
      <c r="I152" s="26"/>
      <c r="J152" s="26"/>
      <c r="K152" s="9"/>
      <c r="L152" s="9"/>
    </row>
    <row r="153" customFormat="false" ht="15" hidden="false" customHeight="false" outlineLevel="0" collapsed="false">
      <c r="A153" s="9"/>
      <c r="B153" s="23"/>
      <c r="C153" s="24"/>
      <c r="D153" s="9"/>
      <c r="E153" s="9"/>
      <c r="F153" s="9"/>
      <c r="G153" s="9" t="str">
        <f aca="false">IF(F153="","",IFERROR(INDEX(Listas!$P$2:$P$13,MATCH(F153,Listas!$O$2:$O$13,0)),"Código desconocido"))</f>
        <v/>
      </c>
      <c r="H153" s="9"/>
      <c r="I153" s="26"/>
      <c r="J153" s="26"/>
      <c r="K153" s="9"/>
      <c r="L153" s="9"/>
    </row>
    <row r="154" customFormat="false" ht="15" hidden="false" customHeight="false" outlineLevel="0" collapsed="false">
      <c r="A154" s="9"/>
      <c r="B154" s="23"/>
      <c r="C154" s="24"/>
      <c r="D154" s="9"/>
      <c r="E154" s="9"/>
      <c r="F154" s="9"/>
      <c r="G154" s="9" t="str">
        <f aca="false">IF(F154="","",IFERROR(INDEX(Listas!$P$2:$P$13,MATCH(F154,Listas!$O$2:$O$13,0)),"Código desconocido"))</f>
        <v/>
      </c>
      <c r="H154" s="9"/>
      <c r="I154" s="26"/>
      <c r="J154" s="26"/>
      <c r="K154" s="9"/>
      <c r="L154" s="9"/>
    </row>
    <row r="155" customFormat="false" ht="15" hidden="false" customHeight="false" outlineLevel="0" collapsed="false">
      <c r="A155" s="9"/>
      <c r="B155" s="23"/>
      <c r="C155" s="24"/>
      <c r="D155" s="9"/>
      <c r="E155" s="9"/>
      <c r="F155" s="9"/>
      <c r="G155" s="9" t="str">
        <f aca="false">IF(F155="","",IFERROR(INDEX(Listas!$P$2:$P$13,MATCH(F155,Listas!$O$2:$O$13,0)),"Código desconocido"))</f>
        <v/>
      </c>
      <c r="H155" s="9"/>
      <c r="I155" s="26"/>
      <c r="J155" s="26"/>
      <c r="K155" s="9"/>
      <c r="L155" s="9"/>
    </row>
    <row r="156" customFormat="false" ht="15" hidden="false" customHeight="false" outlineLevel="0" collapsed="false">
      <c r="A156" s="9"/>
      <c r="B156" s="23"/>
      <c r="C156" s="24"/>
      <c r="D156" s="9"/>
      <c r="E156" s="9"/>
      <c r="F156" s="9"/>
      <c r="G156" s="9" t="str">
        <f aca="false">IF(F156="","",IFERROR(INDEX(Listas!$P$2:$P$13,MATCH(F156,Listas!$O$2:$O$13,0)),"Código desconocido"))</f>
        <v/>
      </c>
      <c r="H156" s="9"/>
      <c r="I156" s="26"/>
      <c r="J156" s="26"/>
      <c r="K156" s="9"/>
      <c r="L156" s="9"/>
    </row>
    <row r="157" customFormat="false" ht="15" hidden="false" customHeight="false" outlineLevel="0" collapsed="false">
      <c r="A157" s="9"/>
      <c r="B157" s="23"/>
      <c r="C157" s="24"/>
      <c r="D157" s="9"/>
      <c r="E157" s="9"/>
      <c r="F157" s="9"/>
      <c r="G157" s="9" t="str">
        <f aca="false">IF(F157="","",IFERROR(INDEX(Listas!$P$2:$P$13,MATCH(F157,Listas!$O$2:$O$13,0)),"Código desconocido"))</f>
        <v/>
      </c>
      <c r="H157" s="9"/>
      <c r="I157" s="26"/>
      <c r="J157" s="26"/>
      <c r="K157" s="9"/>
      <c r="L157" s="9"/>
    </row>
    <row r="158" customFormat="false" ht="15" hidden="false" customHeight="false" outlineLevel="0" collapsed="false">
      <c r="A158" s="9"/>
      <c r="B158" s="23"/>
      <c r="C158" s="24"/>
      <c r="D158" s="9"/>
      <c r="E158" s="9"/>
      <c r="F158" s="9"/>
      <c r="G158" s="9" t="str">
        <f aca="false">IF(F158="","",IFERROR(INDEX(Listas!$P$2:$P$13,MATCH(F158,Listas!$O$2:$O$13,0)),"Código desconocido"))</f>
        <v/>
      </c>
      <c r="H158" s="9"/>
      <c r="I158" s="26"/>
      <c r="J158" s="26"/>
      <c r="K158" s="9"/>
      <c r="L158" s="9"/>
    </row>
    <row r="159" customFormat="false" ht="15" hidden="false" customHeight="false" outlineLevel="0" collapsed="false">
      <c r="A159" s="9"/>
      <c r="B159" s="23"/>
      <c r="C159" s="24"/>
      <c r="D159" s="9"/>
      <c r="E159" s="9"/>
      <c r="F159" s="9"/>
      <c r="G159" s="9" t="str">
        <f aca="false">IF(F159="","",IFERROR(INDEX(Listas!$P$2:$P$13,MATCH(F159,Listas!$O$2:$O$13,0)),"Código desconocido"))</f>
        <v/>
      </c>
      <c r="H159" s="9"/>
      <c r="I159" s="26"/>
      <c r="J159" s="26"/>
      <c r="K159" s="9"/>
      <c r="L159" s="9"/>
    </row>
    <row r="160" customFormat="false" ht="15" hidden="false" customHeight="false" outlineLevel="0" collapsed="false">
      <c r="A160" s="9"/>
      <c r="B160" s="23"/>
      <c r="C160" s="24"/>
      <c r="D160" s="9"/>
      <c r="E160" s="9"/>
      <c r="F160" s="9"/>
      <c r="G160" s="9" t="str">
        <f aca="false">IF(F160="","",IFERROR(INDEX(Listas!$P$2:$P$13,MATCH(F160,Listas!$O$2:$O$13,0)),"Código desconocido"))</f>
        <v/>
      </c>
      <c r="H160" s="9"/>
      <c r="I160" s="26"/>
      <c r="J160" s="26"/>
      <c r="K160" s="9"/>
      <c r="L160" s="9"/>
    </row>
    <row r="161" customFormat="false" ht="15" hidden="false" customHeight="false" outlineLevel="0" collapsed="false">
      <c r="A161" s="9"/>
      <c r="B161" s="23"/>
      <c r="C161" s="24"/>
      <c r="D161" s="9"/>
      <c r="E161" s="9"/>
      <c r="F161" s="9"/>
      <c r="G161" s="9" t="str">
        <f aca="false">IF(F161="","",IFERROR(INDEX(Listas!$P$2:$P$13,MATCH(F161,Listas!$O$2:$O$13,0)),"Código desconocido"))</f>
        <v/>
      </c>
      <c r="H161" s="9"/>
      <c r="I161" s="26"/>
      <c r="J161" s="26"/>
      <c r="K161" s="9"/>
      <c r="L161" s="9"/>
    </row>
    <row r="162" customFormat="false" ht="15" hidden="false" customHeight="false" outlineLevel="0" collapsed="false">
      <c r="A162" s="9"/>
      <c r="B162" s="23"/>
      <c r="C162" s="24"/>
      <c r="D162" s="9"/>
      <c r="E162" s="9"/>
      <c r="F162" s="9"/>
      <c r="G162" s="9" t="str">
        <f aca="false">IF(F162="","",IFERROR(INDEX(Listas!$P$2:$P$13,MATCH(F162,Listas!$O$2:$O$13,0)),"Código desconocido"))</f>
        <v/>
      </c>
      <c r="H162" s="9"/>
      <c r="I162" s="26"/>
      <c r="J162" s="26"/>
      <c r="K162" s="9"/>
      <c r="L162" s="9"/>
    </row>
    <row r="163" customFormat="false" ht="15" hidden="false" customHeight="false" outlineLevel="0" collapsed="false">
      <c r="A163" s="9"/>
      <c r="B163" s="23"/>
      <c r="C163" s="24"/>
      <c r="D163" s="9"/>
      <c r="E163" s="9"/>
      <c r="F163" s="9"/>
      <c r="G163" s="9" t="str">
        <f aca="false">IF(F163="","",IFERROR(INDEX(Listas!$P$2:$P$13,MATCH(F163,Listas!$O$2:$O$13,0)),"Código desconocido"))</f>
        <v/>
      </c>
      <c r="H163" s="9"/>
      <c r="I163" s="26"/>
      <c r="J163" s="26"/>
      <c r="K163" s="9"/>
      <c r="L163" s="9"/>
    </row>
    <row r="164" customFormat="false" ht="15" hidden="false" customHeight="false" outlineLevel="0" collapsed="false">
      <c r="A164" s="9"/>
      <c r="B164" s="23"/>
      <c r="C164" s="24"/>
      <c r="D164" s="9"/>
      <c r="E164" s="9"/>
      <c r="F164" s="9"/>
      <c r="G164" s="9" t="str">
        <f aca="false">IF(F164="","",IFERROR(INDEX(Listas!$P$2:$P$13,MATCH(F164,Listas!$O$2:$O$13,0)),"Código desconocido"))</f>
        <v/>
      </c>
      <c r="H164" s="9"/>
      <c r="I164" s="26"/>
      <c r="J164" s="26"/>
      <c r="K164" s="9"/>
      <c r="L164" s="9"/>
    </row>
    <row r="165" customFormat="false" ht="15" hidden="false" customHeight="false" outlineLevel="0" collapsed="false">
      <c r="A165" s="9"/>
      <c r="B165" s="23"/>
      <c r="C165" s="24"/>
      <c r="D165" s="9"/>
      <c r="E165" s="9"/>
      <c r="F165" s="9"/>
      <c r="G165" s="9" t="str">
        <f aca="false">IF(F165="","",IFERROR(INDEX(Listas!$P$2:$P$13,MATCH(F165,Listas!$O$2:$O$13,0)),"Código desconocido"))</f>
        <v/>
      </c>
      <c r="H165" s="9"/>
      <c r="I165" s="26"/>
      <c r="J165" s="26"/>
      <c r="K165" s="9"/>
      <c r="L165" s="9"/>
    </row>
    <row r="166" customFormat="false" ht="15" hidden="false" customHeight="false" outlineLevel="0" collapsed="false">
      <c r="A166" s="9"/>
      <c r="B166" s="23"/>
      <c r="C166" s="24"/>
      <c r="D166" s="9"/>
      <c r="E166" s="9"/>
      <c r="F166" s="9"/>
      <c r="G166" s="9" t="str">
        <f aca="false">IF(F166="","",IFERROR(INDEX(Listas!$P$2:$P$13,MATCH(F166,Listas!$O$2:$O$13,0)),"Código desconocido"))</f>
        <v/>
      </c>
      <c r="H166" s="9"/>
      <c r="I166" s="26"/>
      <c r="J166" s="26"/>
      <c r="K166" s="9"/>
      <c r="L166" s="9"/>
    </row>
    <row r="167" customFormat="false" ht="15" hidden="false" customHeight="false" outlineLevel="0" collapsed="false">
      <c r="A167" s="9"/>
      <c r="B167" s="23"/>
      <c r="C167" s="24"/>
      <c r="D167" s="9"/>
      <c r="E167" s="9"/>
      <c r="F167" s="9"/>
      <c r="G167" s="9" t="str">
        <f aca="false">IF(F167="","",IFERROR(INDEX(Listas!$P$2:$P$13,MATCH(F167,Listas!$O$2:$O$13,0)),"Código desconocido"))</f>
        <v/>
      </c>
      <c r="H167" s="9"/>
      <c r="I167" s="26"/>
      <c r="J167" s="26"/>
      <c r="K167" s="9"/>
      <c r="L167" s="9"/>
    </row>
    <row r="168" customFormat="false" ht="15" hidden="false" customHeight="false" outlineLevel="0" collapsed="false">
      <c r="A168" s="9"/>
      <c r="B168" s="23"/>
      <c r="C168" s="24"/>
      <c r="D168" s="9"/>
      <c r="E168" s="9"/>
      <c r="F168" s="9"/>
      <c r="G168" s="9" t="str">
        <f aca="false">IF(F168="","",IFERROR(INDEX(Listas!$P$2:$P$13,MATCH(F168,Listas!$O$2:$O$13,0)),"Código desconocido"))</f>
        <v/>
      </c>
      <c r="H168" s="9"/>
      <c r="I168" s="26"/>
      <c r="J168" s="26"/>
      <c r="K168" s="9"/>
      <c r="L168" s="9"/>
    </row>
    <row r="169" customFormat="false" ht="15" hidden="false" customHeight="false" outlineLevel="0" collapsed="false">
      <c r="A169" s="9"/>
      <c r="B169" s="23"/>
      <c r="C169" s="24"/>
      <c r="D169" s="9"/>
      <c r="E169" s="9"/>
      <c r="F169" s="9"/>
      <c r="G169" s="9" t="str">
        <f aca="false">IF(F169="","",IFERROR(INDEX(Listas!$P$2:$P$13,MATCH(F169,Listas!$O$2:$O$13,0)),"Código desconocido"))</f>
        <v/>
      </c>
      <c r="H169" s="9"/>
      <c r="I169" s="26"/>
      <c r="J169" s="26"/>
      <c r="K169" s="9"/>
      <c r="L169" s="9"/>
    </row>
    <row r="170" customFormat="false" ht="15" hidden="false" customHeight="false" outlineLevel="0" collapsed="false">
      <c r="A170" s="9"/>
      <c r="B170" s="23"/>
      <c r="C170" s="24"/>
      <c r="D170" s="9"/>
      <c r="E170" s="9"/>
      <c r="F170" s="9"/>
      <c r="G170" s="9" t="str">
        <f aca="false">IF(F170="","",IFERROR(INDEX(Listas!$P$2:$P$13,MATCH(F170,Listas!$O$2:$O$13,0)),"Código desconocido"))</f>
        <v/>
      </c>
      <c r="H170" s="9"/>
      <c r="I170" s="26"/>
      <c r="J170" s="26"/>
      <c r="K170" s="9"/>
      <c r="L170" s="9"/>
    </row>
    <row r="171" customFormat="false" ht="15" hidden="false" customHeight="false" outlineLevel="0" collapsed="false">
      <c r="A171" s="9"/>
      <c r="B171" s="23"/>
      <c r="C171" s="24"/>
      <c r="D171" s="9"/>
      <c r="E171" s="9"/>
      <c r="F171" s="9"/>
      <c r="G171" s="9" t="str">
        <f aca="false">IF(F171="","",IFERROR(INDEX(Listas!$P$2:$P$13,MATCH(F171,Listas!$O$2:$O$13,0)),"Código desconocido"))</f>
        <v/>
      </c>
      <c r="H171" s="9"/>
      <c r="I171" s="26"/>
      <c r="J171" s="26"/>
      <c r="K171" s="9"/>
      <c r="L171" s="9"/>
    </row>
    <row r="172" customFormat="false" ht="15" hidden="false" customHeight="false" outlineLevel="0" collapsed="false">
      <c r="A172" s="9"/>
      <c r="B172" s="23"/>
      <c r="C172" s="24"/>
      <c r="D172" s="9"/>
      <c r="E172" s="9"/>
      <c r="F172" s="9"/>
      <c r="G172" s="9" t="str">
        <f aca="false">IF(F172="","",IFERROR(INDEX(Listas!$P$2:$P$13,MATCH(F172,Listas!$O$2:$O$13,0)),"Código desconocido"))</f>
        <v/>
      </c>
      <c r="H172" s="9"/>
      <c r="I172" s="26"/>
      <c r="J172" s="26"/>
      <c r="K172" s="9"/>
      <c r="L172" s="9"/>
    </row>
    <row r="173" customFormat="false" ht="15" hidden="false" customHeight="false" outlineLevel="0" collapsed="false">
      <c r="A173" s="9"/>
      <c r="B173" s="23"/>
      <c r="C173" s="24"/>
      <c r="D173" s="9"/>
      <c r="E173" s="9"/>
      <c r="F173" s="9"/>
      <c r="G173" s="9" t="str">
        <f aca="false">IF(F173="","",IFERROR(INDEX(Listas!$P$2:$P$13,MATCH(F173,Listas!$O$2:$O$13,0)),"Código desconocido"))</f>
        <v/>
      </c>
      <c r="H173" s="9"/>
      <c r="I173" s="26"/>
      <c r="J173" s="26"/>
      <c r="K173" s="9"/>
      <c r="L173" s="9"/>
    </row>
    <row r="174" customFormat="false" ht="15" hidden="false" customHeight="false" outlineLevel="0" collapsed="false">
      <c r="A174" s="9"/>
      <c r="B174" s="23"/>
      <c r="C174" s="24"/>
      <c r="D174" s="9"/>
      <c r="E174" s="9"/>
      <c r="F174" s="9"/>
      <c r="G174" s="9" t="str">
        <f aca="false">IF(F174="","",IFERROR(INDEX(Listas!$P$2:$P$13,MATCH(F174,Listas!$O$2:$O$13,0)),"Código desconocido"))</f>
        <v/>
      </c>
      <c r="H174" s="9"/>
      <c r="I174" s="26"/>
      <c r="J174" s="26"/>
      <c r="K174" s="9"/>
      <c r="L174" s="9"/>
    </row>
    <row r="175" customFormat="false" ht="15" hidden="false" customHeight="false" outlineLevel="0" collapsed="false">
      <c r="A175" s="9"/>
      <c r="B175" s="23"/>
      <c r="C175" s="24"/>
      <c r="D175" s="9"/>
      <c r="E175" s="9"/>
      <c r="F175" s="9"/>
      <c r="G175" s="9" t="str">
        <f aca="false">IF(F175="","",IFERROR(INDEX(Listas!$P$2:$P$13,MATCH(F175,Listas!$O$2:$O$13,0)),"Código desconocido"))</f>
        <v/>
      </c>
      <c r="H175" s="9"/>
      <c r="I175" s="26"/>
      <c r="J175" s="26"/>
      <c r="K175" s="9"/>
      <c r="L175" s="9"/>
    </row>
    <row r="176" customFormat="false" ht="15" hidden="false" customHeight="false" outlineLevel="0" collapsed="false">
      <c r="A176" s="9"/>
      <c r="B176" s="23"/>
      <c r="C176" s="24"/>
      <c r="D176" s="9"/>
      <c r="E176" s="9"/>
      <c r="F176" s="9"/>
      <c r="G176" s="9" t="str">
        <f aca="false">IF(F176="","",IFERROR(INDEX(Listas!$P$2:$P$13,MATCH(F176,Listas!$O$2:$O$13,0)),"Código desconocido"))</f>
        <v/>
      </c>
      <c r="H176" s="9"/>
      <c r="I176" s="26"/>
      <c r="J176" s="26"/>
      <c r="K176" s="9"/>
      <c r="L176" s="9"/>
    </row>
    <row r="177" customFormat="false" ht="15" hidden="false" customHeight="false" outlineLevel="0" collapsed="false">
      <c r="A177" s="9"/>
      <c r="B177" s="23"/>
      <c r="C177" s="24"/>
      <c r="D177" s="9"/>
      <c r="E177" s="9"/>
      <c r="F177" s="9"/>
      <c r="G177" s="9" t="str">
        <f aca="false">IF(F177="","",IFERROR(INDEX(Listas!$P$2:$P$13,MATCH(F177,Listas!$O$2:$O$13,0)),"Código desconocido"))</f>
        <v/>
      </c>
      <c r="H177" s="9"/>
      <c r="I177" s="26"/>
      <c r="J177" s="26"/>
      <c r="K177" s="9"/>
      <c r="L177" s="9"/>
    </row>
    <row r="178" customFormat="false" ht="15" hidden="false" customHeight="false" outlineLevel="0" collapsed="false">
      <c r="A178" s="9"/>
      <c r="B178" s="23"/>
      <c r="C178" s="24"/>
      <c r="D178" s="9"/>
      <c r="E178" s="9"/>
      <c r="F178" s="9"/>
      <c r="G178" s="9" t="str">
        <f aca="false">IF(F178="","",IFERROR(INDEX(Listas!$P$2:$P$13,MATCH(F178,Listas!$O$2:$O$13,0)),"Código desconocido"))</f>
        <v/>
      </c>
      <c r="H178" s="9"/>
      <c r="I178" s="26"/>
      <c r="J178" s="26"/>
      <c r="K178" s="9"/>
      <c r="L178" s="9"/>
    </row>
    <row r="179" customFormat="false" ht="15" hidden="false" customHeight="false" outlineLevel="0" collapsed="false">
      <c r="A179" s="9"/>
      <c r="B179" s="23"/>
      <c r="C179" s="24"/>
      <c r="D179" s="9"/>
      <c r="E179" s="9"/>
      <c r="F179" s="9"/>
      <c r="G179" s="9" t="str">
        <f aca="false">IF(F179="","",IFERROR(INDEX(Listas!$P$2:$P$13,MATCH(F179,Listas!$O$2:$O$13,0)),"Código desconocido"))</f>
        <v/>
      </c>
      <c r="H179" s="9"/>
      <c r="I179" s="26"/>
      <c r="J179" s="26"/>
      <c r="K179" s="9"/>
      <c r="L179" s="9"/>
    </row>
    <row r="180" customFormat="false" ht="15" hidden="false" customHeight="false" outlineLevel="0" collapsed="false">
      <c r="A180" s="9"/>
      <c r="B180" s="23"/>
      <c r="C180" s="24"/>
      <c r="D180" s="9"/>
      <c r="E180" s="9"/>
      <c r="F180" s="9"/>
      <c r="G180" s="9" t="str">
        <f aca="false">IF(F180="","",IFERROR(INDEX(Listas!$P$2:$P$13,MATCH(F180,Listas!$O$2:$O$13,0)),"Código desconocido"))</f>
        <v/>
      </c>
      <c r="H180" s="9"/>
      <c r="I180" s="26"/>
      <c r="J180" s="26"/>
      <c r="K180" s="9"/>
      <c r="L180" s="9"/>
    </row>
    <row r="181" customFormat="false" ht="15" hidden="false" customHeight="false" outlineLevel="0" collapsed="false">
      <c r="A181" s="9"/>
      <c r="B181" s="23"/>
      <c r="C181" s="24"/>
      <c r="D181" s="9"/>
      <c r="E181" s="9"/>
      <c r="F181" s="9"/>
      <c r="G181" s="9" t="str">
        <f aca="false">IF(F181="","",IFERROR(INDEX(Listas!$P$2:$P$13,MATCH(F181,Listas!$O$2:$O$13,0)),"Código desconocido"))</f>
        <v/>
      </c>
      <c r="H181" s="9"/>
      <c r="I181" s="26"/>
      <c r="J181" s="26"/>
      <c r="K181" s="9"/>
      <c r="L181" s="9"/>
    </row>
    <row r="182" customFormat="false" ht="15" hidden="false" customHeight="false" outlineLevel="0" collapsed="false">
      <c r="A182" s="9"/>
      <c r="B182" s="23"/>
      <c r="C182" s="24"/>
      <c r="D182" s="9"/>
      <c r="E182" s="9"/>
      <c r="F182" s="9"/>
      <c r="G182" s="9" t="str">
        <f aca="false">IF(F182="","",IFERROR(INDEX(Listas!$P$2:$P$13,MATCH(F182,Listas!$O$2:$O$13,0)),"Código desconocido"))</f>
        <v/>
      </c>
      <c r="H182" s="9"/>
      <c r="I182" s="26"/>
      <c r="J182" s="26"/>
      <c r="K182" s="9"/>
      <c r="L182" s="9"/>
    </row>
    <row r="183" customFormat="false" ht="15" hidden="false" customHeight="false" outlineLevel="0" collapsed="false">
      <c r="A183" s="9"/>
      <c r="B183" s="23"/>
      <c r="C183" s="24"/>
      <c r="D183" s="9"/>
      <c r="E183" s="9"/>
      <c r="F183" s="9"/>
      <c r="G183" s="9" t="str">
        <f aca="false">IF(F183="","",IFERROR(INDEX(Listas!$P$2:$P$13,MATCH(F183,Listas!$O$2:$O$13,0)),"Código desconocido"))</f>
        <v/>
      </c>
      <c r="H183" s="9"/>
      <c r="I183" s="26"/>
      <c r="J183" s="26"/>
      <c r="K183" s="9"/>
      <c r="L183" s="9"/>
    </row>
    <row r="184" customFormat="false" ht="15" hidden="false" customHeight="false" outlineLevel="0" collapsed="false">
      <c r="A184" s="9"/>
      <c r="B184" s="23"/>
      <c r="C184" s="24"/>
      <c r="D184" s="9"/>
      <c r="E184" s="9"/>
      <c r="F184" s="9"/>
      <c r="G184" s="9" t="str">
        <f aca="false">IF(F184="","",IFERROR(INDEX(Listas!$P$2:$P$13,MATCH(F184,Listas!$O$2:$O$13,0)),"Código desconocido"))</f>
        <v/>
      </c>
      <c r="H184" s="9"/>
      <c r="I184" s="26"/>
      <c r="J184" s="26"/>
      <c r="K184" s="9"/>
      <c r="L184" s="9"/>
    </row>
    <row r="185" customFormat="false" ht="15" hidden="false" customHeight="false" outlineLevel="0" collapsed="false">
      <c r="A185" s="9"/>
      <c r="B185" s="23"/>
      <c r="C185" s="24"/>
      <c r="D185" s="9"/>
      <c r="E185" s="9"/>
      <c r="F185" s="9"/>
      <c r="G185" s="9" t="str">
        <f aca="false">IF(F185="","",IFERROR(INDEX(Listas!$P$2:$P$13,MATCH(F185,Listas!$O$2:$O$13,0)),"Código desconocido"))</f>
        <v/>
      </c>
      <c r="H185" s="9"/>
      <c r="I185" s="26"/>
      <c r="J185" s="26"/>
      <c r="K185" s="9"/>
      <c r="L185" s="9"/>
    </row>
    <row r="186" customFormat="false" ht="15" hidden="false" customHeight="false" outlineLevel="0" collapsed="false">
      <c r="A186" s="9"/>
      <c r="B186" s="23"/>
      <c r="C186" s="24"/>
      <c r="D186" s="9"/>
      <c r="E186" s="9"/>
      <c r="F186" s="9"/>
      <c r="G186" s="9" t="str">
        <f aca="false">IF(F186="","",IFERROR(INDEX(Listas!$P$2:$P$13,MATCH(F186,Listas!$O$2:$O$13,0)),"Código desconocido"))</f>
        <v/>
      </c>
      <c r="H186" s="9"/>
      <c r="I186" s="26"/>
      <c r="J186" s="26"/>
      <c r="K186" s="9"/>
      <c r="L186" s="9"/>
    </row>
    <row r="187" customFormat="false" ht="15" hidden="false" customHeight="false" outlineLevel="0" collapsed="false">
      <c r="A187" s="9"/>
      <c r="B187" s="23"/>
      <c r="C187" s="24"/>
      <c r="D187" s="9"/>
      <c r="E187" s="9"/>
      <c r="F187" s="9"/>
      <c r="G187" s="9" t="str">
        <f aca="false">IF(F187="","",IFERROR(INDEX(Listas!$P$2:$P$13,MATCH(F187,Listas!$O$2:$O$13,0)),"Código desconocido"))</f>
        <v/>
      </c>
      <c r="H187" s="9"/>
      <c r="I187" s="26"/>
      <c r="J187" s="26"/>
      <c r="K187" s="9"/>
      <c r="L187" s="9"/>
    </row>
    <row r="188" customFormat="false" ht="15" hidden="false" customHeight="false" outlineLevel="0" collapsed="false">
      <c r="A188" s="9"/>
      <c r="B188" s="23"/>
      <c r="C188" s="24"/>
      <c r="D188" s="9"/>
      <c r="E188" s="9"/>
      <c r="F188" s="9"/>
      <c r="G188" s="9" t="str">
        <f aca="false">IF(F188="","",IFERROR(INDEX(Listas!$P$2:$P$13,MATCH(F188,Listas!$O$2:$O$13,0)),"Código desconocido"))</f>
        <v/>
      </c>
      <c r="H188" s="9"/>
      <c r="I188" s="26"/>
      <c r="J188" s="26"/>
      <c r="K188" s="9"/>
      <c r="L188" s="9"/>
    </row>
    <row r="189" customFormat="false" ht="15" hidden="false" customHeight="false" outlineLevel="0" collapsed="false">
      <c r="A189" s="9"/>
      <c r="B189" s="23"/>
      <c r="C189" s="24"/>
      <c r="D189" s="9"/>
      <c r="E189" s="9"/>
      <c r="F189" s="9"/>
      <c r="G189" s="9" t="str">
        <f aca="false">IF(F189="","",IFERROR(INDEX(Listas!$P$2:$P$13,MATCH(F189,Listas!$O$2:$O$13,0)),"Código desconocido"))</f>
        <v/>
      </c>
      <c r="H189" s="9"/>
      <c r="I189" s="26"/>
      <c r="J189" s="26"/>
      <c r="K189" s="9"/>
      <c r="L189" s="9"/>
    </row>
    <row r="190" customFormat="false" ht="15" hidden="false" customHeight="false" outlineLevel="0" collapsed="false">
      <c r="A190" s="9"/>
      <c r="B190" s="23"/>
      <c r="C190" s="24"/>
      <c r="D190" s="9"/>
      <c r="E190" s="9"/>
      <c r="F190" s="9"/>
      <c r="G190" s="9" t="str">
        <f aca="false">IF(F190="","",IFERROR(INDEX(Listas!$P$2:$P$13,MATCH(F190,Listas!$O$2:$O$13,0)),"Código desconocido"))</f>
        <v/>
      </c>
      <c r="H190" s="9"/>
      <c r="I190" s="26"/>
      <c r="J190" s="26"/>
      <c r="K190" s="9"/>
      <c r="L190" s="9"/>
    </row>
    <row r="191" customFormat="false" ht="15" hidden="false" customHeight="false" outlineLevel="0" collapsed="false">
      <c r="A191" s="9"/>
      <c r="B191" s="23"/>
      <c r="C191" s="24"/>
      <c r="D191" s="9"/>
      <c r="E191" s="9"/>
      <c r="F191" s="9"/>
      <c r="G191" s="9" t="str">
        <f aca="false">IF(F191="","",IFERROR(INDEX(Listas!$P$2:$P$13,MATCH(F191,Listas!$O$2:$O$13,0)),"Código desconocido"))</f>
        <v/>
      </c>
      <c r="H191" s="9"/>
      <c r="I191" s="26"/>
      <c r="J191" s="26"/>
      <c r="K191" s="9"/>
      <c r="L191" s="9"/>
    </row>
    <row r="192" customFormat="false" ht="15" hidden="false" customHeight="false" outlineLevel="0" collapsed="false">
      <c r="A192" s="9"/>
      <c r="B192" s="23"/>
      <c r="C192" s="24"/>
      <c r="D192" s="9"/>
      <c r="E192" s="9"/>
      <c r="F192" s="9"/>
      <c r="G192" s="9" t="str">
        <f aca="false">IF(F192="","",IFERROR(INDEX(Listas!$P$2:$P$13,MATCH(F192,Listas!$O$2:$O$13,0)),"Código desconocido"))</f>
        <v/>
      </c>
      <c r="H192" s="9"/>
      <c r="I192" s="26"/>
      <c r="J192" s="26"/>
      <c r="K192" s="9"/>
      <c r="L192" s="9"/>
    </row>
    <row r="193" customFormat="false" ht="15" hidden="false" customHeight="false" outlineLevel="0" collapsed="false">
      <c r="A193" s="9"/>
      <c r="B193" s="23"/>
      <c r="C193" s="24"/>
      <c r="D193" s="9"/>
      <c r="E193" s="9"/>
      <c r="F193" s="9"/>
      <c r="G193" s="9" t="str">
        <f aca="false">IF(F193="","",IFERROR(INDEX(Listas!$P$2:$P$13,MATCH(F193,Listas!$O$2:$O$13,0)),"Código desconocido"))</f>
        <v/>
      </c>
      <c r="H193" s="9"/>
      <c r="I193" s="26"/>
      <c r="J193" s="26"/>
      <c r="K193" s="9"/>
      <c r="L193" s="9"/>
    </row>
    <row r="194" customFormat="false" ht="15" hidden="false" customHeight="false" outlineLevel="0" collapsed="false">
      <c r="A194" s="9"/>
      <c r="B194" s="23"/>
      <c r="C194" s="24"/>
      <c r="D194" s="9"/>
      <c r="E194" s="9"/>
      <c r="F194" s="9"/>
      <c r="G194" s="9" t="str">
        <f aca="false">IF(F194="","",IFERROR(INDEX(Listas!$P$2:$P$13,MATCH(F194,Listas!$O$2:$O$13,0)),"Código desconocido"))</f>
        <v/>
      </c>
      <c r="H194" s="9"/>
      <c r="I194" s="26"/>
      <c r="J194" s="26"/>
      <c r="K194" s="9"/>
      <c r="L194" s="9"/>
    </row>
    <row r="195" customFormat="false" ht="15" hidden="false" customHeight="false" outlineLevel="0" collapsed="false">
      <c r="A195" s="9"/>
      <c r="B195" s="23"/>
      <c r="C195" s="24"/>
      <c r="D195" s="9"/>
      <c r="E195" s="9"/>
      <c r="F195" s="9"/>
      <c r="G195" s="9" t="str">
        <f aca="false">IF(F195="","",IFERROR(INDEX(Listas!$P$2:$P$13,MATCH(F195,Listas!$O$2:$O$13,0)),"Código desconocido"))</f>
        <v/>
      </c>
      <c r="H195" s="9"/>
      <c r="I195" s="26"/>
      <c r="J195" s="26"/>
      <c r="K195" s="9"/>
      <c r="L195" s="9"/>
    </row>
    <row r="196" customFormat="false" ht="15" hidden="false" customHeight="false" outlineLevel="0" collapsed="false">
      <c r="A196" s="9"/>
      <c r="B196" s="23"/>
      <c r="C196" s="24"/>
      <c r="D196" s="9"/>
      <c r="E196" s="9"/>
      <c r="F196" s="9"/>
      <c r="G196" s="9" t="str">
        <f aca="false">IF(F196="","",IFERROR(INDEX(Listas!$P$2:$P$13,MATCH(F196,Listas!$O$2:$O$13,0)),"Código desconocido"))</f>
        <v/>
      </c>
      <c r="H196" s="9"/>
      <c r="I196" s="26"/>
      <c r="J196" s="26"/>
      <c r="K196" s="9"/>
      <c r="L196" s="9"/>
    </row>
    <row r="197" customFormat="false" ht="15" hidden="false" customHeight="false" outlineLevel="0" collapsed="false">
      <c r="A197" s="9"/>
      <c r="B197" s="23"/>
      <c r="C197" s="24"/>
      <c r="D197" s="9"/>
      <c r="E197" s="9"/>
      <c r="F197" s="9"/>
      <c r="G197" s="9" t="str">
        <f aca="false">IF(F197="","",IFERROR(INDEX(Listas!$P$2:$P$13,MATCH(F197,Listas!$O$2:$O$13,0)),"Código desconocido"))</f>
        <v/>
      </c>
      <c r="H197" s="9"/>
      <c r="I197" s="26"/>
      <c r="J197" s="26"/>
      <c r="K197" s="9"/>
      <c r="L197" s="9"/>
    </row>
    <row r="198" customFormat="false" ht="15" hidden="false" customHeight="false" outlineLevel="0" collapsed="false">
      <c r="A198" s="9"/>
      <c r="B198" s="23"/>
      <c r="C198" s="24"/>
      <c r="D198" s="9"/>
      <c r="E198" s="9"/>
      <c r="F198" s="9"/>
      <c r="G198" s="9" t="str">
        <f aca="false">IF(F198="","",IFERROR(INDEX(Listas!$P$2:$P$13,MATCH(F198,Listas!$O$2:$O$13,0)),"Código desconocido"))</f>
        <v/>
      </c>
      <c r="H198" s="9"/>
      <c r="I198" s="26"/>
      <c r="J198" s="26"/>
      <c r="K198" s="9"/>
      <c r="L198" s="9"/>
    </row>
    <row r="199" customFormat="false" ht="15" hidden="false" customHeight="false" outlineLevel="0" collapsed="false">
      <c r="A199" s="9"/>
      <c r="B199" s="23"/>
      <c r="C199" s="24"/>
      <c r="D199" s="9"/>
      <c r="E199" s="9"/>
      <c r="F199" s="9"/>
      <c r="G199" s="9" t="str">
        <f aca="false">IF(F199="","",IFERROR(INDEX(Listas!$P$2:$P$13,MATCH(F199,Listas!$O$2:$O$13,0)),"Código desconocido"))</f>
        <v/>
      </c>
      <c r="H199" s="9"/>
      <c r="I199" s="26"/>
      <c r="J199" s="26"/>
      <c r="K199" s="9"/>
      <c r="L199" s="9"/>
    </row>
    <row r="200" customFormat="false" ht="15" hidden="false" customHeight="false" outlineLevel="0" collapsed="false">
      <c r="A200" s="9"/>
      <c r="B200" s="23"/>
      <c r="C200" s="24"/>
      <c r="D200" s="9"/>
      <c r="E200" s="9"/>
      <c r="F200" s="9"/>
      <c r="G200" s="9" t="str">
        <f aca="false">IF(F200="","",IFERROR(INDEX(Listas!$P$2:$P$13,MATCH(F200,Listas!$O$2:$O$13,0)),"Código desconocido"))</f>
        <v/>
      </c>
      <c r="H200" s="9"/>
      <c r="I200" s="26"/>
      <c r="J200" s="26"/>
      <c r="K200" s="9"/>
      <c r="L200" s="9"/>
    </row>
    <row r="201" customFormat="false" ht="15" hidden="false" customHeight="false" outlineLevel="0" collapsed="false">
      <c r="A201" s="9"/>
      <c r="B201" s="23"/>
      <c r="C201" s="24"/>
      <c r="D201" s="9"/>
      <c r="E201" s="9"/>
      <c r="F201" s="9"/>
      <c r="G201" s="9" t="str">
        <f aca="false">IF(F201="","",IFERROR(INDEX(Listas!$P$2:$P$13,MATCH(F201,Listas!$O$2:$O$13,0)),"Código desconocido"))</f>
        <v/>
      </c>
      <c r="H201" s="9"/>
      <c r="I201" s="26"/>
      <c r="J201" s="26"/>
      <c r="K201" s="9"/>
      <c r="L201" s="9"/>
    </row>
    <row r="202" customFormat="false" ht="15" hidden="false" customHeight="false" outlineLevel="0" collapsed="false">
      <c r="A202" s="9"/>
      <c r="B202" s="23"/>
      <c r="C202" s="24"/>
      <c r="D202" s="9"/>
      <c r="E202" s="9"/>
      <c r="F202" s="9"/>
      <c r="G202" s="9" t="str">
        <f aca="false">IF(F202="","",IFERROR(INDEX(Listas!$P$2:$P$13,MATCH(F202,Listas!$O$2:$O$13,0)),"Código desconocido"))</f>
        <v/>
      </c>
      <c r="H202" s="9"/>
      <c r="I202" s="26"/>
      <c r="J202" s="26"/>
      <c r="K202" s="9"/>
      <c r="L202" s="9"/>
    </row>
    <row r="203" customFormat="false" ht="15" hidden="false" customHeight="false" outlineLevel="0" collapsed="false">
      <c r="A203" s="9"/>
      <c r="B203" s="23"/>
      <c r="C203" s="24"/>
      <c r="D203" s="9"/>
      <c r="E203" s="9"/>
      <c r="F203" s="9"/>
      <c r="G203" s="9" t="str">
        <f aca="false">IF(F203="","",IFERROR(INDEX(Listas!$P$2:$P$13,MATCH(F203,Listas!$O$2:$O$13,0)),"Código desconocido"))</f>
        <v/>
      </c>
      <c r="H203" s="9"/>
      <c r="I203" s="26"/>
      <c r="J203" s="26"/>
      <c r="K203" s="9"/>
      <c r="L203" s="9"/>
    </row>
    <row r="204" customFormat="false" ht="15" hidden="false" customHeight="false" outlineLevel="0" collapsed="false">
      <c r="A204" s="9"/>
      <c r="B204" s="23"/>
      <c r="C204" s="24"/>
      <c r="D204" s="9"/>
      <c r="E204" s="9"/>
      <c r="F204" s="9"/>
      <c r="G204" s="9" t="str">
        <f aca="false">IF(F204="","",IFERROR(INDEX(Listas!$P$2:$P$13,MATCH(F204,Listas!$O$2:$O$13,0)),"Código desconocido"))</f>
        <v/>
      </c>
      <c r="H204" s="9"/>
      <c r="I204" s="26"/>
      <c r="J204" s="26"/>
      <c r="K204" s="9"/>
      <c r="L204" s="9"/>
    </row>
    <row r="205" customFormat="false" ht="15" hidden="false" customHeight="false" outlineLevel="0" collapsed="false">
      <c r="A205" s="9"/>
      <c r="B205" s="23"/>
      <c r="C205" s="24"/>
      <c r="D205" s="9"/>
      <c r="E205" s="9"/>
      <c r="F205" s="9"/>
      <c r="G205" s="9" t="str">
        <f aca="false">IF(F205="","",IFERROR(INDEX(Listas!$P$2:$P$13,MATCH(F205,Listas!$O$2:$O$13,0)),"Código desconocido"))</f>
        <v/>
      </c>
      <c r="H205" s="9"/>
      <c r="I205" s="26"/>
      <c r="J205" s="26"/>
      <c r="K205" s="9"/>
      <c r="L205" s="9"/>
    </row>
    <row r="206" customFormat="false" ht="15" hidden="false" customHeight="false" outlineLevel="0" collapsed="false">
      <c r="A206" s="9"/>
      <c r="B206" s="23"/>
      <c r="C206" s="24"/>
      <c r="D206" s="9"/>
      <c r="E206" s="9"/>
      <c r="F206" s="9"/>
      <c r="G206" s="9" t="str">
        <f aca="false">IF(F206="","",IFERROR(INDEX(Listas!$P$2:$P$13,MATCH(F206,Listas!$O$2:$O$13,0)),"Código desconocido"))</f>
        <v/>
      </c>
      <c r="H206" s="9"/>
      <c r="I206" s="26"/>
      <c r="J206" s="26"/>
      <c r="K206" s="9"/>
      <c r="L206" s="9"/>
    </row>
    <row r="207" customFormat="false" ht="15" hidden="false" customHeight="false" outlineLevel="0" collapsed="false">
      <c r="A207" s="9"/>
      <c r="B207" s="23"/>
      <c r="C207" s="24"/>
      <c r="D207" s="9"/>
      <c r="E207" s="9"/>
      <c r="F207" s="9"/>
      <c r="G207" s="9" t="str">
        <f aca="false">IF(F207="","",IFERROR(INDEX(Listas!$P$2:$P$13,MATCH(F207,Listas!$O$2:$O$13,0)),"Código desconocido"))</f>
        <v/>
      </c>
      <c r="H207" s="9"/>
      <c r="I207" s="26"/>
      <c r="J207" s="26"/>
      <c r="K207" s="9"/>
      <c r="L207" s="9"/>
    </row>
    <row r="208" customFormat="false" ht="15" hidden="false" customHeight="false" outlineLevel="0" collapsed="false">
      <c r="A208" s="9"/>
      <c r="B208" s="23"/>
      <c r="C208" s="24"/>
      <c r="D208" s="9"/>
      <c r="E208" s="9"/>
      <c r="F208" s="9"/>
      <c r="G208" s="9" t="str">
        <f aca="false">IF(F208="","",IFERROR(INDEX(Listas!$P$2:$P$13,MATCH(F208,Listas!$O$2:$O$13,0)),"Código desconocido"))</f>
        <v/>
      </c>
      <c r="H208" s="9"/>
      <c r="I208" s="26"/>
      <c r="J208" s="26"/>
      <c r="K208" s="9"/>
      <c r="L208" s="9"/>
    </row>
    <row r="209" customFormat="false" ht="15" hidden="false" customHeight="false" outlineLevel="0" collapsed="false">
      <c r="A209" s="9"/>
      <c r="B209" s="23"/>
      <c r="C209" s="24"/>
      <c r="D209" s="9"/>
      <c r="E209" s="9"/>
      <c r="F209" s="9"/>
      <c r="G209" s="9" t="str">
        <f aca="false">IF(F209="","",IFERROR(INDEX(Listas!$P$2:$P$13,MATCH(F209,Listas!$O$2:$O$13,0)),"Código desconocido"))</f>
        <v/>
      </c>
      <c r="H209" s="9"/>
      <c r="I209" s="26"/>
      <c r="J209" s="26"/>
      <c r="K209" s="9"/>
      <c r="L209" s="9"/>
    </row>
    <row r="210" customFormat="false" ht="15" hidden="false" customHeight="false" outlineLevel="0" collapsed="false">
      <c r="A210" s="9"/>
      <c r="B210" s="23"/>
      <c r="C210" s="24"/>
      <c r="D210" s="9"/>
      <c r="E210" s="9"/>
      <c r="F210" s="9"/>
      <c r="G210" s="9" t="str">
        <f aca="false">IF(F210="","",IFERROR(INDEX(Listas!$P$2:$P$13,MATCH(F210,Listas!$O$2:$O$13,0)),"Código desconocido"))</f>
        <v/>
      </c>
      <c r="H210" s="9"/>
      <c r="I210" s="26"/>
      <c r="J210" s="26"/>
      <c r="K210" s="9"/>
      <c r="L210" s="9"/>
    </row>
    <row r="211" customFormat="false" ht="15" hidden="false" customHeight="false" outlineLevel="0" collapsed="false">
      <c r="A211" s="9"/>
      <c r="B211" s="23"/>
      <c r="C211" s="24"/>
      <c r="D211" s="9"/>
      <c r="E211" s="9"/>
      <c r="F211" s="9"/>
      <c r="G211" s="9" t="str">
        <f aca="false">IF(F211="","",IFERROR(INDEX(Listas!$P$2:$P$13,MATCH(F211,Listas!$O$2:$O$13,0)),"Código desconocido"))</f>
        <v/>
      </c>
      <c r="H211" s="9"/>
      <c r="I211" s="26"/>
      <c r="J211" s="26"/>
      <c r="K211" s="9"/>
      <c r="L211" s="9"/>
    </row>
    <row r="212" customFormat="false" ht="15" hidden="false" customHeight="false" outlineLevel="0" collapsed="false">
      <c r="A212" s="9"/>
      <c r="B212" s="23"/>
      <c r="C212" s="24"/>
      <c r="D212" s="9"/>
      <c r="E212" s="9"/>
      <c r="F212" s="9"/>
      <c r="G212" s="9" t="str">
        <f aca="false">IF(F212="","",IFERROR(INDEX(Listas!$P$2:$P$13,MATCH(F212,Listas!$O$2:$O$13,0)),"Código desconocido"))</f>
        <v/>
      </c>
      <c r="H212" s="9"/>
      <c r="I212" s="26"/>
      <c r="J212" s="26"/>
      <c r="K212" s="9"/>
      <c r="L212" s="9"/>
    </row>
    <row r="213" customFormat="false" ht="15" hidden="false" customHeight="false" outlineLevel="0" collapsed="false">
      <c r="A213" s="9"/>
      <c r="B213" s="23"/>
      <c r="C213" s="24"/>
      <c r="D213" s="9"/>
      <c r="E213" s="9"/>
      <c r="F213" s="9"/>
      <c r="G213" s="9" t="str">
        <f aca="false">IF(F213="","",IFERROR(INDEX(Listas!$P$2:$P$13,MATCH(F213,Listas!$O$2:$O$13,0)),"Código desconocido"))</f>
        <v/>
      </c>
      <c r="H213" s="9"/>
      <c r="I213" s="26"/>
      <c r="J213" s="26"/>
      <c r="K213" s="9"/>
      <c r="L213" s="9"/>
    </row>
    <row r="214" customFormat="false" ht="15" hidden="false" customHeight="false" outlineLevel="0" collapsed="false">
      <c r="A214" s="9"/>
      <c r="B214" s="23"/>
      <c r="C214" s="24"/>
      <c r="D214" s="9"/>
      <c r="E214" s="9"/>
      <c r="F214" s="9"/>
      <c r="G214" s="9" t="str">
        <f aca="false">IF(F214="","",IFERROR(INDEX(Listas!$P$2:$P$13,MATCH(F214,Listas!$O$2:$O$13,0)),"Código desconocido"))</f>
        <v/>
      </c>
      <c r="H214" s="9"/>
      <c r="I214" s="26"/>
      <c r="J214" s="26"/>
      <c r="K214" s="9"/>
      <c r="L214" s="9"/>
    </row>
    <row r="215" customFormat="false" ht="15" hidden="false" customHeight="false" outlineLevel="0" collapsed="false">
      <c r="A215" s="9"/>
      <c r="B215" s="23"/>
      <c r="C215" s="24"/>
      <c r="D215" s="9"/>
      <c r="E215" s="9"/>
      <c r="F215" s="9"/>
      <c r="G215" s="9" t="str">
        <f aca="false">IF(F215="","",IFERROR(INDEX(Listas!$P$2:$P$13,MATCH(F215,Listas!$O$2:$O$13,0)),"Código desconocido"))</f>
        <v/>
      </c>
      <c r="H215" s="9"/>
      <c r="I215" s="26"/>
      <c r="J215" s="26"/>
      <c r="K215" s="9"/>
      <c r="L215" s="9"/>
    </row>
    <row r="216" customFormat="false" ht="15" hidden="false" customHeight="false" outlineLevel="0" collapsed="false">
      <c r="A216" s="9"/>
      <c r="B216" s="23"/>
      <c r="C216" s="24"/>
      <c r="D216" s="9"/>
      <c r="E216" s="9"/>
      <c r="F216" s="9"/>
      <c r="G216" s="9" t="str">
        <f aca="false">IF(F216="","",IFERROR(INDEX(Listas!$P$2:$P$13,MATCH(F216,Listas!$O$2:$O$13,0)),"Código desconocido"))</f>
        <v/>
      </c>
      <c r="H216" s="9"/>
      <c r="I216" s="26"/>
      <c r="J216" s="26"/>
      <c r="K216" s="9"/>
      <c r="L216" s="9"/>
    </row>
    <row r="217" customFormat="false" ht="15" hidden="false" customHeight="false" outlineLevel="0" collapsed="false">
      <c r="A217" s="9"/>
      <c r="B217" s="23"/>
      <c r="C217" s="24"/>
      <c r="D217" s="9"/>
      <c r="E217" s="9"/>
      <c r="F217" s="9"/>
      <c r="G217" s="9" t="str">
        <f aca="false">IF(F217="","",IFERROR(INDEX(Listas!$P$2:$P$13,MATCH(F217,Listas!$O$2:$O$13,0)),"Código desconocido"))</f>
        <v/>
      </c>
      <c r="H217" s="9"/>
      <c r="I217" s="26"/>
      <c r="J217" s="26"/>
      <c r="K217" s="9"/>
      <c r="L217" s="9"/>
    </row>
    <row r="218" customFormat="false" ht="15" hidden="false" customHeight="false" outlineLevel="0" collapsed="false">
      <c r="A218" s="9"/>
      <c r="B218" s="23"/>
      <c r="C218" s="24"/>
      <c r="D218" s="9"/>
      <c r="E218" s="9"/>
      <c r="F218" s="9"/>
      <c r="G218" s="9" t="str">
        <f aca="false">IF(F218="","",IFERROR(INDEX(Listas!$P$2:$P$13,MATCH(F218,Listas!$O$2:$O$13,0)),"Código desconocido"))</f>
        <v/>
      </c>
      <c r="H218" s="9"/>
      <c r="I218" s="26"/>
      <c r="J218" s="26"/>
      <c r="K218" s="9"/>
      <c r="L218" s="9"/>
    </row>
    <row r="219" customFormat="false" ht="15" hidden="false" customHeight="false" outlineLevel="0" collapsed="false">
      <c r="A219" s="9"/>
      <c r="B219" s="23"/>
      <c r="C219" s="24"/>
      <c r="D219" s="9"/>
      <c r="E219" s="9"/>
      <c r="F219" s="9"/>
      <c r="G219" s="9" t="str">
        <f aca="false">IF(F219="","",IFERROR(INDEX(Listas!$P$2:$P$13,MATCH(F219,Listas!$O$2:$O$13,0)),"Código desconocido"))</f>
        <v/>
      </c>
      <c r="H219" s="9"/>
      <c r="I219" s="26"/>
      <c r="J219" s="26"/>
      <c r="K219" s="9"/>
      <c r="L219" s="9"/>
    </row>
    <row r="220" customFormat="false" ht="15" hidden="false" customHeight="false" outlineLevel="0" collapsed="false">
      <c r="A220" s="9"/>
      <c r="B220" s="23"/>
      <c r="C220" s="24"/>
      <c r="D220" s="9"/>
      <c r="E220" s="9"/>
      <c r="F220" s="9"/>
      <c r="G220" s="9" t="str">
        <f aca="false">IF(F220="","",IFERROR(INDEX(Listas!$P$2:$P$13,MATCH(F220,Listas!$O$2:$O$13,0)),"Código desconocido"))</f>
        <v/>
      </c>
      <c r="H220" s="9"/>
      <c r="I220" s="26"/>
      <c r="J220" s="26"/>
      <c r="K220" s="9"/>
      <c r="L220" s="9"/>
    </row>
    <row r="221" customFormat="false" ht="15" hidden="false" customHeight="false" outlineLevel="0" collapsed="false">
      <c r="A221" s="9"/>
      <c r="B221" s="23"/>
      <c r="C221" s="24"/>
      <c r="D221" s="9"/>
      <c r="E221" s="9"/>
      <c r="F221" s="9"/>
      <c r="G221" s="9" t="str">
        <f aca="false">IF(F221="","",IFERROR(INDEX(Listas!$P$2:$P$13,MATCH(F221,Listas!$O$2:$O$13,0)),"Código desconocido"))</f>
        <v/>
      </c>
      <c r="H221" s="9"/>
      <c r="I221" s="26"/>
      <c r="J221" s="26"/>
      <c r="K221" s="9"/>
      <c r="L221" s="9"/>
    </row>
    <row r="222" customFormat="false" ht="15" hidden="false" customHeight="false" outlineLevel="0" collapsed="false">
      <c r="A222" s="9"/>
      <c r="B222" s="23"/>
      <c r="C222" s="24"/>
      <c r="D222" s="9"/>
      <c r="E222" s="9"/>
      <c r="F222" s="9"/>
      <c r="G222" s="9" t="str">
        <f aca="false">IF(F222="","",IFERROR(INDEX(Listas!$P$2:$P$13,MATCH(F222,Listas!$O$2:$O$13,0)),"Código desconocido"))</f>
        <v/>
      </c>
      <c r="H222" s="9"/>
      <c r="I222" s="26"/>
      <c r="J222" s="26"/>
      <c r="K222" s="9"/>
      <c r="L222" s="9"/>
    </row>
    <row r="223" customFormat="false" ht="15" hidden="false" customHeight="false" outlineLevel="0" collapsed="false">
      <c r="A223" s="9"/>
      <c r="B223" s="23"/>
      <c r="C223" s="24"/>
      <c r="D223" s="9"/>
      <c r="E223" s="9"/>
      <c r="F223" s="9"/>
      <c r="G223" s="9" t="str">
        <f aca="false">IF(F223="","",IFERROR(INDEX(Listas!$P$2:$P$13,MATCH(F223,Listas!$O$2:$O$13,0)),"Código desconocido"))</f>
        <v/>
      </c>
      <c r="H223" s="9"/>
      <c r="I223" s="26"/>
      <c r="J223" s="26"/>
      <c r="K223" s="9"/>
      <c r="L223" s="9"/>
    </row>
    <row r="224" customFormat="false" ht="15" hidden="false" customHeight="false" outlineLevel="0" collapsed="false">
      <c r="A224" s="9"/>
      <c r="B224" s="23"/>
      <c r="C224" s="24"/>
      <c r="D224" s="9"/>
      <c r="E224" s="9"/>
      <c r="F224" s="9"/>
      <c r="G224" s="9" t="str">
        <f aca="false">IF(F224="","",IFERROR(INDEX(Listas!$P$2:$P$13,MATCH(F224,Listas!$O$2:$O$13,0)),"Código desconocido"))</f>
        <v/>
      </c>
      <c r="H224" s="9"/>
      <c r="I224" s="26"/>
      <c r="J224" s="26"/>
      <c r="K224" s="9"/>
      <c r="L224" s="9"/>
    </row>
    <row r="225" customFormat="false" ht="15" hidden="false" customHeight="false" outlineLevel="0" collapsed="false">
      <c r="A225" s="9"/>
      <c r="B225" s="23"/>
      <c r="C225" s="24"/>
      <c r="D225" s="9"/>
      <c r="E225" s="9"/>
      <c r="F225" s="9"/>
      <c r="G225" s="9" t="str">
        <f aca="false">IF(F225="","",IFERROR(INDEX(Listas!$P$2:$P$13,MATCH(F225,Listas!$O$2:$O$13,0)),"Código desconocido"))</f>
        <v/>
      </c>
      <c r="H225" s="9"/>
      <c r="I225" s="26"/>
      <c r="J225" s="26"/>
      <c r="K225" s="9"/>
      <c r="L225" s="9"/>
    </row>
    <row r="226" customFormat="false" ht="15" hidden="false" customHeight="false" outlineLevel="0" collapsed="false">
      <c r="A226" s="9"/>
      <c r="B226" s="23"/>
      <c r="C226" s="24"/>
      <c r="D226" s="9"/>
      <c r="E226" s="9"/>
      <c r="F226" s="9"/>
      <c r="G226" s="9" t="str">
        <f aca="false">IF(F226="","",IFERROR(INDEX(Listas!$P$2:$P$13,MATCH(F226,Listas!$O$2:$O$13,0)),"Código desconocido"))</f>
        <v/>
      </c>
      <c r="H226" s="9"/>
      <c r="I226" s="26"/>
      <c r="J226" s="26"/>
      <c r="K226" s="9"/>
      <c r="L226" s="9"/>
    </row>
    <row r="227" customFormat="false" ht="15" hidden="false" customHeight="false" outlineLevel="0" collapsed="false">
      <c r="A227" s="9"/>
      <c r="B227" s="23"/>
      <c r="C227" s="24"/>
      <c r="D227" s="9"/>
      <c r="E227" s="9"/>
      <c r="F227" s="9"/>
      <c r="G227" s="9" t="str">
        <f aca="false">IF(F227="","",IFERROR(INDEX(Listas!$P$2:$P$13,MATCH(F227,Listas!$O$2:$O$13,0)),"Código desconocido"))</f>
        <v/>
      </c>
      <c r="H227" s="9"/>
      <c r="I227" s="26"/>
      <c r="J227" s="26"/>
      <c r="K227" s="9"/>
      <c r="L227" s="9"/>
    </row>
    <row r="228" customFormat="false" ht="15" hidden="false" customHeight="false" outlineLevel="0" collapsed="false">
      <c r="A228" s="9"/>
      <c r="B228" s="23"/>
      <c r="C228" s="24"/>
      <c r="D228" s="9"/>
      <c r="E228" s="9"/>
      <c r="F228" s="9"/>
      <c r="G228" s="9" t="str">
        <f aca="false">IF(F228="","",IFERROR(INDEX(Listas!$P$2:$P$13,MATCH(F228,Listas!$O$2:$O$13,0)),"Código desconocido"))</f>
        <v/>
      </c>
      <c r="H228" s="9"/>
      <c r="I228" s="26"/>
      <c r="J228" s="26"/>
      <c r="K228" s="9"/>
      <c r="L228" s="9"/>
    </row>
    <row r="229" customFormat="false" ht="15" hidden="false" customHeight="false" outlineLevel="0" collapsed="false">
      <c r="A229" s="9"/>
      <c r="B229" s="23"/>
      <c r="C229" s="24"/>
      <c r="D229" s="9"/>
      <c r="E229" s="9"/>
      <c r="F229" s="9"/>
      <c r="G229" s="9" t="str">
        <f aca="false">IF(F229="","",IFERROR(INDEX(Listas!$P$2:$P$13,MATCH(F229,Listas!$O$2:$O$13,0)),"Código desconocido"))</f>
        <v/>
      </c>
      <c r="H229" s="9"/>
      <c r="I229" s="26"/>
      <c r="J229" s="26"/>
      <c r="K229" s="9"/>
      <c r="L229" s="9"/>
    </row>
    <row r="230" customFormat="false" ht="15" hidden="false" customHeight="false" outlineLevel="0" collapsed="false">
      <c r="A230" s="9"/>
      <c r="B230" s="23"/>
      <c r="C230" s="24"/>
      <c r="D230" s="9"/>
      <c r="E230" s="9"/>
      <c r="F230" s="9"/>
      <c r="G230" s="9" t="str">
        <f aca="false">IF(F230="","",IFERROR(INDEX(Listas!$P$2:$P$13,MATCH(F230,Listas!$O$2:$O$13,0)),"Código desconocido"))</f>
        <v/>
      </c>
      <c r="H230" s="9"/>
      <c r="I230" s="26"/>
      <c r="J230" s="26"/>
      <c r="K230" s="9"/>
      <c r="L230" s="9"/>
    </row>
    <row r="231" customFormat="false" ht="15" hidden="false" customHeight="false" outlineLevel="0" collapsed="false">
      <c r="A231" s="9"/>
      <c r="B231" s="23"/>
      <c r="C231" s="24"/>
      <c r="D231" s="9"/>
      <c r="E231" s="9"/>
      <c r="F231" s="9"/>
      <c r="G231" s="9" t="str">
        <f aca="false">IF(F231="","",IFERROR(INDEX(Listas!$P$2:$P$13,MATCH(F231,Listas!$O$2:$O$13,0)),"Código desconocido"))</f>
        <v/>
      </c>
      <c r="H231" s="9"/>
      <c r="I231" s="26"/>
      <c r="J231" s="26"/>
      <c r="K231" s="9"/>
      <c r="L231" s="9"/>
    </row>
    <row r="232" customFormat="false" ht="15" hidden="false" customHeight="false" outlineLevel="0" collapsed="false">
      <c r="A232" s="9"/>
      <c r="B232" s="23"/>
      <c r="C232" s="24"/>
      <c r="D232" s="9"/>
      <c r="E232" s="9"/>
      <c r="F232" s="9"/>
      <c r="G232" s="9" t="str">
        <f aca="false">IF(F232="","",IFERROR(INDEX(Listas!$P$2:$P$13,MATCH(F232,Listas!$O$2:$O$13,0)),"Código desconocido"))</f>
        <v/>
      </c>
      <c r="H232" s="9"/>
      <c r="I232" s="26"/>
      <c r="J232" s="26"/>
      <c r="K232" s="9"/>
      <c r="L232" s="9"/>
    </row>
    <row r="233" customFormat="false" ht="15" hidden="false" customHeight="false" outlineLevel="0" collapsed="false">
      <c r="A233" s="9"/>
      <c r="B233" s="23"/>
      <c r="C233" s="24"/>
      <c r="D233" s="9"/>
      <c r="E233" s="9"/>
      <c r="F233" s="9"/>
      <c r="G233" s="9" t="str">
        <f aca="false">IF(F233="","",IFERROR(INDEX(Listas!$P$2:$P$13,MATCH(F233,Listas!$O$2:$O$13,0)),"Código desconocido"))</f>
        <v/>
      </c>
      <c r="H233" s="9"/>
      <c r="I233" s="26"/>
      <c r="J233" s="26"/>
      <c r="K233" s="9"/>
      <c r="L233" s="9"/>
    </row>
    <row r="234" customFormat="false" ht="15" hidden="false" customHeight="false" outlineLevel="0" collapsed="false">
      <c r="A234" s="9"/>
      <c r="B234" s="23"/>
      <c r="C234" s="24"/>
      <c r="D234" s="9"/>
      <c r="E234" s="9"/>
      <c r="F234" s="9"/>
      <c r="G234" s="9" t="str">
        <f aca="false">IF(F234="","",IFERROR(INDEX(Listas!$P$2:$P$13,MATCH(F234,Listas!$O$2:$O$13,0)),"Código desconocido"))</f>
        <v/>
      </c>
      <c r="H234" s="9"/>
      <c r="I234" s="26"/>
      <c r="J234" s="26"/>
      <c r="K234" s="9"/>
      <c r="L234" s="9"/>
    </row>
    <row r="235" customFormat="false" ht="15" hidden="false" customHeight="false" outlineLevel="0" collapsed="false">
      <c r="A235" s="9"/>
      <c r="B235" s="23"/>
      <c r="C235" s="24"/>
      <c r="D235" s="9"/>
      <c r="E235" s="9"/>
      <c r="F235" s="9"/>
      <c r="G235" s="9" t="str">
        <f aca="false">IF(F235="","",IFERROR(INDEX(Listas!$P$2:$P$13,MATCH(F235,Listas!$O$2:$O$13,0)),"Código desconocido"))</f>
        <v/>
      </c>
      <c r="H235" s="9"/>
      <c r="I235" s="26"/>
      <c r="J235" s="26"/>
      <c r="K235" s="9"/>
      <c r="L235" s="9"/>
    </row>
    <row r="236" customFormat="false" ht="15" hidden="false" customHeight="false" outlineLevel="0" collapsed="false">
      <c r="A236" s="9"/>
      <c r="B236" s="23"/>
      <c r="C236" s="24"/>
      <c r="D236" s="9"/>
      <c r="E236" s="9"/>
      <c r="F236" s="9"/>
      <c r="G236" s="9" t="str">
        <f aca="false">IF(F236="","",IFERROR(INDEX(Listas!$P$2:$P$13,MATCH(F236,Listas!$O$2:$O$13,0)),"Código desconocido"))</f>
        <v/>
      </c>
      <c r="H236" s="9"/>
      <c r="I236" s="26"/>
      <c r="J236" s="26"/>
      <c r="K236" s="9"/>
      <c r="L236" s="9"/>
    </row>
    <row r="237" customFormat="false" ht="15" hidden="false" customHeight="false" outlineLevel="0" collapsed="false">
      <c r="A237" s="9"/>
      <c r="B237" s="23"/>
      <c r="C237" s="24"/>
      <c r="D237" s="9"/>
      <c r="E237" s="9"/>
      <c r="F237" s="9"/>
      <c r="G237" s="9" t="str">
        <f aca="false">IF(F237="","",IFERROR(INDEX(Listas!$P$2:$P$13,MATCH(F237,Listas!$O$2:$O$13,0)),"Código desconocido"))</f>
        <v/>
      </c>
      <c r="H237" s="9"/>
      <c r="I237" s="26"/>
      <c r="J237" s="26"/>
      <c r="K237" s="9"/>
      <c r="L237" s="9"/>
    </row>
    <row r="238" customFormat="false" ht="15" hidden="false" customHeight="false" outlineLevel="0" collapsed="false">
      <c r="A238" s="9"/>
      <c r="B238" s="23"/>
      <c r="C238" s="24"/>
      <c r="D238" s="9"/>
      <c r="E238" s="9"/>
      <c r="F238" s="9"/>
      <c r="G238" s="9" t="str">
        <f aca="false">IF(F238="","",IFERROR(INDEX(Listas!$P$2:$P$13,MATCH(F238,Listas!$O$2:$O$13,0)),"Código desconocido"))</f>
        <v/>
      </c>
      <c r="H238" s="9"/>
      <c r="I238" s="26"/>
      <c r="J238" s="26"/>
      <c r="K238" s="9"/>
      <c r="L238" s="9"/>
    </row>
    <row r="239" customFormat="false" ht="15" hidden="false" customHeight="false" outlineLevel="0" collapsed="false">
      <c r="A239" s="9"/>
      <c r="B239" s="23"/>
      <c r="C239" s="24"/>
      <c r="D239" s="9"/>
      <c r="E239" s="9"/>
      <c r="F239" s="9"/>
      <c r="G239" s="9" t="str">
        <f aca="false">IF(F239="","",IFERROR(INDEX(Listas!$P$2:$P$13,MATCH(F239,Listas!$O$2:$O$13,0)),"Código desconocido"))</f>
        <v/>
      </c>
      <c r="H239" s="9"/>
      <c r="I239" s="26"/>
      <c r="J239" s="26"/>
      <c r="K239" s="9"/>
      <c r="L239" s="9"/>
    </row>
    <row r="240" customFormat="false" ht="15" hidden="false" customHeight="false" outlineLevel="0" collapsed="false">
      <c r="A240" s="9"/>
      <c r="B240" s="23"/>
      <c r="C240" s="24"/>
      <c r="D240" s="9"/>
      <c r="E240" s="9"/>
      <c r="F240" s="9"/>
      <c r="G240" s="9" t="str">
        <f aca="false">IF(F240="","",IFERROR(INDEX(Listas!$P$2:$P$13,MATCH(F240,Listas!$O$2:$O$13,0)),"Código desconocido"))</f>
        <v/>
      </c>
      <c r="H240" s="9"/>
      <c r="I240" s="26"/>
      <c r="J240" s="26"/>
      <c r="K240" s="9"/>
      <c r="L240" s="9"/>
    </row>
    <row r="241" customFormat="false" ht="15" hidden="false" customHeight="false" outlineLevel="0" collapsed="false">
      <c r="A241" s="9"/>
      <c r="B241" s="23"/>
      <c r="C241" s="24"/>
      <c r="D241" s="9"/>
      <c r="E241" s="9"/>
      <c r="F241" s="9"/>
      <c r="G241" s="9" t="str">
        <f aca="false">IF(F241="","",IFERROR(INDEX(Listas!$P$2:$P$13,MATCH(F241,Listas!$O$2:$O$13,0)),"Código desconocido"))</f>
        <v/>
      </c>
      <c r="H241" s="9"/>
      <c r="I241" s="26"/>
      <c r="J241" s="26"/>
      <c r="K241" s="9"/>
      <c r="L241" s="9"/>
    </row>
    <row r="242" customFormat="false" ht="15" hidden="false" customHeight="false" outlineLevel="0" collapsed="false">
      <c r="A242" s="9"/>
      <c r="B242" s="23"/>
      <c r="C242" s="24"/>
      <c r="D242" s="9"/>
      <c r="E242" s="9"/>
      <c r="F242" s="9"/>
      <c r="G242" s="9" t="str">
        <f aca="false">IF(F242="","",IFERROR(INDEX(Listas!$P$2:$P$13,MATCH(F242,Listas!$O$2:$O$13,0)),"Código desconocido"))</f>
        <v/>
      </c>
      <c r="H242" s="9"/>
      <c r="I242" s="26"/>
      <c r="J242" s="26"/>
      <c r="K242" s="9"/>
      <c r="L242" s="9"/>
    </row>
    <row r="243" customFormat="false" ht="15" hidden="false" customHeight="false" outlineLevel="0" collapsed="false">
      <c r="A243" s="9"/>
      <c r="B243" s="23"/>
      <c r="C243" s="24"/>
      <c r="D243" s="9"/>
      <c r="E243" s="9"/>
      <c r="F243" s="9"/>
      <c r="G243" s="9" t="str">
        <f aca="false">IF(F243="","",IFERROR(INDEX(Listas!$P$2:$P$13,MATCH(F243,Listas!$O$2:$O$13,0)),"Código desconocido"))</f>
        <v/>
      </c>
      <c r="H243" s="9"/>
      <c r="I243" s="26"/>
      <c r="J243" s="26"/>
      <c r="K243" s="9"/>
      <c r="L243" s="9"/>
    </row>
    <row r="244" customFormat="false" ht="15" hidden="false" customHeight="false" outlineLevel="0" collapsed="false">
      <c r="A244" s="9"/>
      <c r="B244" s="23"/>
      <c r="C244" s="24"/>
      <c r="D244" s="9"/>
      <c r="E244" s="9"/>
      <c r="F244" s="9"/>
      <c r="G244" s="9" t="str">
        <f aca="false">IF(F244="","",IFERROR(INDEX(Listas!$P$2:$P$13,MATCH(F244,Listas!$O$2:$O$13,0)),"Código desconocido"))</f>
        <v/>
      </c>
      <c r="H244" s="9"/>
      <c r="I244" s="26"/>
      <c r="J244" s="26"/>
      <c r="K244" s="9"/>
      <c r="L244" s="9"/>
    </row>
    <row r="245" customFormat="false" ht="15" hidden="false" customHeight="false" outlineLevel="0" collapsed="false">
      <c r="A245" s="9"/>
      <c r="B245" s="23"/>
      <c r="C245" s="24"/>
      <c r="D245" s="9"/>
      <c r="E245" s="9"/>
      <c r="F245" s="9"/>
      <c r="G245" s="9" t="str">
        <f aca="false">IF(F245="","",IFERROR(INDEX(Listas!$P$2:$P$13,MATCH(F245,Listas!$O$2:$O$13,0)),"Código desconocido"))</f>
        <v/>
      </c>
      <c r="H245" s="9"/>
      <c r="I245" s="26"/>
      <c r="J245" s="26"/>
      <c r="K245" s="9"/>
      <c r="L245" s="9"/>
    </row>
    <row r="246" customFormat="false" ht="15" hidden="false" customHeight="false" outlineLevel="0" collapsed="false">
      <c r="A246" s="9"/>
      <c r="B246" s="23"/>
      <c r="C246" s="24"/>
      <c r="D246" s="9"/>
      <c r="E246" s="9"/>
      <c r="F246" s="9"/>
      <c r="G246" s="9" t="str">
        <f aca="false">IF(F246="","",IFERROR(INDEX(Listas!$P$2:$P$13,MATCH(F246,Listas!$O$2:$O$13,0)),"Código desconocido"))</f>
        <v/>
      </c>
      <c r="H246" s="9"/>
      <c r="I246" s="26"/>
      <c r="J246" s="26"/>
      <c r="K246" s="9"/>
      <c r="L246" s="9"/>
    </row>
    <row r="247" customFormat="false" ht="15" hidden="false" customHeight="false" outlineLevel="0" collapsed="false">
      <c r="A247" s="9"/>
      <c r="B247" s="23"/>
      <c r="C247" s="24"/>
      <c r="D247" s="9"/>
      <c r="E247" s="9"/>
      <c r="F247" s="9"/>
      <c r="G247" s="9" t="str">
        <f aca="false">IF(F247="","",IFERROR(INDEX(Listas!$P$2:$P$13,MATCH(F247,Listas!$O$2:$O$13,0)),"Código desconocido"))</f>
        <v/>
      </c>
      <c r="H247" s="9"/>
      <c r="I247" s="26"/>
      <c r="J247" s="26"/>
      <c r="K247" s="9"/>
      <c r="L247" s="9"/>
    </row>
    <row r="248" customFormat="false" ht="15" hidden="false" customHeight="false" outlineLevel="0" collapsed="false">
      <c r="A248" s="9"/>
      <c r="B248" s="23"/>
      <c r="C248" s="24"/>
      <c r="D248" s="9"/>
      <c r="E248" s="9"/>
      <c r="F248" s="9"/>
      <c r="G248" s="9" t="str">
        <f aca="false">IF(F248="","",IFERROR(INDEX(Listas!$P$2:$P$13,MATCH(F248,Listas!$O$2:$O$13,0)),"Código desconocido"))</f>
        <v/>
      </c>
      <c r="H248" s="9"/>
      <c r="I248" s="26"/>
      <c r="J248" s="26"/>
      <c r="K248" s="9"/>
      <c r="L248" s="9"/>
    </row>
    <row r="249" customFormat="false" ht="15" hidden="false" customHeight="false" outlineLevel="0" collapsed="false">
      <c r="A249" s="9"/>
      <c r="B249" s="23"/>
      <c r="C249" s="24"/>
      <c r="D249" s="9"/>
      <c r="E249" s="9"/>
      <c r="F249" s="9"/>
      <c r="G249" s="9" t="str">
        <f aca="false">IF(F249="","",IFERROR(INDEX(Listas!$P$2:$P$13,MATCH(F249,Listas!$O$2:$O$13,0)),"Código desconocido"))</f>
        <v/>
      </c>
      <c r="H249" s="9"/>
      <c r="I249" s="26"/>
      <c r="J249" s="26"/>
      <c r="K249" s="9"/>
      <c r="L249" s="9"/>
    </row>
    <row r="250" customFormat="false" ht="15" hidden="false" customHeight="false" outlineLevel="0" collapsed="false">
      <c r="A250" s="9"/>
      <c r="B250" s="23"/>
      <c r="C250" s="24"/>
      <c r="D250" s="9"/>
      <c r="E250" s="9"/>
      <c r="F250" s="9"/>
      <c r="G250" s="9" t="str">
        <f aca="false">IF(F250="","",IFERROR(INDEX(Listas!$P$2:$P$13,MATCH(F250,Listas!$O$2:$O$13,0)),"Código desconocido"))</f>
        <v/>
      </c>
      <c r="H250" s="9"/>
      <c r="I250" s="26"/>
      <c r="J250" s="26"/>
      <c r="K250" s="9"/>
      <c r="L250" s="9"/>
    </row>
    <row r="251" customFormat="false" ht="15" hidden="false" customHeight="false" outlineLevel="0" collapsed="false">
      <c r="A251" s="9"/>
      <c r="B251" s="23"/>
      <c r="C251" s="24"/>
      <c r="D251" s="9"/>
      <c r="E251" s="9"/>
      <c r="F251" s="9"/>
      <c r="G251" s="9" t="str">
        <f aca="false">IF(F251="","",IFERROR(INDEX(Listas!$P$2:$P$13,MATCH(F251,Listas!$O$2:$O$13,0)),"Código desconocido"))</f>
        <v/>
      </c>
      <c r="H251" s="9"/>
      <c r="I251" s="26"/>
      <c r="J251" s="26"/>
      <c r="K251" s="9"/>
      <c r="L251" s="9"/>
    </row>
    <row r="252" customFormat="false" ht="15" hidden="false" customHeight="false" outlineLevel="0" collapsed="false">
      <c r="A252" s="9"/>
      <c r="B252" s="23"/>
      <c r="C252" s="24"/>
      <c r="D252" s="9"/>
      <c r="E252" s="9"/>
      <c r="F252" s="9"/>
      <c r="G252" s="9" t="str">
        <f aca="false">IF(F252="","",IFERROR(INDEX(Listas!$P$2:$P$13,MATCH(F252,Listas!$O$2:$O$13,0)),"Código desconocido"))</f>
        <v/>
      </c>
      <c r="H252" s="9"/>
      <c r="I252" s="26"/>
      <c r="J252" s="26"/>
      <c r="K252" s="9"/>
      <c r="L252" s="9"/>
    </row>
    <row r="253" customFormat="false" ht="15" hidden="false" customHeight="false" outlineLevel="0" collapsed="false">
      <c r="A253" s="9"/>
      <c r="B253" s="23"/>
      <c r="C253" s="24"/>
      <c r="D253" s="9"/>
      <c r="E253" s="9"/>
      <c r="F253" s="9"/>
      <c r="G253" s="9" t="str">
        <f aca="false">IF(F253="","",IFERROR(INDEX(Listas!$P$2:$P$13,MATCH(F253,Listas!$O$2:$O$13,0)),"Código desconocido"))</f>
        <v/>
      </c>
      <c r="H253" s="9"/>
      <c r="I253" s="26"/>
      <c r="J253" s="26"/>
      <c r="K253" s="9"/>
      <c r="L253" s="9"/>
    </row>
    <row r="254" customFormat="false" ht="15" hidden="false" customHeight="false" outlineLevel="0" collapsed="false">
      <c r="A254" s="9"/>
      <c r="B254" s="23"/>
      <c r="C254" s="24"/>
      <c r="D254" s="9"/>
      <c r="E254" s="9"/>
      <c r="F254" s="9"/>
      <c r="G254" s="9" t="str">
        <f aca="false">IF(F254="","",IFERROR(INDEX(Listas!$P$2:$P$13,MATCH(F254,Listas!$O$2:$O$13,0)),"Código desconocido"))</f>
        <v/>
      </c>
      <c r="H254" s="9"/>
      <c r="I254" s="26"/>
      <c r="J254" s="26"/>
      <c r="K254" s="9"/>
      <c r="L254" s="9"/>
    </row>
    <row r="255" customFormat="false" ht="15" hidden="false" customHeight="false" outlineLevel="0" collapsed="false">
      <c r="A255" s="9"/>
      <c r="B255" s="23"/>
      <c r="C255" s="24"/>
      <c r="D255" s="9"/>
      <c r="E255" s="9"/>
      <c r="F255" s="9"/>
      <c r="G255" s="9" t="str">
        <f aca="false">IF(F255="","",IFERROR(INDEX(Listas!$P$2:$P$13,MATCH(F255,Listas!$O$2:$O$13,0)),"Código desconocido"))</f>
        <v/>
      </c>
      <c r="H255" s="9"/>
      <c r="I255" s="26"/>
      <c r="J255" s="26"/>
      <c r="K255" s="9"/>
      <c r="L255" s="9"/>
    </row>
    <row r="256" customFormat="false" ht="15" hidden="false" customHeight="false" outlineLevel="0" collapsed="false">
      <c r="A256" s="9"/>
      <c r="B256" s="23"/>
      <c r="C256" s="24"/>
      <c r="D256" s="9"/>
      <c r="E256" s="9"/>
      <c r="F256" s="9"/>
      <c r="G256" s="9" t="str">
        <f aca="false">IF(F256="","",IFERROR(INDEX(Listas!$P$2:$P$13,MATCH(F256,Listas!$O$2:$O$13,0)),"Código desconocido"))</f>
        <v/>
      </c>
      <c r="H256" s="9"/>
      <c r="I256" s="26"/>
      <c r="J256" s="26"/>
      <c r="K256" s="9"/>
      <c r="L256" s="9"/>
    </row>
    <row r="257" customFormat="false" ht="15" hidden="false" customHeight="false" outlineLevel="0" collapsed="false">
      <c r="A257" s="9"/>
      <c r="B257" s="23"/>
      <c r="C257" s="24"/>
      <c r="D257" s="9"/>
      <c r="E257" s="9"/>
      <c r="F257" s="9"/>
      <c r="G257" s="9" t="str">
        <f aca="false">IF(F257="","",IFERROR(INDEX(Listas!$P$2:$P$13,MATCH(F257,Listas!$O$2:$O$13,0)),"Código desconocido"))</f>
        <v/>
      </c>
      <c r="H257" s="9"/>
      <c r="I257" s="26"/>
      <c r="J257" s="26"/>
      <c r="K257" s="9"/>
      <c r="L257" s="9"/>
    </row>
    <row r="258" customFormat="false" ht="15" hidden="false" customHeight="false" outlineLevel="0" collapsed="false">
      <c r="A258" s="9"/>
      <c r="B258" s="23"/>
      <c r="C258" s="24"/>
      <c r="D258" s="9"/>
      <c r="E258" s="9"/>
      <c r="F258" s="9"/>
      <c r="G258" s="9" t="str">
        <f aca="false">IF(F258="","",IFERROR(INDEX(Listas!$P$2:$P$13,MATCH(F258,Listas!$O$2:$O$13,0)),"Código desconocido"))</f>
        <v/>
      </c>
      <c r="H258" s="9"/>
      <c r="I258" s="26"/>
      <c r="J258" s="26"/>
      <c r="K258" s="9"/>
      <c r="L258" s="9"/>
    </row>
    <row r="259" customFormat="false" ht="15" hidden="false" customHeight="false" outlineLevel="0" collapsed="false">
      <c r="A259" s="9"/>
      <c r="B259" s="23"/>
      <c r="C259" s="24"/>
      <c r="D259" s="9"/>
      <c r="E259" s="9"/>
      <c r="F259" s="9"/>
      <c r="G259" s="9" t="str">
        <f aca="false">IF(F259="","",IFERROR(INDEX(Listas!$P$2:$P$13,MATCH(F259,Listas!$O$2:$O$13,0)),"Código desconocido"))</f>
        <v/>
      </c>
      <c r="H259" s="9"/>
      <c r="I259" s="26"/>
      <c r="J259" s="26"/>
      <c r="K259" s="9"/>
      <c r="L259" s="9"/>
    </row>
    <row r="260" customFormat="false" ht="15" hidden="false" customHeight="false" outlineLevel="0" collapsed="false">
      <c r="A260" s="9"/>
      <c r="B260" s="23"/>
      <c r="C260" s="24"/>
      <c r="D260" s="9"/>
      <c r="E260" s="9"/>
      <c r="F260" s="9"/>
      <c r="G260" s="9" t="str">
        <f aca="false">IF(F260="","",IFERROR(INDEX(Listas!$P$2:$P$13,MATCH(F260,Listas!$O$2:$O$13,0)),"Código desconocido"))</f>
        <v/>
      </c>
      <c r="H260" s="9"/>
      <c r="I260" s="26"/>
      <c r="J260" s="26"/>
      <c r="K260" s="9"/>
      <c r="L260" s="9"/>
    </row>
    <row r="261" customFormat="false" ht="15" hidden="false" customHeight="false" outlineLevel="0" collapsed="false">
      <c r="A261" s="9"/>
      <c r="B261" s="23"/>
      <c r="C261" s="24"/>
      <c r="D261" s="9"/>
      <c r="E261" s="9"/>
      <c r="F261" s="9"/>
      <c r="G261" s="9" t="str">
        <f aca="false">IF(F261="","",IFERROR(INDEX(Listas!$P$2:$P$13,MATCH(F261,Listas!$O$2:$O$13,0)),"Código desconocido"))</f>
        <v/>
      </c>
      <c r="H261" s="9"/>
      <c r="I261" s="26"/>
      <c r="J261" s="26"/>
      <c r="K261" s="9"/>
      <c r="L261" s="9"/>
    </row>
    <row r="262" customFormat="false" ht="15" hidden="false" customHeight="false" outlineLevel="0" collapsed="false">
      <c r="A262" s="9"/>
      <c r="B262" s="23"/>
      <c r="C262" s="24"/>
      <c r="D262" s="9"/>
      <c r="E262" s="9"/>
      <c r="F262" s="9"/>
      <c r="G262" s="9" t="str">
        <f aca="false">IF(F262="","",IFERROR(INDEX(Listas!$P$2:$P$13,MATCH(F262,Listas!$O$2:$O$13,0)),"Código desconocido"))</f>
        <v/>
      </c>
      <c r="H262" s="9"/>
      <c r="I262" s="26"/>
      <c r="J262" s="26"/>
      <c r="K262" s="9"/>
      <c r="L262" s="9"/>
    </row>
    <row r="263" customFormat="false" ht="15" hidden="false" customHeight="false" outlineLevel="0" collapsed="false">
      <c r="A263" s="9"/>
      <c r="B263" s="23"/>
      <c r="C263" s="24"/>
      <c r="D263" s="9"/>
      <c r="E263" s="9"/>
      <c r="F263" s="9"/>
      <c r="G263" s="9" t="str">
        <f aca="false">IF(F263="","",IFERROR(INDEX(Listas!$P$2:$P$13,MATCH(F263,Listas!$O$2:$O$13,0)),"Código desconocido"))</f>
        <v/>
      </c>
      <c r="H263" s="9"/>
      <c r="I263" s="26"/>
      <c r="J263" s="26"/>
      <c r="K263" s="9"/>
      <c r="L263" s="9"/>
    </row>
    <row r="264" customFormat="false" ht="15" hidden="false" customHeight="false" outlineLevel="0" collapsed="false">
      <c r="A264" s="9"/>
      <c r="B264" s="23"/>
      <c r="C264" s="24"/>
      <c r="D264" s="9"/>
      <c r="E264" s="9"/>
      <c r="F264" s="9"/>
      <c r="G264" s="9" t="str">
        <f aca="false">IF(F264="","",IFERROR(INDEX(Listas!$P$2:$P$13,MATCH(F264,Listas!$O$2:$O$13,0)),"Código desconocido"))</f>
        <v/>
      </c>
      <c r="H264" s="9"/>
      <c r="I264" s="26"/>
      <c r="J264" s="26"/>
      <c r="K264" s="9"/>
      <c r="L264" s="9"/>
    </row>
    <row r="265" customFormat="false" ht="15" hidden="false" customHeight="false" outlineLevel="0" collapsed="false">
      <c r="A265" s="9"/>
      <c r="B265" s="23"/>
      <c r="C265" s="24"/>
      <c r="D265" s="9"/>
      <c r="E265" s="9"/>
      <c r="F265" s="9"/>
      <c r="G265" s="9" t="str">
        <f aca="false">IF(F265="","",IFERROR(INDEX(Listas!$P$2:$P$13,MATCH(F265,Listas!$O$2:$O$13,0)),"Código desconocido"))</f>
        <v/>
      </c>
      <c r="H265" s="9"/>
      <c r="I265" s="26"/>
      <c r="J265" s="26"/>
      <c r="K265" s="9"/>
      <c r="L265" s="9"/>
    </row>
    <row r="266" customFormat="false" ht="15" hidden="false" customHeight="false" outlineLevel="0" collapsed="false">
      <c r="A266" s="9"/>
      <c r="B266" s="23"/>
      <c r="C266" s="24"/>
      <c r="D266" s="9"/>
      <c r="E266" s="9"/>
      <c r="F266" s="9"/>
      <c r="G266" s="9" t="str">
        <f aca="false">IF(F266="","",IFERROR(INDEX(Listas!$P$2:$P$13,MATCH(F266,Listas!$O$2:$O$13,0)),"Código desconocido"))</f>
        <v/>
      </c>
      <c r="H266" s="9"/>
      <c r="I266" s="26"/>
      <c r="J266" s="26"/>
      <c r="K266" s="9"/>
      <c r="L266" s="9"/>
    </row>
    <row r="267" customFormat="false" ht="15" hidden="false" customHeight="false" outlineLevel="0" collapsed="false">
      <c r="A267" s="9"/>
      <c r="B267" s="23"/>
      <c r="C267" s="24"/>
      <c r="D267" s="9"/>
      <c r="E267" s="9"/>
      <c r="F267" s="9"/>
      <c r="G267" s="9" t="str">
        <f aca="false">IF(F267="","",IFERROR(INDEX(Listas!$P$2:$P$13,MATCH(F267,Listas!$O$2:$O$13,0)),"Código desconocido"))</f>
        <v/>
      </c>
      <c r="H267" s="9"/>
      <c r="I267" s="26"/>
      <c r="J267" s="26"/>
      <c r="K267" s="9"/>
      <c r="L267" s="9"/>
    </row>
    <row r="268" customFormat="false" ht="15" hidden="false" customHeight="false" outlineLevel="0" collapsed="false">
      <c r="A268" s="9"/>
      <c r="B268" s="23"/>
      <c r="C268" s="24"/>
      <c r="D268" s="9"/>
      <c r="E268" s="9"/>
      <c r="F268" s="9"/>
      <c r="G268" s="9" t="str">
        <f aca="false">IF(F268="","",IFERROR(INDEX(Listas!$P$2:$P$13,MATCH(F268,Listas!$O$2:$O$13,0)),"Código desconocido"))</f>
        <v/>
      </c>
      <c r="H268" s="9"/>
      <c r="I268" s="26"/>
      <c r="J268" s="26"/>
      <c r="K268" s="9"/>
      <c r="L268" s="9"/>
    </row>
    <row r="269" customFormat="false" ht="15" hidden="false" customHeight="false" outlineLevel="0" collapsed="false">
      <c r="A269" s="9"/>
      <c r="B269" s="23"/>
      <c r="C269" s="24"/>
      <c r="D269" s="9"/>
      <c r="E269" s="9"/>
      <c r="F269" s="9"/>
      <c r="G269" s="9" t="str">
        <f aca="false">IF(F269="","",IFERROR(INDEX(Listas!$P$2:$P$13,MATCH(F269,Listas!$O$2:$O$13,0)),"Código desconocido"))</f>
        <v/>
      </c>
      <c r="H269" s="9"/>
      <c r="I269" s="26"/>
      <c r="J269" s="26"/>
      <c r="K269" s="9"/>
      <c r="L269" s="9"/>
    </row>
    <row r="270" customFormat="false" ht="15" hidden="false" customHeight="false" outlineLevel="0" collapsed="false">
      <c r="A270" s="9"/>
      <c r="B270" s="23"/>
      <c r="C270" s="24"/>
      <c r="D270" s="9"/>
      <c r="E270" s="9"/>
      <c r="F270" s="9"/>
      <c r="G270" s="9" t="str">
        <f aca="false">IF(F270="","",IFERROR(INDEX(Listas!$P$2:$P$13,MATCH(F270,Listas!$O$2:$O$13,0)),"Código desconocido"))</f>
        <v/>
      </c>
      <c r="H270" s="9"/>
      <c r="I270" s="26"/>
      <c r="J270" s="26"/>
      <c r="K270" s="9"/>
      <c r="L270" s="9"/>
    </row>
    <row r="271" customFormat="false" ht="15" hidden="false" customHeight="false" outlineLevel="0" collapsed="false">
      <c r="A271" s="9"/>
      <c r="B271" s="23"/>
      <c r="C271" s="24"/>
      <c r="D271" s="9"/>
      <c r="E271" s="9"/>
      <c r="F271" s="9"/>
      <c r="G271" s="9" t="str">
        <f aca="false">IF(F271="","",IFERROR(INDEX(Listas!$P$2:$P$13,MATCH(F271,Listas!$O$2:$O$13,0)),"Código desconocido"))</f>
        <v/>
      </c>
      <c r="H271" s="9"/>
      <c r="I271" s="26"/>
      <c r="J271" s="26"/>
      <c r="K271" s="9"/>
      <c r="L271" s="9"/>
    </row>
    <row r="272" customFormat="false" ht="15" hidden="false" customHeight="false" outlineLevel="0" collapsed="false">
      <c r="A272" s="9"/>
      <c r="B272" s="23"/>
      <c r="C272" s="24"/>
      <c r="D272" s="9"/>
      <c r="E272" s="9"/>
      <c r="F272" s="9"/>
      <c r="G272" s="9" t="str">
        <f aca="false">IF(F272="","",IFERROR(INDEX(Listas!$P$2:$P$13,MATCH(F272,Listas!$O$2:$O$13,0)),"Código desconocido"))</f>
        <v/>
      </c>
      <c r="H272" s="9"/>
      <c r="I272" s="26"/>
      <c r="J272" s="26"/>
      <c r="K272" s="9"/>
      <c r="L272" s="9"/>
    </row>
    <row r="273" customFormat="false" ht="15" hidden="false" customHeight="false" outlineLevel="0" collapsed="false">
      <c r="A273" s="9"/>
      <c r="B273" s="23"/>
      <c r="C273" s="24"/>
      <c r="D273" s="9"/>
      <c r="E273" s="9"/>
      <c r="F273" s="9"/>
      <c r="G273" s="9" t="str">
        <f aca="false">IF(F273="","",IFERROR(INDEX(Listas!$P$2:$P$13,MATCH(F273,Listas!$O$2:$O$13,0)),"Código desconocido"))</f>
        <v/>
      </c>
      <c r="H273" s="9"/>
      <c r="I273" s="26"/>
      <c r="J273" s="26"/>
      <c r="K273" s="9"/>
      <c r="L273" s="9"/>
    </row>
    <row r="274" customFormat="false" ht="15" hidden="false" customHeight="false" outlineLevel="0" collapsed="false">
      <c r="A274" s="9"/>
      <c r="B274" s="23"/>
      <c r="C274" s="24"/>
      <c r="D274" s="9"/>
      <c r="E274" s="9"/>
      <c r="F274" s="9"/>
      <c r="G274" s="9" t="str">
        <f aca="false">IF(F274="","",IFERROR(INDEX(Listas!$P$2:$P$13,MATCH(F274,Listas!$O$2:$O$13,0)),"Código desconocido"))</f>
        <v/>
      </c>
      <c r="H274" s="9"/>
      <c r="I274" s="26"/>
      <c r="J274" s="26"/>
      <c r="K274" s="9"/>
      <c r="L274" s="9"/>
    </row>
    <row r="275" customFormat="false" ht="15" hidden="false" customHeight="false" outlineLevel="0" collapsed="false">
      <c r="A275" s="9"/>
      <c r="B275" s="23"/>
      <c r="C275" s="24"/>
      <c r="D275" s="9"/>
      <c r="E275" s="9"/>
      <c r="F275" s="9"/>
      <c r="G275" s="9" t="str">
        <f aca="false">IF(F275="","",IFERROR(INDEX(Listas!$P$2:$P$13,MATCH(F275,Listas!$O$2:$O$13,0)),"Código desconocido"))</f>
        <v/>
      </c>
      <c r="H275" s="9"/>
      <c r="I275" s="26"/>
      <c r="J275" s="26"/>
      <c r="K275" s="9"/>
      <c r="L275" s="9"/>
    </row>
    <row r="276" customFormat="false" ht="15" hidden="false" customHeight="false" outlineLevel="0" collapsed="false">
      <c r="A276" s="9"/>
      <c r="B276" s="23"/>
      <c r="C276" s="24"/>
      <c r="D276" s="9"/>
      <c r="E276" s="9"/>
      <c r="F276" s="9"/>
      <c r="G276" s="9" t="str">
        <f aca="false">IF(F276="","",IFERROR(INDEX(Listas!$P$2:$P$13,MATCH(F276,Listas!$O$2:$O$13,0)),"Código desconocido"))</f>
        <v/>
      </c>
      <c r="H276" s="9"/>
      <c r="I276" s="26"/>
      <c r="J276" s="26"/>
      <c r="K276" s="9"/>
      <c r="L276" s="9"/>
    </row>
    <row r="277" customFormat="false" ht="15" hidden="false" customHeight="false" outlineLevel="0" collapsed="false">
      <c r="A277" s="9"/>
      <c r="B277" s="23"/>
      <c r="C277" s="24"/>
      <c r="D277" s="9"/>
      <c r="E277" s="9"/>
      <c r="F277" s="9"/>
      <c r="G277" s="9" t="str">
        <f aca="false">IF(F277="","",IFERROR(INDEX(Listas!$P$2:$P$13,MATCH(F277,Listas!$O$2:$O$13,0)),"Código desconocido"))</f>
        <v/>
      </c>
      <c r="H277" s="9"/>
      <c r="I277" s="26"/>
      <c r="J277" s="26"/>
      <c r="K277" s="9"/>
      <c r="L277" s="9"/>
    </row>
    <row r="278" customFormat="false" ht="15" hidden="false" customHeight="false" outlineLevel="0" collapsed="false">
      <c r="A278" s="9"/>
      <c r="B278" s="23"/>
      <c r="C278" s="24"/>
      <c r="D278" s="9"/>
      <c r="E278" s="9"/>
      <c r="F278" s="9"/>
      <c r="G278" s="9" t="str">
        <f aca="false">IF(F278="","",IFERROR(INDEX(Listas!$P$2:$P$13,MATCH(F278,Listas!$O$2:$O$13,0)),"Código desconocido"))</f>
        <v/>
      </c>
      <c r="H278" s="9"/>
      <c r="I278" s="26"/>
      <c r="J278" s="26"/>
      <c r="K278" s="9"/>
      <c r="L278" s="9"/>
    </row>
    <row r="279" customFormat="false" ht="15" hidden="false" customHeight="false" outlineLevel="0" collapsed="false">
      <c r="A279" s="9"/>
      <c r="B279" s="23"/>
      <c r="C279" s="24"/>
      <c r="D279" s="9"/>
      <c r="E279" s="9"/>
      <c r="F279" s="9"/>
      <c r="G279" s="9" t="str">
        <f aca="false">IF(F279="","",IFERROR(INDEX(Listas!$P$2:$P$13,MATCH(F279,Listas!$O$2:$O$13,0)),"Código desconocido"))</f>
        <v/>
      </c>
      <c r="H279" s="9"/>
      <c r="I279" s="26"/>
      <c r="J279" s="26"/>
      <c r="K279" s="9"/>
      <c r="L279" s="9"/>
    </row>
    <row r="280" customFormat="false" ht="15" hidden="false" customHeight="false" outlineLevel="0" collapsed="false">
      <c r="A280" s="9"/>
      <c r="B280" s="23"/>
      <c r="C280" s="24"/>
      <c r="D280" s="9"/>
      <c r="E280" s="9"/>
      <c r="F280" s="9"/>
      <c r="G280" s="9" t="str">
        <f aca="false">IF(F280="","",IFERROR(INDEX(Listas!$P$2:$P$13,MATCH(F280,Listas!$O$2:$O$13,0)),"Código desconocido"))</f>
        <v/>
      </c>
      <c r="H280" s="9"/>
      <c r="I280" s="26"/>
      <c r="J280" s="26"/>
      <c r="K280" s="9"/>
      <c r="L280" s="9"/>
    </row>
    <row r="281" customFormat="false" ht="15" hidden="false" customHeight="false" outlineLevel="0" collapsed="false">
      <c r="A281" s="9"/>
      <c r="B281" s="23"/>
      <c r="C281" s="24"/>
      <c r="D281" s="9"/>
      <c r="E281" s="9"/>
      <c r="F281" s="9"/>
      <c r="G281" s="9" t="str">
        <f aca="false">IF(F281="","",IFERROR(INDEX(Listas!$P$2:$P$13,MATCH(F281,Listas!$O$2:$O$13,0)),"Código desconocido"))</f>
        <v/>
      </c>
      <c r="H281" s="9"/>
      <c r="I281" s="26"/>
      <c r="J281" s="26"/>
      <c r="K281" s="9"/>
      <c r="L281" s="9"/>
    </row>
    <row r="282" customFormat="false" ht="15" hidden="false" customHeight="false" outlineLevel="0" collapsed="false">
      <c r="A282" s="9"/>
      <c r="B282" s="23"/>
      <c r="C282" s="24"/>
      <c r="D282" s="9"/>
      <c r="E282" s="9"/>
      <c r="F282" s="9"/>
      <c r="G282" s="9" t="str">
        <f aca="false">IF(F282="","",IFERROR(INDEX(Listas!$P$2:$P$13,MATCH(F282,Listas!$O$2:$O$13,0)),"Código desconocido"))</f>
        <v/>
      </c>
      <c r="H282" s="9"/>
      <c r="I282" s="26"/>
      <c r="J282" s="26"/>
      <c r="K282" s="9"/>
      <c r="L282" s="9"/>
    </row>
    <row r="283" customFormat="false" ht="15" hidden="false" customHeight="false" outlineLevel="0" collapsed="false">
      <c r="A283" s="9"/>
      <c r="B283" s="23"/>
      <c r="C283" s="24"/>
      <c r="D283" s="9"/>
      <c r="E283" s="9"/>
      <c r="F283" s="9"/>
      <c r="G283" s="9" t="str">
        <f aca="false">IF(F283="","",IFERROR(INDEX(Listas!$P$2:$P$13,MATCH(F283,Listas!$O$2:$O$13,0)),"Código desconocido"))</f>
        <v/>
      </c>
      <c r="H283" s="9"/>
      <c r="I283" s="26"/>
      <c r="J283" s="26"/>
      <c r="K283" s="9"/>
      <c r="L283" s="9"/>
    </row>
    <row r="284" customFormat="false" ht="15" hidden="false" customHeight="false" outlineLevel="0" collapsed="false">
      <c r="A284" s="9"/>
      <c r="B284" s="23"/>
      <c r="C284" s="24"/>
      <c r="D284" s="9"/>
      <c r="E284" s="9"/>
      <c r="F284" s="9"/>
      <c r="G284" s="9" t="str">
        <f aca="false">IF(F284="","",IFERROR(INDEX(Listas!$P$2:$P$13,MATCH(F284,Listas!$O$2:$O$13,0)),"Código desconocido"))</f>
        <v/>
      </c>
      <c r="H284" s="9"/>
      <c r="I284" s="26"/>
      <c r="J284" s="26"/>
      <c r="K284" s="9"/>
      <c r="L284" s="9"/>
    </row>
    <row r="285" customFormat="false" ht="15" hidden="false" customHeight="false" outlineLevel="0" collapsed="false">
      <c r="A285" s="9"/>
      <c r="B285" s="23"/>
      <c r="C285" s="24"/>
      <c r="D285" s="9"/>
      <c r="E285" s="9"/>
      <c r="F285" s="9"/>
      <c r="G285" s="9" t="str">
        <f aca="false">IF(F285="","",IFERROR(INDEX(Listas!$P$2:$P$13,MATCH(F285,Listas!$O$2:$O$13,0)),"Código desconocido"))</f>
        <v/>
      </c>
      <c r="H285" s="9"/>
      <c r="I285" s="26"/>
      <c r="J285" s="26"/>
      <c r="K285" s="9"/>
      <c r="L285" s="9"/>
    </row>
    <row r="286" customFormat="false" ht="15" hidden="false" customHeight="false" outlineLevel="0" collapsed="false">
      <c r="A286" s="9"/>
      <c r="B286" s="23"/>
      <c r="C286" s="24"/>
      <c r="D286" s="9"/>
      <c r="E286" s="9"/>
      <c r="F286" s="9"/>
      <c r="G286" s="9" t="str">
        <f aca="false">IF(F286="","",IFERROR(INDEX(Listas!$P$2:$P$13,MATCH(F286,Listas!$O$2:$O$13,0)),"Código desconocido"))</f>
        <v/>
      </c>
      <c r="H286" s="9"/>
      <c r="I286" s="26"/>
      <c r="J286" s="26"/>
      <c r="K286" s="9"/>
      <c r="L286" s="9"/>
    </row>
    <row r="287" customFormat="false" ht="15" hidden="false" customHeight="false" outlineLevel="0" collapsed="false">
      <c r="A287" s="9"/>
      <c r="B287" s="23"/>
      <c r="C287" s="24"/>
      <c r="D287" s="9"/>
      <c r="E287" s="9"/>
      <c r="F287" s="9"/>
      <c r="G287" s="9" t="str">
        <f aca="false">IF(F287="","",IFERROR(INDEX(Listas!$P$2:$P$13,MATCH(F287,Listas!$O$2:$O$13,0)),"Código desconocido"))</f>
        <v/>
      </c>
      <c r="H287" s="9"/>
      <c r="I287" s="26"/>
      <c r="J287" s="26"/>
      <c r="K287" s="9"/>
      <c r="L287" s="9"/>
    </row>
    <row r="288" customFormat="false" ht="15" hidden="false" customHeight="false" outlineLevel="0" collapsed="false">
      <c r="A288" s="9"/>
      <c r="B288" s="23"/>
      <c r="C288" s="24"/>
      <c r="D288" s="9"/>
      <c r="E288" s="9"/>
      <c r="F288" s="9"/>
      <c r="G288" s="9" t="str">
        <f aca="false">IF(F288="","",IFERROR(INDEX(Listas!$P$2:$P$13,MATCH(F288,Listas!$O$2:$O$13,0)),"Código desconocido"))</f>
        <v/>
      </c>
      <c r="H288" s="9"/>
      <c r="I288" s="26"/>
      <c r="J288" s="26"/>
      <c r="K288" s="9"/>
      <c r="L288" s="9"/>
    </row>
    <row r="289" customFormat="false" ht="15" hidden="false" customHeight="false" outlineLevel="0" collapsed="false">
      <c r="A289" s="9"/>
      <c r="B289" s="23"/>
      <c r="C289" s="24"/>
      <c r="D289" s="9"/>
      <c r="E289" s="9"/>
      <c r="F289" s="9"/>
      <c r="G289" s="9" t="str">
        <f aca="false">IF(F289="","",IFERROR(INDEX(Listas!$P$2:$P$13,MATCH(F289,Listas!$O$2:$O$13,0)),"Código desconocido"))</f>
        <v/>
      </c>
      <c r="H289" s="9"/>
      <c r="I289" s="26"/>
      <c r="J289" s="26"/>
      <c r="K289" s="9"/>
      <c r="L289" s="9"/>
    </row>
    <row r="290" customFormat="false" ht="15" hidden="false" customHeight="false" outlineLevel="0" collapsed="false">
      <c r="A290" s="9"/>
      <c r="B290" s="23"/>
      <c r="C290" s="24"/>
      <c r="D290" s="9"/>
      <c r="E290" s="9"/>
      <c r="F290" s="9"/>
      <c r="G290" s="9" t="str">
        <f aca="false">IF(F290="","",IFERROR(INDEX(Listas!$P$2:$P$13,MATCH(F290,Listas!$O$2:$O$13,0)),"Código desconocido"))</f>
        <v/>
      </c>
      <c r="H290" s="9"/>
      <c r="I290" s="26"/>
      <c r="J290" s="26"/>
      <c r="K290" s="9"/>
      <c r="L290" s="9"/>
    </row>
    <row r="291" customFormat="false" ht="15" hidden="false" customHeight="false" outlineLevel="0" collapsed="false">
      <c r="A291" s="9"/>
      <c r="B291" s="23"/>
      <c r="C291" s="24"/>
      <c r="D291" s="9"/>
      <c r="E291" s="9"/>
      <c r="F291" s="9"/>
      <c r="G291" s="9" t="str">
        <f aca="false">IF(F291="","",IFERROR(INDEX(Listas!$P$2:$P$13,MATCH(F291,Listas!$O$2:$O$13,0)),"Código desconocido"))</f>
        <v/>
      </c>
      <c r="H291" s="9"/>
      <c r="I291" s="26"/>
      <c r="J291" s="26"/>
      <c r="K291" s="9"/>
      <c r="L291" s="9"/>
    </row>
    <row r="292" customFormat="false" ht="15" hidden="false" customHeight="false" outlineLevel="0" collapsed="false">
      <c r="A292" s="9"/>
      <c r="B292" s="23"/>
      <c r="C292" s="24"/>
      <c r="D292" s="9"/>
      <c r="E292" s="9"/>
      <c r="F292" s="9"/>
      <c r="G292" s="9" t="str">
        <f aca="false">IF(F292="","",IFERROR(INDEX(Listas!$P$2:$P$13,MATCH(F292,Listas!$O$2:$O$13,0)),"Código desconocido"))</f>
        <v/>
      </c>
      <c r="H292" s="9"/>
      <c r="I292" s="26"/>
      <c r="J292" s="26"/>
      <c r="K292" s="9"/>
      <c r="L292" s="9"/>
    </row>
    <row r="293" customFormat="false" ht="15" hidden="false" customHeight="false" outlineLevel="0" collapsed="false">
      <c r="A293" s="9"/>
      <c r="B293" s="23"/>
      <c r="C293" s="24"/>
      <c r="D293" s="9"/>
      <c r="E293" s="9"/>
      <c r="F293" s="9"/>
      <c r="G293" s="9" t="str">
        <f aca="false">IF(F293="","",IFERROR(INDEX(Listas!$P$2:$P$13,MATCH(F293,Listas!$O$2:$O$13,0)),"Código desconocido"))</f>
        <v/>
      </c>
      <c r="H293" s="9"/>
      <c r="I293" s="26"/>
      <c r="J293" s="26"/>
      <c r="K293" s="9"/>
      <c r="L293" s="9"/>
    </row>
    <row r="294" customFormat="false" ht="15" hidden="false" customHeight="false" outlineLevel="0" collapsed="false">
      <c r="A294" s="9"/>
      <c r="B294" s="23"/>
      <c r="C294" s="24"/>
      <c r="D294" s="9"/>
      <c r="E294" s="9"/>
      <c r="F294" s="9"/>
      <c r="G294" s="9" t="str">
        <f aca="false">IF(F294="","",IFERROR(INDEX(Listas!$P$2:$P$13,MATCH(F294,Listas!$O$2:$O$13,0)),"Código desconocido"))</f>
        <v/>
      </c>
      <c r="H294" s="9"/>
      <c r="I294" s="26"/>
      <c r="J294" s="26"/>
      <c r="K294" s="9"/>
      <c r="L294" s="9"/>
    </row>
    <row r="295" customFormat="false" ht="15" hidden="false" customHeight="false" outlineLevel="0" collapsed="false">
      <c r="A295" s="9"/>
      <c r="B295" s="23"/>
      <c r="C295" s="24"/>
      <c r="D295" s="9"/>
      <c r="E295" s="9"/>
      <c r="F295" s="9"/>
      <c r="G295" s="9" t="str">
        <f aca="false">IF(F295="","",IFERROR(INDEX(Listas!$P$2:$P$13,MATCH(F295,Listas!$O$2:$O$13,0)),"Código desconocido"))</f>
        <v/>
      </c>
      <c r="H295" s="9"/>
      <c r="I295" s="26"/>
      <c r="J295" s="26"/>
      <c r="K295" s="9"/>
      <c r="L295" s="9"/>
    </row>
    <row r="296" customFormat="false" ht="15" hidden="false" customHeight="false" outlineLevel="0" collapsed="false">
      <c r="A296" s="9"/>
      <c r="B296" s="23"/>
      <c r="C296" s="24"/>
      <c r="D296" s="9"/>
      <c r="E296" s="9"/>
      <c r="F296" s="9"/>
      <c r="G296" s="9" t="str">
        <f aca="false">IF(F296="","",IFERROR(INDEX(Listas!$P$2:$P$13,MATCH(F296,Listas!$O$2:$O$13,0)),"Código desconocido"))</f>
        <v/>
      </c>
      <c r="H296" s="9"/>
      <c r="I296" s="26"/>
      <c r="J296" s="26"/>
      <c r="K296" s="9"/>
      <c r="L296" s="9"/>
    </row>
    <row r="297" customFormat="false" ht="15" hidden="false" customHeight="false" outlineLevel="0" collapsed="false">
      <c r="A297" s="9"/>
      <c r="B297" s="23"/>
      <c r="C297" s="24"/>
      <c r="D297" s="9"/>
      <c r="E297" s="9"/>
      <c r="F297" s="9"/>
      <c r="G297" s="9" t="str">
        <f aca="false">IF(F297="","",IFERROR(INDEX(Listas!$P$2:$P$13,MATCH(F297,Listas!$O$2:$O$13,0)),"Código desconocido"))</f>
        <v/>
      </c>
      <c r="H297" s="9"/>
      <c r="I297" s="26"/>
      <c r="J297" s="26"/>
      <c r="K297" s="9"/>
      <c r="L297" s="9"/>
    </row>
    <row r="298" customFormat="false" ht="15" hidden="false" customHeight="false" outlineLevel="0" collapsed="false">
      <c r="A298" s="9"/>
      <c r="B298" s="23"/>
      <c r="C298" s="24"/>
      <c r="D298" s="9"/>
      <c r="E298" s="9"/>
      <c r="F298" s="9"/>
      <c r="G298" s="9" t="str">
        <f aca="false">IF(F298="","",IFERROR(INDEX(Listas!$P$2:$P$13,MATCH(F298,Listas!$O$2:$O$13,0)),"Código desconocido"))</f>
        <v/>
      </c>
      <c r="H298" s="9"/>
      <c r="I298" s="26"/>
      <c r="J298" s="26"/>
      <c r="K298" s="9"/>
      <c r="L298" s="9"/>
    </row>
    <row r="299" customFormat="false" ht="15" hidden="false" customHeight="false" outlineLevel="0" collapsed="false">
      <c r="A299" s="9"/>
      <c r="B299" s="23"/>
      <c r="C299" s="24"/>
      <c r="D299" s="9"/>
      <c r="E299" s="9"/>
      <c r="F299" s="9"/>
      <c r="G299" s="9" t="str">
        <f aca="false">IF(F299="","",IFERROR(INDEX(Listas!$P$2:$P$13,MATCH(F299,Listas!$O$2:$O$13,0)),"Código desconocido"))</f>
        <v/>
      </c>
      <c r="H299" s="9"/>
      <c r="I299" s="26"/>
      <c r="J299" s="26"/>
      <c r="K299" s="9"/>
      <c r="L299" s="9"/>
    </row>
    <row r="300" customFormat="false" ht="15" hidden="false" customHeight="false" outlineLevel="0" collapsed="false">
      <c r="A300" s="9"/>
      <c r="B300" s="23"/>
      <c r="C300" s="24"/>
      <c r="D300" s="9"/>
      <c r="E300" s="9"/>
      <c r="F300" s="9"/>
      <c r="G300" s="9" t="str">
        <f aca="false">IF(F300="","",IFERROR(INDEX(Listas!$P$2:$P$13,MATCH(F300,Listas!$O$2:$O$13,0)),"Código desconocido"))</f>
        <v/>
      </c>
      <c r="H300" s="9"/>
      <c r="I300" s="26"/>
      <c r="J300" s="26"/>
      <c r="K300" s="9"/>
      <c r="L300" s="9"/>
    </row>
    <row r="301" customFormat="false" ht="15" hidden="false" customHeight="false" outlineLevel="0" collapsed="false">
      <c r="A301" s="9"/>
      <c r="B301" s="23"/>
      <c r="C301" s="24"/>
      <c r="D301" s="9"/>
      <c r="E301" s="9"/>
      <c r="F301" s="9"/>
      <c r="G301" s="9" t="str">
        <f aca="false">IF(F301="","",IFERROR(INDEX(Listas!$P$2:$P$13,MATCH(F301,Listas!$O$2:$O$13,0)),"Código desconocido"))</f>
        <v/>
      </c>
      <c r="H301" s="9"/>
      <c r="I301" s="26"/>
      <c r="J301" s="26"/>
      <c r="K301" s="9"/>
      <c r="L301" s="9"/>
    </row>
  </sheetData>
  <autoFilter ref="A1:L301"/>
  <conditionalFormatting sqref="H2:H301">
    <cfRule type="cellIs" priority="2" operator="equal" aboveAverage="0" equalAverage="0" bottom="0" percent="0" rank="0" text="" dxfId="12">
      <formula>"Alta"</formula>
    </cfRule>
  </conditionalFormatting>
  <conditionalFormatting sqref="L2:L301">
    <cfRule type="cellIs" priority="3" operator="equal" aboveAverage="0" equalAverage="0" bottom="0" percent="0" rank="0" text="" dxfId="11">
      <formula>"Abierta"</formula>
    </cfRule>
  </conditionalFormatting>
  <conditionalFormatting sqref="A2:A301">
    <cfRule type="expression" priority="4" aboveAverage="0" equalAverage="0" bottom="0" percent="0" rank="0" text="" dxfId="14">
      <formula>AND(A2&lt;&gt;"",COUNTIF($A$2:$A$301,A2)&gt;1)</formula>
    </cfRule>
  </conditionalFormatting>
  <dataValidations count="7">
    <dataValidation allowBlank="true" error="Usa un ID de ruta que exista en la pestaña Rutas." errorStyle="stop" errorTitle="Valor no permitido" operator="between" showDropDown="false" showErrorMessage="true" showInputMessage="false" sqref="D2:D301" type="list">
      <formula1>Rutas!$A$2:$A$301</formula1>
      <formula2>0</formula2>
    </dataValidation>
    <dataValidation allowBlank="true" error="Usa un ID de conductor que exista en la pestaña Conductores." errorStyle="stop" errorTitle="Valor no permitido" operator="between" showDropDown="false" showErrorMessage="true" showInputMessage="false" sqref="E2:E301" type="list">
      <formula1>Conductores!$A$2:$A$301</formula1>
      <formula2>0</formula2>
    </dataValidation>
    <dataValidation allowBlank="true" error="Elige un código de motivo de la pestaña Listas." errorStyle="stop" errorTitle="Valor no permitido" operator="between" showDropDown="false" showErrorMessage="true" showInputMessage="false" sqref="F2:F301" type="list">
      <formula1>Listas!$O$2:$O$13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H2:H301" type="list">
      <formula1>Listas!$H$2:$H$4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K2:K301" type="list">
      <formula1>Listas!$J$2:$J$3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L2:L301" type="list">
      <formula1>Listas!$I$2:$I$3</formula1>
      <formula2>0</formula2>
    </dataValidation>
    <dataValidation allowBlank="true" error="Escribe una fecha válida, por ejemplo 09/10/2026." errorStyle="stop" errorTitle="Falta una fecha" operator="greaterThan" showDropDown="false" showErrorMessage="true" showInputMessage="false" sqref="B2:B3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17" t="s">
        <v>182</v>
      </c>
      <c r="B1" s="17" t="s">
        <v>135</v>
      </c>
      <c r="C1" s="17" t="s">
        <v>134</v>
      </c>
      <c r="D1" s="17" t="s">
        <v>183</v>
      </c>
      <c r="E1" s="17" t="s">
        <v>184</v>
      </c>
      <c r="F1" s="17" t="s">
        <v>185</v>
      </c>
      <c r="G1" s="17" t="s">
        <v>186</v>
      </c>
      <c r="H1" s="17" t="s">
        <v>187</v>
      </c>
      <c r="I1" s="17" t="s">
        <v>188</v>
      </c>
      <c r="J1" s="17" t="s">
        <v>189</v>
      </c>
    </row>
    <row r="2" customFormat="false" ht="15" hidden="false" customHeight="false" outlineLevel="0" collapsed="false">
      <c r="A2" s="27" t="n">
        <v>46304.2986111111</v>
      </c>
      <c r="B2" s="20" t="s">
        <v>150</v>
      </c>
      <c r="C2" s="20" t="s">
        <v>149</v>
      </c>
      <c r="D2" s="20" t="s">
        <v>190</v>
      </c>
      <c r="E2" s="20" t="s">
        <v>190</v>
      </c>
      <c r="F2" s="20" t="s">
        <v>190</v>
      </c>
      <c r="G2" s="20" t="s">
        <v>191</v>
      </c>
      <c r="H2" s="20" t="s">
        <v>192</v>
      </c>
      <c r="I2" s="20" t="s">
        <v>193</v>
      </c>
      <c r="J2" s="25"/>
    </row>
    <row r="3" customFormat="false" ht="15" hidden="false" customHeight="false" outlineLevel="0" collapsed="false">
      <c r="A3" s="27" t="n">
        <v>46304.2534722222</v>
      </c>
      <c r="B3" s="20" t="s">
        <v>159</v>
      </c>
      <c r="C3" s="20" t="s">
        <v>158</v>
      </c>
      <c r="D3" s="20" t="s">
        <v>190</v>
      </c>
      <c r="E3" s="20" t="s">
        <v>190</v>
      </c>
      <c r="F3" s="20" t="s">
        <v>190</v>
      </c>
      <c r="G3" s="20" t="s">
        <v>194</v>
      </c>
      <c r="H3" s="20" t="s">
        <v>192</v>
      </c>
      <c r="I3" s="20" t="s">
        <v>193</v>
      </c>
      <c r="J3" s="25"/>
    </row>
    <row r="4" customFormat="false" ht="15" hidden="false" customHeight="false" outlineLevel="0" collapsed="false">
      <c r="A4" s="27" t="n">
        <v>46304.3194444445</v>
      </c>
      <c r="B4" s="20" t="s">
        <v>165</v>
      </c>
      <c r="C4" s="20" t="s">
        <v>164</v>
      </c>
      <c r="D4" s="20" t="s">
        <v>190</v>
      </c>
      <c r="E4" s="20" t="s">
        <v>190</v>
      </c>
      <c r="F4" s="20" t="s">
        <v>195</v>
      </c>
      <c r="G4" s="20" t="s">
        <v>196</v>
      </c>
      <c r="H4" s="20" t="s">
        <v>192</v>
      </c>
      <c r="I4" s="20" t="s">
        <v>193</v>
      </c>
      <c r="J4" s="25" t="s">
        <v>197</v>
      </c>
    </row>
    <row r="5" customFormat="false" ht="15" hidden="false" customHeight="false" outlineLevel="0" collapsed="false">
      <c r="A5" s="28"/>
      <c r="B5" s="9"/>
      <c r="C5" s="9"/>
      <c r="D5" s="9"/>
      <c r="E5" s="9"/>
      <c r="F5" s="9"/>
      <c r="G5" s="9"/>
      <c r="H5" s="9"/>
      <c r="I5" s="9"/>
      <c r="J5" s="26"/>
    </row>
    <row r="6" customFormat="false" ht="15" hidden="false" customHeight="false" outlineLevel="0" collapsed="false">
      <c r="A6" s="28"/>
      <c r="B6" s="9"/>
      <c r="C6" s="9"/>
      <c r="D6" s="9"/>
      <c r="E6" s="9"/>
      <c r="F6" s="9"/>
      <c r="G6" s="9"/>
      <c r="H6" s="9"/>
      <c r="I6" s="9"/>
      <c r="J6" s="26"/>
    </row>
    <row r="7" customFormat="false" ht="15" hidden="false" customHeight="false" outlineLevel="0" collapsed="false">
      <c r="A7" s="28"/>
      <c r="B7" s="9"/>
      <c r="C7" s="9"/>
      <c r="D7" s="9"/>
      <c r="E7" s="9"/>
      <c r="F7" s="9"/>
      <c r="G7" s="9"/>
      <c r="H7" s="9"/>
      <c r="I7" s="9"/>
      <c r="J7" s="26"/>
    </row>
    <row r="8" customFormat="false" ht="15" hidden="false" customHeight="false" outlineLevel="0" collapsed="false">
      <c r="A8" s="28"/>
      <c r="B8" s="9"/>
      <c r="C8" s="9"/>
      <c r="D8" s="9"/>
      <c r="E8" s="9"/>
      <c r="F8" s="9"/>
      <c r="G8" s="9"/>
      <c r="H8" s="9"/>
      <c r="I8" s="9"/>
      <c r="J8" s="26"/>
    </row>
    <row r="9" customFormat="false" ht="15" hidden="false" customHeight="false" outlineLevel="0" collapsed="false">
      <c r="A9" s="28"/>
      <c r="B9" s="9"/>
      <c r="C9" s="9"/>
      <c r="D9" s="9"/>
      <c r="E9" s="9"/>
      <c r="F9" s="9"/>
      <c r="G9" s="9"/>
      <c r="H9" s="9"/>
      <c r="I9" s="9"/>
      <c r="J9" s="26"/>
    </row>
    <row r="10" customFormat="false" ht="15" hidden="false" customHeight="false" outlineLevel="0" collapsed="false">
      <c r="A10" s="28"/>
      <c r="B10" s="9"/>
      <c r="C10" s="9"/>
      <c r="D10" s="9"/>
      <c r="E10" s="9"/>
      <c r="F10" s="9"/>
      <c r="G10" s="9"/>
      <c r="H10" s="9"/>
      <c r="I10" s="9"/>
      <c r="J10" s="26"/>
    </row>
    <row r="11" customFormat="false" ht="15" hidden="false" customHeight="false" outlineLevel="0" collapsed="false">
      <c r="A11" s="28"/>
      <c r="B11" s="9"/>
      <c r="C11" s="9"/>
      <c r="D11" s="9"/>
      <c r="E11" s="9"/>
      <c r="F11" s="9"/>
      <c r="G11" s="9"/>
      <c r="H11" s="9"/>
      <c r="I11" s="9"/>
      <c r="J11" s="26"/>
    </row>
    <row r="12" customFormat="false" ht="15" hidden="false" customHeight="false" outlineLevel="0" collapsed="false">
      <c r="A12" s="28"/>
      <c r="B12" s="9"/>
      <c r="C12" s="9"/>
      <c r="D12" s="9"/>
      <c r="E12" s="9"/>
      <c r="F12" s="9"/>
      <c r="G12" s="9"/>
      <c r="H12" s="9"/>
      <c r="I12" s="9"/>
      <c r="J12" s="26"/>
    </row>
    <row r="13" customFormat="false" ht="15" hidden="false" customHeight="false" outlineLevel="0" collapsed="false">
      <c r="A13" s="28"/>
      <c r="B13" s="9"/>
      <c r="C13" s="9"/>
      <c r="D13" s="9"/>
      <c r="E13" s="9"/>
      <c r="F13" s="9"/>
      <c r="G13" s="9"/>
      <c r="H13" s="9"/>
      <c r="I13" s="9"/>
      <c r="J13" s="26"/>
    </row>
    <row r="14" customFormat="false" ht="15" hidden="false" customHeight="false" outlineLevel="0" collapsed="false">
      <c r="A14" s="28"/>
      <c r="B14" s="9"/>
      <c r="C14" s="9"/>
      <c r="D14" s="9"/>
      <c r="E14" s="9"/>
      <c r="F14" s="9"/>
      <c r="G14" s="9"/>
      <c r="H14" s="9"/>
      <c r="I14" s="9"/>
      <c r="J14" s="26"/>
    </row>
    <row r="15" customFormat="false" ht="15" hidden="false" customHeight="false" outlineLevel="0" collapsed="false">
      <c r="A15" s="28"/>
      <c r="B15" s="9"/>
      <c r="C15" s="9"/>
      <c r="D15" s="9"/>
      <c r="E15" s="9"/>
      <c r="F15" s="9"/>
      <c r="G15" s="9"/>
      <c r="H15" s="9"/>
      <c r="I15" s="9"/>
      <c r="J15" s="26"/>
    </row>
    <row r="16" customFormat="false" ht="15" hidden="false" customHeight="false" outlineLevel="0" collapsed="false">
      <c r="A16" s="28"/>
      <c r="B16" s="9"/>
      <c r="C16" s="9"/>
      <c r="D16" s="9"/>
      <c r="E16" s="9"/>
      <c r="F16" s="9"/>
      <c r="G16" s="9"/>
      <c r="H16" s="9"/>
      <c r="I16" s="9"/>
      <c r="J16" s="26"/>
    </row>
    <row r="17" customFormat="false" ht="15" hidden="false" customHeight="false" outlineLevel="0" collapsed="false">
      <c r="A17" s="28"/>
      <c r="B17" s="9"/>
      <c r="C17" s="9"/>
      <c r="D17" s="9"/>
      <c r="E17" s="9"/>
      <c r="F17" s="9"/>
      <c r="G17" s="9"/>
      <c r="H17" s="9"/>
      <c r="I17" s="9"/>
      <c r="J17" s="26"/>
    </row>
    <row r="18" customFormat="false" ht="15" hidden="false" customHeight="false" outlineLevel="0" collapsed="false">
      <c r="A18" s="28"/>
      <c r="B18" s="9"/>
      <c r="C18" s="9"/>
      <c r="D18" s="9"/>
      <c r="E18" s="9"/>
      <c r="F18" s="9"/>
      <c r="G18" s="9"/>
      <c r="H18" s="9"/>
      <c r="I18" s="9"/>
      <c r="J18" s="26"/>
    </row>
    <row r="19" customFormat="false" ht="15" hidden="false" customHeight="false" outlineLevel="0" collapsed="false">
      <c r="A19" s="28"/>
      <c r="B19" s="9"/>
      <c r="C19" s="9"/>
      <c r="D19" s="9"/>
      <c r="E19" s="9"/>
      <c r="F19" s="9"/>
      <c r="G19" s="9"/>
      <c r="H19" s="9"/>
      <c r="I19" s="9"/>
      <c r="J19" s="26"/>
    </row>
    <row r="20" customFormat="false" ht="15" hidden="false" customHeight="false" outlineLevel="0" collapsed="false">
      <c r="A20" s="28"/>
      <c r="B20" s="9"/>
      <c r="C20" s="9"/>
      <c r="D20" s="9"/>
      <c r="E20" s="9"/>
      <c r="F20" s="9"/>
      <c r="G20" s="9"/>
      <c r="H20" s="9"/>
      <c r="I20" s="9"/>
      <c r="J20" s="26"/>
    </row>
    <row r="21" customFormat="false" ht="15" hidden="false" customHeight="false" outlineLevel="0" collapsed="false">
      <c r="A21" s="28"/>
      <c r="B21" s="9"/>
      <c r="C21" s="9"/>
      <c r="D21" s="9"/>
      <c r="E21" s="9"/>
      <c r="F21" s="9"/>
      <c r="G21" s="9"/>
      <c r="H21" s="9"/>
      <c r="I21" s="9"/>
      <c r="J21" s="26"/>
    </row>
    <row r="22" customFormat="false" ht="15" hidden="false" customHeight="false" outlineLevel="0" collapsed="false">
      <c r="A22" s="28"/>
      <c r="B22" s="9"/>
      <c r="C22" s="9"/>
      <c r="D22" s="9"/>
      <c r="E22" s="9"/>
      <c r="F22" s="9"/>
      <c r="G22" s="9"/>
      <c r="H22" s="9"/>
      <c r="I22" s="9"/>
      <c r="J22" s="26"/>
    </row>
    <row r="23" customFormat="false" ht="15" hidden="false" customHeight="false" outlineLevel="0" collapsed="false">
      <c r="A23" s="28"/>
      <c r="B23" s="9"/>
      <c r="C23" s="9"/>
      <c r="D23" s="9"/>
      <c r="E23" s="9"/>
      <c r="F23" s="9"/>
      <c r="G23" s="9"/>
      <c r="H23" s="9"/>
      <c r="I23" s="9"/>
      <c r="J23" s="26"/>
    </row>
    <row r="24" customFormat="false" ht="15" hidden="false" customHeight="false" outlineLevel="0" collapsed="false">
      <c r="A24" s="28"/>
      <c r="B24" s="9"/>
      <c r="C24" s="9"/>
      <c r="D24" s="9"/>
      <c r="E24" s="9"/>
      <c r="F24" s="9"/>
      <c r="G24" s="9"/>
      <c r="H24" s="9"/>
      <c r="I24" s="9"/>
      <c r="J24" s="26"/>
    </row>
    <row r="25" customFormat="false" ht="15" hidden="false" customHeight="false" outlineLevel="0" collapsed="false">
      <c r="A25" s="28"/>
      <c r="B25" s="9"/>
      <c r="C25" s="9"/>
      <c r="D25" s="9"/>
      <c r="E25" s="9"/>
      <c r="F25" s="9"/>
      <c r="G25" s="9"/>
      <c r="H25" s="9"/>
      <c r="I25" s="9"/>
      <c r="J25" s="26"/>
    </row>
    <row r="26" customFormat="false" ht="15" hidden="false" customHeight="false" outlineLevel="0" collapsed="false">
      <c r="A26" s="28"/>
      <c r="B26" s="9"/>
      <c r="C26" s="9"/>
      <c r="D26" s="9"/>
      <c r="E26" s="9"/>
      <c r="F26" s="9"/>
      <c r="G26" s="9"/>
      <c r="H26" s="9"/>
      <c r="I26" s="9"/>
      <c r="J26" s="26"/>
    </row>
    <row r="27" customFormat="false" ht="15" hidden="false" customHeight="false" outlineLevel="0" collapsed="false">
      <c r="A27" s="28"/>
      <c r="B27" s="9"/>
      <c r="C27" s="9"/>
      <c r="D27" s="9"/>
      <c r="E27" s="9"/>
      <c r="F27" s="9"/>
      <c r="G27" s="9"/>
      <c r="H27" s="9"/>
      <c r="I27" s="9"/>
      <c r="J27" s="26"/>
    </row>
    <row r="28" customFormat="false" ht="15" hidden="false" customHeight="false" outlineLevel="0" collapsed="false">
      <c r="A28" s="28"/>
      <c r="B28" s="9"/>
      <c r="C28" s="9"/>
      <c r="D28" s="9"/>
      <c r="E28" s="9"/>
      <c r="F28" s="9"/>
      <c r="G28" s="9"/>
      <c r="H28" s="9"/>
      <c r="I28" s="9"/>
      <c r="J28" s="26"/>
    </row>
    <row r="29" customFormat="false" ht="15" hidden="false" customHeight="false" outlineLevel="0" collapsed="false">
      <c r="A29" s="28"/>
      <c r="B29" s="9"/>
      <c r="C29" s="9"/>
      <c r="D29" s="9"/>
      <c r="E29" s="9"/>
      <c r="F29" s="9"/>
      <c r="G29" s="9"/>
      <c r="H29" s="9"/>
      <c r="I29" s="9"/>
      <c r="J29" s="26"/>
    </row>
    <row r="30" customFormat="false" ht="15" hidden="false" customHeight="false" outlineLevel="0" collapsed="false">
      <c r="A30" s="28"/>
      <c r="B30" s="9"/>
      <c r="C30" s="9"/>
      <c r="D30" s="9"/>
      <c r="E30" s="9"/>
      <c r="F30" s="9"/>
      <c r="G30" s="9"/>
      <c r="H30" s="9"/>
      <c r="I30" s="9"/>
      <c r="J30" s="26"/>
    </row>
    <row r="31" customFormat="false" ht="15" hidden="false" customHeight="false" outlineLevel="0" collapsed="false">
      <c r="A31" s="28"/>
      <c r="B31" s="9"/>
      <c r="C31" s="9"/>
      <c r="D31" s="9"/>
      <c r="E31" s="9"/>
      <c r="F31" s="9"/>
      <c r="G31" s="9"/>
      <c r="H31" s="9"/>
      <c r="I31" s="9"/>
      <c r="J31" s="26"/>
    </row>
    <row r="32" customFormat="false" ht="15" hidden="false" customHeight="false" outlineLevel="0" collapsed="false">
      <c r="A32" s="28"/>
      <c r="B32" s="9"/>
      <c r="C32" s="9"/>
      <c r="D32" s="9"/>
      <c r="E32" s="9"/>
      <c r="F32" s="9"/>
      <c r="G32" s="9"/>
      <c r="H32" s="9"/>
      <c r="I32" s="9"/>
      <c r="J32" s="26"/>
    </row>
    <row r="33" customFormat="false" ht="15" hidden="false" customHeight="false" outlineLevel="0" collapsed="false">
      <c r="A33" s="28"/>
      <c r="B33" s="9"/>
      <c r="C33" s="9"/>
      <c r="D33" s="9"/>
      <c r="E33" s="9"/>
      <c r="F33" s="9"/>
      <c r="G33" s="9"/>
      <c r="H33" s="9"/>
      <c r="I33" s="9"/>
      <c r="J33" s="26"/>
    </row>
    <row r="34" customFormat="false" ht="15" hidden="false" customHeight="false" outlineLevel="0" collapsed="false">
      <c r="A34" s="28"/>
      <c r="B34" s="9"/>
      <c r="C34" s="9"/>
      <c r="D34" s="9"/>
      <c r="E34" s="9"/>
      <c r="F34" s="9"/>
      <c r="G34" s="9"/>
      <c r="H34" s="9"/>
      <c r="I34" s="9"/>
      <c r="J34" s="26"/>
    </row>
    <row r="35" customFormat="false" ht="15" hidden="false" customHeight="false" outlineLevel="0" collapsed="false">
      <c r="A35" s="28"/>
      <c r="B35" s="9"/>
      <c r="C35" s="9"/>
      <c r="D35" s="9"/>
      <c r="E35" s="9"/>
      <c r="F35" s="9"/>
      <c r="G35" s="9"/>
      <c r="H35" s="9"/>
      <c r="I35" s="9"/>
      <c r="J35" s="26"/>
    </row>
    <row r="36" customFormat="false" ht="15" hidden="false" customHeight="false" outlineLevel="0" collapsed="false">
      <c r="A36" s="28"/>
      <c r="B36" s="9"/>
      <c r="C36" s="9"/>
      <c r="D36" s="9"/>
      <c r="E36" s="9"/>
      <c r="F36" s="9"/>
      <c r="G36" s="9"/>
      <c r="H36" s="9"/>
      <c r="I36" s="9"/>
      <c r="J36" s="26"/>
    </row>
    <row r="37" customFormat="false" ht="15" hidden="false" customHeight="false" outlineLevel="0" collapsed="false">
      <c r="A37" s="28"/>
      <c r="B37" s="9"/>
      <c r="C37" s="9"/>
      <c r="D37" s="9"/>
      <c r="E37" s="9"/>
      <c r="F37" s="9"/>
      <c r="G37" s="9"/>
      <c r="H37" s="9"/>
      <c r="I37" s="9"/>
      <c r="J37" s="26"/>
    </row>
    <row r="38" customFormat="false" ht="15" hidden="false" customHeight="false" outlineLevel="0" collapsed="false">
      <c r="A38" s="28"/>
      <c r="B38" s="9"/>
      <c r="C38" s="9"/>
      <c r="D38" s="9"/>
      <c r="E38" s="9"/>
      <c r="F38" s="9"/>
      <c r="G38" s="9"/>
      <c r="H38" s="9"/>
      <c r="I38" s="9"/>
      <c r="J38" s="26"/>
    </row>
    <row r="39" customFormat="false" ht="15" hidden="false" customHeight="false" outlineLevel="0" collapsed="false">
      <c r="A39" s="28"/>
      <c r="B39" s="9"/>
      <c r="C39" s="9"/>
      <c r="D39" s="9"/>
      <c r="E39" s="9"/>
      <c r="F39" s="9"/>
      <c r="G39" s="9"/>
      <c r="H39" s="9"/>
      <c r="I39" s="9"/>
      <c r="J39" s="26"/>
    </row>
    <row r="40" customFormat="false" ht="15" hidden="false" customHeight="false" outlineLevel="0" collapsed="false">
      <c r="A40" s="28"/>
      <c r="B40" s="9"/>
      <c r="C40" s="9"/>
      <c r="D40" s="9"/>
      <c r="E40" s="9"/>
      <c r="F40" s="9"/>
      <c r="G40" s="9"/>
      <c r="H40" s="9"/>
      <c r="I40" s="9"/>
      <c r="J40" s="26"/>
    </row>
    <row r="41" customFormat="false" ht="15" hidden="false" customHeight="false" outlineLevel="0" collapsed="false">
      <c r="A41" s="28"/>
      <c r="B41" s="9"/>
      <c r="C41" s="9"/>
      <c r="D41" s="9"/>
      <c r="E41" s="9"/>
      <c r="F41" s="9"/>
      <c r="G41" s="9"/>
      <c r="H41" s="9"/>
      <c r="I41" s="9"/>
      <c r="J41" s="26"/>
    </row>
    <row r="42" customFormat="false" ht="15" hidden="false" customHeight="false" outlineLevel="0" collapsed="false">
      <c r="A42" s="28"/>
      <c r="B42" s="9"/>
      <c r="C42" s="9"/>
      <c r="D42" s="9"/>
      <c r="E42" s="9"/>
      <c r="F42" s="9"/>
      <c r="G42" s="9"/>
      <c r="H42" s="9"/>
      <c r="I42" s="9"/>
      <c r="J42" s="26"/>
    </row>
    <row r="43" customFormat="false" ht="15" hidden="false" customHeight="false" outlineLevel="0" collapsed="false">
      <c r="A43" s="28"/>
      <c r="B43" s="9"/>
      <c r="C43" s="9"/>
      <c r="D43" s="9"/>
      <c r="E43" s="9"/>
      <c r="F43" s="9"/>
      <c r="G43" s="9"/>
      <c r="H43" s="9"/>
      <c r="I43" s="9"/>
      <c r="J43" s="26"/>
    </row>
    <row r="44" customFormat="false" ht="15" hidden="false" customHeight="false" outlineLevel="0" collapsed="false">
      <c r="A44" s="28"/>
      <c r="B44" s="9"/>
      <c r="C44" s="9"/>
      <c r="D44" s="9"/>
      <c r="E44" s="9"/>
      <c r="F44" s="9"/>
      <c r="G44" s="9"/>
      <c r="H44" s="9"/>
      <c r="I44" s="9"/>
      <c r="J44" s="26"/>
    </row>
    <row r="45" customFormat="false" ht="15" hidden="false" customHeight="false" outlineLevel="0" collapsed="false">
      <c r="A45" s="28"/>
      <c r="B45" s="9"/>
      <c r="C45" s="9"/>
      <c r="D45" s="9"/>
      <c r="E45" s="9"/>
      <c r="F45" s="9"/>
      <c r="G45" s="9"/>
      <c r="H45" s="9"/>
      <c r="I45" s="9"/>
      <c r="J45" s="26"/>
    </row>
    <row r="46" customFormat="false" ht="15" hidden="false" customHeight="false" outlineLevel="0" collapsed="false">
      <c r="A46" s="28"/>
      <c r="B46" s="9"/>
      <c r="C46" s="9"/>
      <c r="D46" s="9"/>
      <c r="E46" s="9"/>
      <c r="F46" s="9"/>
      <c r="G46" s="9"/>
      <c r="H46" s="9"/>
      <c r="I46" s="9"/>
      <c r="J46" s="26"/>
    </row>
    <row r="47" customFormat="false" ht="15" hidden="false" customHeight="false" outlineLevel="0" collapsed="false">
      <c r="A47" s="28"/>
      <c r="B47" s="9"/>
      <c r="C47" s="9"/>
      <c r="D47" s="9"/>
      <c r="E47" s="9"/>
      <c r="F47" s="9"/>
      <c r="G47" s="9"/>
      <c r="H47" s="9"/>
      <c r="I47" s="9"/>
      <c r="J47" s="26"/>
    </row>
    <row r="48" customFormat="false" ht="15" hidden="false" customHeight="false" outlineLevel="0" collapsed="false">
      <c r="A48" s="28"/>
      <c r="B48" s="9"/>
      <c r="C48" s="9"/>
      <c r="D48" s="9"/>
      <c r="E48" s="9"/>
      <c r="F48" s="9"/>
      <c r="G48" s="9"/>
      <c r="H48" s="9"/>
      <c r="I48" s="9"/>
      <c r="J48" s="26"/>
    </row>
    <row r="49" customFormat="false" ht="15" hidden="false" customHeight="false" outlineLevel="0" collapsed="false">
      <c r="A49" s="28"/>
      <c r="B49" s="9"/>
      <c r="C49" s="9"/>
      <c r="D49" s="9"/>
      <c r="E49" s="9"/>
      <c r="F49" s="9"/>
      <c r="G49" s="9"/>
      <c r="H49" s="9"/>
      <c r="I49" s="9"/>
      <c r="J49" s="26"/>
    </row>
    <row r="50" customFormat="false" ht="15" hidden="false" customHeight="false" outlineLevel="0" collapsed="false">
      <c r="A50" s="28"/>
      <c r="B50" s="9"/>
      <c r="C50" s="9"/>
      <c r="D50" s="9"/>
      <c r="E50" s="9"/>
      <c r="F50" s="9"/>
      <c r="G50" s="9"/>
      <c r="H50" s="9"/>
      <c r="I50" s="9"/>
      <c r="J50" s="26"/>
    </row>
    <row r="51" customFormat="false" ht="15" hidden="false" customHeight="false" outlineLevel="0" collapsed="false">
      <c r="A51" s="28"/>
      <c r="B51" s="9"/>
      <c r="C51" s="9"/>
      <c r="D51" s="9"/>
      <c r="E51" s="9"/>
      <c r="F51" s="9"/>
      <c r="G51" s="9"/>
      <c r="H51" s="9"/>
      <c r="I51" s="9"/>
      <c r="J51" s="26"/>
    </row>
    <row r="52" customFormat="false" ht="15" hidden="false" customHeight="false" outlineLevel="0" collapsed="false">
      <c r="A52" s="28"/>
      <c r="B52" s="9"/>
      <c r="C52" s="9"/>
      <c r="D52" s="9"/>
      <c r="E52" s="9"/>
      <c r="F52" s="9"/>
      <c r="G52" s="9"/>
      <c r="H52" s="9"/>
      <c r="I52" s="9"/>
      <c r="J52" s="26"/>
    </row>
    <row r="53" customFormat="false" ht="15" hidden="false" customHeight="false" outlineLevel="0" collapsed="false">
      <c r="A53" s="28"/>
      <c r="B53" s="9"/>
      <c r="C53" s="9"/>
      <c r="D53" s="9"/>
      <c r="E53" s="9"/>
      <c r="F53" s="9"/>
      <c r="G53" s="9"/>
      <c r="H53" s="9"/>
      <c r="I53" s="9"/>
      <c r="J53" s="26"/>
    </row>
    <row r="54" customFormat="false" ht="15" hidden="false" customHeight="false" outlineLevel="0" collapsed="false">
      <c r="A54" s="28"/>
      <c r="B54" s="9"/>
      <c r="C54" s="9"/>
      <c r="D54" s="9"/>
      <c r="E54" s="9"/>
      <c r="F54" s="9"/>
      <c r="G54" s="9"/>
      <c r="H54" s="9"/>
      <c r="I54" s="9"/>
      <c r="J54" s="26"/>
    </row>
    <row r="55" customFormat="false" ht="15" hidden="false" customHeight="false" outlineLevel="0" collapsed="false">
      <c r="A55" s="28"/>
      <c r="B55" s="9"/>
      <c r="C55" s="9"/>
      <c r="D55" s="9"/>
      <c r="E55" s="9"/>
      <c r="F55" s="9"/>
      <c r="G55" s="9"/>
      <c r="H55" s="9"/>
      <c r="I55" s="9"/>
      <c r="J55" s="26"/>
    </row>
    <row r="56" customFormat="false" ht="15" hidden="false" customHeight="false" outlineLevel="0" collapsed="false">
      <c r="A56" s="28"/>
      <c r="B56" s="9"/>
      <c r="C56" s="9"/>
      <c r="D56" s="9"/>
      <c r="E56" s="9"/>
      <c r="F56" s="9"/>
      <c r="G56" s="9"/>
      <c r="H56" s="9"/>
      <c r="I56" s="9"/>
      <c r="J56" s="26"/>
    </row>
    <row r="57" customFormat="false" ht="15" hidden="false" customHeight="false" outlineLevel="0" collapsed="false">
      <c r="A57" s="28"/>
      <c r="B57" s="9"/>
      <c r="C57" s="9"/>
      <c r="D57" s="9"/>
      <c r="E57" s="9"/>
      <c r="F57" s="9"/>
      <c r="G57" s="9"/>
      <c r="H57" s="9"/>
      <c r="I57" s="9"/>
      <c r="J57" s="26"/>
    </row>
    <row r="58" customFormat="false" ht="15" hidden="false" customHeight="false" outlineLevel="0" collapsed="false">
      <c r="A58" s="28"/>
      <c r="B58" s="9"/>
      <c r="C58" s="9"/>
      <c r="D58" s="9"/>
      <c r="E58" s="9"/>
      <c r="F58" s="9"/>
      <c r="G58" s="9"/>
      <c r="H58" s="9"/>
      <c r="I58" s="9"/>
      <c r="J58" s="26"/>
    </row>
    <row r="59" customFormat="false" ht="15" hidden="false" customHeight="false" outlineLevel="0" collapsed="false">
      <c r="A59" s="28"/>
      <c r="B59" s="9"/>
      <c r="C59" s="9"/>
      <c r="D59" s="9"/>
      <c r="E59" s="9"/>
      <c r="F59" s="9"/>
      <c r="G59" s="9"/>
      <c r="H59" s="9"/>
      <c r="I59" s="9"/>
      <c r="J59" s="26"/>
    </row>
    <row r="60" customFormat="false" ht="15" hidden="false" customHeight="false" outlineLevel="0" collapsed="false">
      <c r="A60" s="28"/>
      <c r="B60" s="9"/>
      <c r="C60" s="9"/>
      <c r="D60" s="9"/>
      <c r="E60" s="9"/>
      <c r="F60" s="9"/>
      <c r="G60" s="9"/>
      <c r="H60" s="9"/>
      <c r="I60" s="9"/>
      <c r="J60" s="26"/>
    </row>
    <row r="61" customFormat="false" ht="15" hidden="false" customHeight="false" outlineLevel="0" collapsed="false">
      <c r="A61" s="28"/>
      <c r="B61" s="9"/>
      <c r="C61" s="9"/>
      <c r="D61" s="9"/>
      <c r="E61" s="9"/>
      <c r="F61" s="9"/>
      <c r="G61" s="9"/>
      <c r="H61" s="9"/>
      <c r="I61" s="9"/>
      <c r="J61" s="26"/>
    </row>
    <row r="62" customFormat="false" ht="15" hidden="false" customHeight="false" outlineLevel="0" collapsed="false">
      <c r="A62" s="28"/>
      <c r="B62" s="9"/>
      <c r="C62" s="9"/>
      <c r="D62" s="9"/>
      <c r="E62" s="9"/>
      <c r="F62" s="9"/>
      <c r="G62" s="9"/>
      <c r="H62" s="9"/>
      <c r="I62" s="9"/>
      <c r="J62" s="26"/>
    </row>
    <row r="63" customFormat="false" ht="15" hidden="false" customHeight="false" outlineLevel="0" collapsed="false">
      <c r="A63" s="28"/>
      <c r="B63" s="9"/>
      <c r="C63" s="9"/>
      <c r="D63" s="9"/>
      <c r="E63" s="9"/>
      <c r="F63" s="9"/>
      <c r="G63" s="9"/>
      <c r="H63" s="9"/>
      <c r="I63" s="9"/>
      <c r="J63" s="26"/>
    </row>
    <row r="64" customFormat="false" ht="15" hidden="false" customHeight="false" outlineLevel="0" collapsed="false">
      <c r="A64" s="28"/>
      <c r="B64" s="9"/>
      <c r="C64" s="9"/>
      <c r="D64" s="9"/>
      <c r="E64" s="9"/>
      <c r="F64" s="9"/>
      <c r="G64" s="9"/>
      <c r="H64" s="9"/>
      <c r="I64" s="9"/>
      <c r="J64" s="26"/>
    </row>
    <row r="65" customFormat="false" ht="15" hidden="false" customHeight="false" outlineLevel="0" collapsed="false">
      <c r="A65" s="28"/>
      <c r="B65" s="9"/>
      <c r="C65" s="9"/>
      <c r="D65" s="9"/>
      <c r="E65" s="9"/>
      <c r="F65" s="9"/>
      <c r="G65" s="9"/>
      <c r="H65" s="9"/>
      <c r="I65" s="9"/>
      <c r="J65" s="26"/>
    </row>
    <row r="66" customFormat="false" ht="15" hidden="false" customHeight="false" outlineLevel="0" collapsed="false">
      <c r="A66" s="28"/>
      <c r="B66" s="9"/>
      <c r="C66" s="9"/>
      <c r="D66" s="9"/>
      <c r="E66" s="9"/>
      <c r="F66" s="9"/>
      <c r="G66" s="9"/>
      <c r="H66" s="9"/>
      <c r="I66" s="9"/>
      <c r="J66" s="26"/>
    </row>
    <row r="67" customFormat="false" ht="15" hidden="false" customHeight="false" outlineLevel="0" collapsed="false">
      <c r="A67" s="28"/>
      <c r="B67" s="9"/>
      <c r="C67" s="9"/>
      <c r="D67" s="9"/>
      <c r="E67" s="9"/>
      <c r="F67" s="9"/>
      <c r="G67" s="9"/>
      <c r="H67" s="9"/>
      <c r="I67" s="9"/>
      <c r="J67" s="26"/>
    </row>
    <row r="68" customFormat="false" ht="15" hidden="false" customHeight="false" outlineLevel="0" collapsed="false">
      <c r="A68" s="28"/>
      <c r="B68" s="9"/>
      <c r="C68" s="9"/>
      <c r="D68" s="9"/>
      <c r="E68" s="9"/>
      <c r="F68" s="9"/>
      <c r="G68" s="9"/>
      <c r="H68" s="9"/>
      <c r="I68" s="9"/>
      <c r="J68" s="26"/>
    </row>
    <row r="69" customFormat="false" ht="15" hidden="false" customHeight="false" outlineLevel="0" collapsed="false">
      <c r="A69" s="28"/>
      <c r="B69" s="9"/>
      <c r="C69" s="9"/>
      <c r="D69" s="9"/>
      <c r="E69" s="9"/>
      <c r="F69" s="9"/>
      <c r="G69" s="9"/>
      <c r="H69" s="9"/>
      <c r="I69" s="9"/>
      <c r="J69" s="26"/>
    </row>
    <row r="70" customFormat="false" ht="15" hidden="false" customHeight="false" outlineLevel="0" collapsed="false">
      <c r="A70" s="28"/>
      <c r="B70" s="9"/>
      <c r="C70" s="9"/>
      <c r="D70" s="9"/>
      <c r="E70" s="9"/>
      <c r="F70" s="9"/>
      <c r="G70" s="9"/>
      <c r="H70" s="9"/>
      <c r="I70" s="9"/>
      <c r="J70" s="26"/>
    </row>
    <row r="71" customFormat="false" ht="15" hidden="false" customHeight="false" outlineLevel="0" collapsed="false">
      <c r="A71" s="28"/>
      <c r="B71" s="9"/>
      <c r="C71" s="9"/>
      <c r="D71" s="9"/>
      <c r="E71" s="9"/>
      <c r="F71" s="9"/>
      <c r="G71" s="9"/>
      <c r="H71" s="9"/>
      <c r="I71" s="9"/>
      <c r="J71" s="26"/>
    </row>
    <row r="72" customFormat="false" ht="15" hidden="false" customHeight="false" outlineLevel="0" collapsed="false">
      <c r="A72" s="28"/>
      <c r="B72" s="9"/>
      <c r="C72" s="9"/>
      <c r="D72" s="9"/>
      <c r="E72" s="9"/>
      <c r="F72" s="9"/>
      <c r="G72" s="9"/>
      <c r="H72" s="9"/>
      <c r="I72" s="9"/>
      <c r="J72" s="26"/>
    </row>
    <row r="73" customFormat="false" ht="15" hidden="false" customHeight="false" outlineLevel="0" collapsed="false">
      <c r="A73" s="28"/>
      <c r="B73" s="9"/>
      <c r="C73" s="9"/>
      <c r="D73" s="9"/>
      <c r="E73" s="9"/>
      <c r="F73" s="9"/>
      <c r="G73" s="9"/>
      <c r="H73" s="9"/>
      <c r="I73" s="9"/>
      <c r="J73" s="26"/>
    </row>
    <row r="74" customFormat="false" ht="15" hidden="false" customHeight="false" outlineLevel="0" collapsed="false">
      <c r="A74" s="28"/>
      <c r="B74" s="9"/>
      <c r="C74" s="9"/>
      <c r="D74" s="9"/>
      <c r="E74" s="9"/>
      <c r="F74" s="9"/>
      <c r="G74" s="9"/>
      <c r="H74" s="9"/>
      <c r="I74" s="9"/>
      <c r="J74" s="26"/>
    </row>
    <row r="75" customFormat="false" ht="15" hidden="false" customHeight="false" outlineLevel="0" collapsed="false">
      <c r="A75" s="28"/>
      <c r="B75" s="9"/>
      <c r="C75" s="9"/>
      <c r="D75" s="9"/>
      <c r="E75" s="9"/>
      <c r="F75" s="9"/>
      <c r="G75" s="9"/>
      <c r="H75" s="9"/>
      <c r="I75" s="9"/>
      <c r="J75" s="26"/>
    </row>
    <row r="76" customFormat="false" ht="15" hidden="false" customHeight="false" outlineLevel="0" collapsed="false">
      <c r="A76" s="28"/>
      <c r="B76" s="9"/>
      <c r="C76" s="9"/>
      <c r="D76" s="9"/>
      <c r="E76" s="9"/>
      <c r="F76" s="9"/>
      <c r="G76" s="9"/>
      <c r="H76" s="9"/>
      <c r="I76" s="9"/>
      <c r="J76" s="26"/>
    </row>
    <row r="77" customFormat="false" ht="15" hidden="false" customHeight="false" outlineLevel="0" collapsed="false">
      <c r="A77" s="28"/>
      <c r="B77" s="9"/>
      <c r="C77" s="9"/>
      <c r="D77" s="9"/>
      <c r="E77" s="9"/>
      <c r="F77" s="9"/>
      <c r="G77" s="9"/>
      <c r="H77" s="9"/>
      <c r="I77" s="9"/>
      <c r="J77" s="26"/>
    </row>
    <row r="78" customFormat="false" ht="15" hidden="false" customHeight="false" outlineLevel="0" collapsed="false">
      <c r="A78" s="28"/>
      <c r="B78" s="9"/>
      <c r="C78" s="9"/>
      <c r="D78" s="9"/>
      <c r="E78" s="9"/>
      <c r="F78" s="9"/>
      <c r="G78" s="9"/>
      <c r="H78" s="9"/>
      <c r="I78" s="9"/>
      <c r="J78" s="26"/>
    </row>
    <row r="79" customFormat="false" ht="15" hidden="false" customHeight="false" outlineLevel="0" collapsed="false">
      <c r="A79" s="28"/>
      <c r="B79" s="9"/>
      <c r="C79" s="9"/>
      <c r="D79" s="9"/>
      <c r="E79" s="9"/>
      <c r="F79" s="9"/>
      <c r="G79" s="9"/>
      <c r="H79" s="9"/>
      <c r="I79" s="9"/>
      <c r="J79" s="26"/>
    </row>
    <row r="80" customFormat="false" ht="15" hidden="false" customHeight="false" outlineLevel="0" collapsed="false">
      <c r="A80" s="28"/>
      <c r="B80" s="9"/>
      <c r="C80" s="9"/>
      <c r="D80" s="9"/>
      <c r="E80" s="9"/>
      <c r="F80" s="9"/>
      <c r="G80" s="9"/>
      <c r="H80" s="9"/>
      <c r="I80" s="9"/>
      <c r="J80" s="26"/>
    </row>
    <row r="81" customFormat="false" ht="15" hidden="false" customHeight="false" outlineLevel="0" collapsed="false">
      <c r="A81" s="28"/>
      <c r="B81" s="9"/>
      <c r="C81" s="9"/>
      <c r="D81" s="9"/>
      <c r="E81" s="9"/>
      <c r="F81" s="9"/>
      <c r="G81" s="9"/>
      <c r="H81" s="9"/>
      <c r="I81" s="9"/>
      <c r="J81" s="26"/>
    </row>
    <row r="82" customFormat="false" ht="15" hidden="false" customHeight="false" outlineLevel="0" collapsed="false">
      <c r="A82" s="28"/>
      <c r="B82" s="9"/>
      <c r="C82" s="9"/>
      <c r="D82" s="9"/>
      <c r="E82" s="9"/>
      <c r="F82" s="9"/>
      <c r="G82" s="9"/>
      <c r="H82" s="9"/>
      <c r="I82" s="9"/>
      <c r="J82" s="26"/>
    </row>
    <row r="83" customFormat="false" ht="15" hidden="false" customHeight="false" outlineLevel="0" collapsed="false">
      <c r="A83" s="28"/>
      <c r="B83" s="9"/>
      <c r="C83" s="9"/>
      <c r="D83" s="9"/>
      <c r="E83" s="9"/>
      <c r="F83" s="9"/>
      <c r="G83" s="9"/>
      <c r="H83" s="9"/>
      <c r="I83" s="9"/>
      <c r="J83" s="26"/>
    </row>
    <row r="84" customFormat="false" ht="15" hidden="false" customHeight="false" outlineLevel="0" collapsed="false">
      <c r="A84" s="28"/>
      <c r="B84" s="9"/>
      <c r="C84" s="9"/>
      <c r="D84" s="9"/>
      <c r="E84" s="9"/>
      <c r="F84" s="9"/>
      <c r="G84" s="9"/>
      <c r="H84" s="9"/>
      <c r="I84" s="9"/>
      <c r="J84" s="26"/>
    </row>
    <row r="85" customFormat="false" ht="15" hidden="false" customHeight="false" outlineLevel="0" collapsed="false">
      <c r="A85" s="28"/>
      <c r="B85" s="9"/>
      <c r="C85" s="9"/>
      <c r="D85" s="9"/>
      <c r="E85" s="9"/>
      <c r="F85" s="9"/>
      <c r="G85" s="9"/>
      <c r="H85" s="9"/>
      <c r="I85" s="9"/>
      <c r="J85" s="26"/>
    </row>
    <row r="86" customFormat="false" ht="15" hidden="false" customHeight="false" outlineLevel="0" collapsed="false">
      <c r="A86" s="28"/>
      <c r="B86" s="9"/>
      <c r="C86" s="9"/>
      <c r="D86" s="9"/>
      <c r="E86" s="9"/>
      <c r="F86" s="9"/>
      <c r="G86" s="9"/>
      <c r="H86" s="9"/>
      <c r="I86" s="9"/>
      <c r="J86" s="26"/>
    </row>
    <row r="87" customFormat="false" ht="15" hidden="false" customHeight="false" outlineLevel="0" collapsed="false">
      <c r="A87" s="28"/>
      <c r="B87" s="9"/>
      <c r="C87" s="9"/>
      <c r="D87" s="9"/>
      <c r="E87" s="9"/>
      <c r="F87" s="9"/>
      <c r="G87" s="9"/>
      <c r="H87" s="9"/>
      <c r="I87" s="9"/>
      <c r="J87" s="26"/>
    </row>
    <row r="88" customFormat="false" ht="15" hidden="false" customHeight="false" outlineLevel="0" collapsed="false">
      <c r="A88" s="28"/>
      <c r="B88" s="9"/>
      <c r="C88" s="9"/>
      <c r="D88" s="9"/>
      <c r="E88" s="9"/>
      <c r="F88" s="9"/>
      <c r="G88" s="9"/>
      <c r="H88" s="9"/>
      <c r="I88" s="9"/>
      <c r="J88" s="26"/>
    </row>
    <row r="89" customFormat="false" ht="15" hidden="false" customHeight="false" outlineLevel="0" collapsed="false">
      <c r="A89" s="28"/>
      <c r="B89" s="9"/>
      <c r="C89" s="9"/>
      <c r="D89" s="9"/>
      <c r="E89" s="9"/>
      <c r="F89" s="9"/>
      <c r="G89" s="9"/>
      <c r="H89" s="9"/>
      <c r="I89" s="9"/>
      <c r="J89" s="26"/>
    </row>
    <row r="90" customFormat="false" ht="15" hidden="false" customHeight="false" outlineLevel="0" collapsed="false">
      <c r="A90" s="28"/>
      <c r="B90" s="9"/>
      <c r="C90" s="9"/>
      <c r="D90" s="9"/>
      <c r="E90" s="9"/>
      <c r="F90" s="9"/>
      <c r="G90" s="9"/>
      <c r="H90" s="9"/>
      <c r="I90" s="9"/>
      <c r="J90" s="26"/>
    </row>
    <row r="91" customFormat="false" ht="15" hidden="false" customHeight="false" outlineLevel="0" collapsed="false">
      <c r="A91" s="28"/>
      <c r="B91" s="9"/>
      <c r="C91" s="9"/>
      <c r="D91" s="9"/>
      <c r="E91" s="9"/>
      <c r="F91" s="9"/>
      <c r="G91" s="9"/>
      <c r="H91" s="9"/>
      <c r="I91" s="9"/>
      <c r="J91" s="26"/>
    </row>
    <row r="92" customFormat="false" ht="15" hidden="false" customHeight="false" outlineLevel="0" collapsed="false">
      <c r="A92" s="28"/>
      <c r="B92" s="9"/>
      <c r="C92" s="9"/>
      <c r="D92" s="9"/>
      <c r="E92" s="9"/>
      <c r="F92" s="9"/>
      <c r="G92" s="9"/>
      <c r="H92" s="9"/>
      <c r="I92" s="9"/>
      <c r="J92" s="26"/>
    </row>
    <row r="93" customFormat="false" ht="15" hidden="false" customHeight="false" outlineLevel="0" collapsed="false">
      <c r="A93" s="28"/>
      <c r="B93" s="9"/>
      <c r="C93" s="9"/>
      <c r="D93" s="9"/>
      <c r="E93" s="9"/>
      <c r="F93" s="9"/>
      <c r="G93" s="9"/>
      <c r="H93" s="9"/>
      <c r="I93" s="9"/>
      <c r="J93" s="26"/>
    </row>
    <row r="94" customFormat="false" ht="15" hidden="false" customHeight="false" outlineLevel="0" collapsed="false">
      <c r="A94" s="28"/>
      <c r="B94" s="9"/>
      <c r="C94" s="9"/>
      <c r="D94" s="9"/>
      <c r="E94" s="9"/>
      <c r="F94" s="9"/>
      <c r="G94" s="9"/>
      <c r="H94" s="9"/>
      <c r="I94" s="9"/>
      <c r="J94" s="26"/>
    </row>
    <row r="95" customFormat="false" ht="15" hidden="false" customHeight="false" outlineLevel="0" collapsed="false">
      <c r="A95" s="28"/>
      <c r="B95" s="9"/>
      <c r="C95" s="9"/>
      <c r="D95" s="9"/>
      <c r="E95" s="9"/>
      <c r="F95" s="9"/>
      <c r="G95" s="9"/>
      <c r="H95" s="9"/>
      <c r="I95" s="9"/>
      <c r="J95" s="26"/>
    </row>
    <row r="96" customFormat="false" ht="15" hidden="false" customHeight="false" outlineLevel="0" collapsed="false">
      <c r="A96" s="28"/>
      <c r="B96" s="9"/>
      <c r="C96" s="9"/>
      <c r="D96" s="9"/>
      <c r="E96" s="9"/>
      <c r="F96" s="9"/>
      <c r="G96" s="9"/>
      <c r="H96" s="9"/>
      <c r="I96" s="9"/>
      <c r="J96" s="26"/>
    </row>
    <row r="97" customFormat="false" ht="15" hidden="false" customHeight="false" outlineLevel="0" collapsed="false">
      <c r="A97" s="28"/>
      <c r="B97" s="9"/>
      <c r="C97" s="9"/>
      <c r="D97" s="9"/>
      <c r="E97" s="9"/>
      <c r="F97" s="9"/>
      <c r="G97" s="9"/>
      <c r="H97" s="9"/>
      <c r="I97" s="9"/>
      <c r="J97" s="26"/>
    </row>
    <row r="98" customFormat="false" ht="15" hidden="false" customHeight="false" outlineLevel="0" collapsed="false">
      <c r="A98" s="28"/>
      <c r="B98" s="9"/>
      <c r="C98" s="9"/>
      <c r="D98" s="9"/>
      <c r="E98" s="9"/>
      <c r="F98" s="9"/>
      <c r="G98" s="9"/>
      <c r="H98" s="9"/>
      <c r="I98" s="9"/>
      <c r="J98" s="26"/>
    </row>
    <row r="99" customFormat="false" ht="15" hidden="false" customHeight="false" outlineLevel="0" collapsed="false">
      <c r="A99" s="28"/>
      <c r="B99" s="9"/>
      <c r="C99" s="9"/>
      <c r="D99" s="9"/>
      <c r="E99" s="9"/>
      <c r="F99" s="9"/>
      <c r="G99" s="9"/>
      <c r="H99" s="9"/>
      <c r="I99" s="9"/>
      <c r="J99" s="26"/>
    </row>
    <row r="100" customFormat="false" ht="15" hidden="false" customHeight="false" outlineLevel="0" collapsed="false">
      <c r="A100" s="28"/>
      <c r="B100" s="9"/>
      <c r="C100" s="9"/>
      <c r="D100" s="9"/>
      <c r="E100" s="9"/>
      <c r="F100" s="9"/>
      <c r="G100" s="9"/>
      <c r="H100" s="9"/>
      <c r="I100" s="9"/>
      <c r="J100" s="26"/>
    </row>
    <row r="101" customFormat="false" ht="15" hidden="false" customHeight="false" outlineLevel="0" collapsed="false">
      <c r="A101" s="28"/>
      <c r="B101" s="9"/>
      <c r="C101" s="9"/>
      <c r="D101" s="9"/>
      <c r="E101" s="9"/>
      <c r="F101" s="9"/>
      <c r="G101" s="9"/>
      <c r="H101" s="9"/>
      <c r="I101" s="9"/>
      <c r="J101" s="26"/>
    </row>
    <row r="102" customFormat="false" ht="15" hidden="false" customHeight="false" outlineLevel="0" collapsed="false">
      <c r="A102" s="28"/>
      <c r="B102" s="9"/>
      <c r="C102" s="9"/>
      <c r="D102" s="9"/>
      <c r="E102" s="9"/>
      <c r="F102" s="9"/>
      <c r="G102" s="9"/>
      <c r="H102" s="9"/>
      <c r="I102" s="9"/>
      <c r="J102" s="26"/>
    </row>
    <row r="103" customFormat="false" ht="15" hidden="false" customHeight="false" outlineLevel="0" collapsed="false">
      <c r="A103" s="28"/>
      <c r="B103" s="9"/>
      <c r="C103" s="9"/>
      <c r="D103" s="9"/>
      <c r="E103" s="9"/>
      <c r="F103" s="9"/>
      <c r="G103" s="9"/>
      <c r="H103" s="9"/>
      <c r="I103" s="9"/>
      <c r="J103" s="26"/>
    </row>
    <row r="104" customFormat="false" ht="15" hidden="false" customHeight="false" outlineLevel="0" collapsed="false">
      <c r="A104" s="28"/>
      <c r="B104" s="9"/>
      <c r="C104" s="9"/>
      <c r="D104" s="9"/>
      <c r="E104" s="9"/>
      <c r="F104" s="9"/>
      <c r="G104" s="9"/>
      <c r="H104" s="9"/>
      <c r="I104" s="9"/>
      <c r="J104" s="26"/>
    </row>
    <row r="105" customFormat="false" ht="15" hidden="false" customHeight="false" outlineLevel="0" collapsed="false">
      <c r="A105" s="28"/>
      <c r="B105" s="9"/>
      <c r="C105" s="9"/>
      <c r="D105" s="9"/>
      <c r="E105" s="9"/>
      <c r="F105" s="9"/>
      <c r="G105" s="9"/>
      <c r="H105" s="9"/>
      <c r="I105" s="9"/>
      <c r="J105" s="26"/>
    </row>
    <row r="106" customFormat="false" ht="15" hidden="false" customHeight="false" outlineLevel="0" collapsed="false">
      <c r="A106" s="28"/>
      <c r="B106" s="9"/>
      <c r="C106" s="9"/>
      <c r="D106" s="9"/>
      <c r="E106" s="9"/>
      <c r="F106" s="9"/>
      <c r="G106" s="9"/>
      <c r="H106" s="9"/>
      <c r="I106" s="9"/>
      <c r="J106" s="26"/>
    </row>
    <row r="107" customFormat="false" ht="15" hidden="false" customHeight="false" outlineLevel="0" collapsed="false">
      <c r="A107" s="28"/>
      <c r="B107" s="9"/>
      <c r="C107" s="9"/>
      <c r="D107" s="9"/>
      <c r="E107" s="9"/>
      <c r="F107" s="9"/>
      <c r="G107" s="9"/>
      <c r="H107" s="9"/>
      <c r="I107" s="9"/>
      <c r="J107" s="26"/>
    </row>
    <row r="108" customFormat="false" ht="15" hidden="false" customHeight="false" outlineLevel="0" collapsed="false">
      <c r="A108" s="28"/>
      <c r="B108" s="9"/>
      <c r="C108" s="9"/>
      <c r="D108" s="9"/>
      <c r="E108" s="9"/>
      <c r="F108" s="9"/>
      <c r="G108" s="9"/>
      <c r="H108" s="9"/>
      <c r="I108" s="9"/>
      <c r="J108" s="26"/>
    </row>
    <row r="109" customFormat="false" ht="15" hidden="false" customHeight="false" outlineLevel="0" collapsed="false">
      <c r="A109" s="28"/>
      <c r="B109" s="9"/>
      <c r="C109" s="9"/>
      <c r="D109" s="9"/>
      <c r="E109" s="9"/>
      <c r="F109" s="9"/>
      <c r="G109" s="9"/>
      <c r="H109" s="9"/>
      <c r="I109" s="9"/>
      <c r="J109" s="26"/>
    </row>
    <row r="110" customFormat="false" ht="15" hidden="false" customHeight="false" outlineLevel="0" collapsed="false">
      <c r="A110" s="28"/>
      <c r="B110" s="9"/>
      <c r="C110" s="9"/>
      <c r="D110" s="9"/>
      <c r="E110" s="9"/>
      <c r="F110" s="9"/>
      <c r="G110" s="9"/>
      <c r="H110" s="9"/>
      <c r="I110" s="9"/>
      <c r="J110" s="26"/>
    </row>
    <row r="111" customFormat="false" ht="15" hidden="false" customHeight="false" outlineLevel="0" collapsed="false">
      <c r="A111" s="28"/>
      <c r="B111" s="9"/>
      <c r="C111" s="9"/>
      <c r="D111" s="9"/>
      <c r="E111" s="9"/>
      <c r="F111" s="9"/>
      <c r="G111" s="9"/>
      <c r="H111" s="9"/>
      <c r="I111" s="9"/>
      <c r="J111" s="26"/>
    </row>
    <row r="112" customFormat="false" ht="15" hidden="false" customHeight="false" outlineLevel="0" collapsed="false">
      <c r="A112" s="28"/>
      <c r="B112" s="9"/>
      <c r="C112" s="9"/>
      <c r="D112" s="9"/>
      <c r="E112" s="9"/>
      <c r="F112" s="9"/>
      <c r="G112" s="9"/>
      <c r="H112" s="9"/>
      <c r="I112" s="9"/>
      <c r="J112" s="26"/>
    </row>
    <row r="113" customFormat="false" ht="15" hidden="false" customHeight="false" outlineLevel="0" collapsed="false">
      <c r="A113" s="28"/>
      <c r="B113" s="9"/>
      <c r="C113" s="9"/>
      <c r="D113" s="9"/>
      <c r="E113" s="9"/>
      <c r="F113" s="9"/>
      <c r="G113" s="9"/>
      <c r="H113" s="9"/>
      <c r="I113" s="9"/>
      <c r="J113" s="26"/>
    </row>
    <row r="114" customFormat="false" ht="15" hidden="false" customHeight="false" outlineLevel="0" collapsed="false">
      <c r="A114" s="28"/>
      <c r="B114" s="9"/>
      <c r="C114" s="9"/>
      <c r="D114" s="9"/>
      <c r="E114" s="9"/>
      <c r="F114" s="9"/>
      <c r="G114" s="9"/>
      <c r="H114" s="9"/>
      <c r="I114" s="9"/>
      <c r="J114" s="26"/>
    </row>
    <row r="115" customFormat="false" ht="15" hidden="false" customHeight="false" outlineLevel="0" collapsed="false">
      <c r="A115" s="28"/>
      <c r="B115" s="9"/>
      <c r="C115" s="9"/>
      <c r="D115" s="9"/>
      <c r="E115" s="9"/>
      <c r="F115" s="9"/>
      <c r="G115" s="9"/>
      <c r="H115" s="9"/>
      <c r="I115" s="9"/>
      <c r="J115" s="26"/>
    </row>
    <row r="116" customFormat="false" ht="15" hidden="false" customHeight="false" outlineLevel="0" collapsed="false">
      <c r="A116" s="28"/>
      <c r="B116" s="9"/>
      <c r="C116" s="9"/>
      <c r="D116" s="9"/>
      <c r="E116" s="9"/>
      <c r="F116" s="9"/>
      <c r="G116" s="9"/>
      <c r="H116" s="9"/>
      <c r="I116" s="9"/>
      <c r="J116" s="26"/>
    </row>
    <row r="117" customFormat="false" ht="15" hidden="false" customHeight="false" outlineLevel="0" collapsed="false">
      <c r="A117" s="28"/>
      <c r="B117" s="9"/>
      <c r="C117" s="9"/>
      <c r="D117" s="9"/>
      <c r="E117" s="9"/>
      <c r="F117" s="9"/>
      <c r="G117" s="9"/>
      <c r="H117" s="9"/>
      <c r="I117" s="9"/>
      <c r="J117" s="26"/>
    </row>
    <row r="118" customFormat="false" ht="15" hidden="false" customHeight="false" outlineLevel="0" collapsed="false">
      <c r="A118" s="28"/>
      <c r="B118" s="9"/>
      <c r="C118" s="9"/>
      <c r="D118" s="9"/>
      <c r="E118" s="9"/>
      <c r="F118" s="9"/>
      <c r="G118" s="9"/>
      <c r="H118" s="9"/>
      <c r="I118" s="9"/>
      <c r="J118" s="26"/>
    </row>
    <row r="119" customFormat="false" ht="15" hidden="false" customHeight="false" outlineLevel="0" collapsed="false">
      <c r="A119" s="28"/>
      <c r="B119" s="9"/>
      <c r="C119" s="9"/>
      <c r="D119" s="9"/>
      <c r="E119" s="9"/>
      <c r="F119" s="9"/>
      <c r="G119" s="9"/>
      <c r="H119" s="9"/>
      <c r="I119" s="9"/>
      <c r="J119" s="26"/>
    </row>
    <row r="120" customFormat="false" ht="15" hidden="false" customHeight="false" outlineLevel="0" collapsed="false">
      <c r="A120" s="28"/>
      <c r="B120" s="9"/>
      <c r="C120" s="9"/>
      <c r="D120" s="9"/>
      <c r="E120" s="9"/>
      <c r="F120" s="9"/>
      <c r="G120" s="9"/>
      <c r="H120" s="9"/>
      <c r="I120" s="9"/>
      <c r="J120" s="26"/>
    </row>
    <row r="121" customFormat="false" ht="15" hidden="false" customHeight="false" outlineLevel="0" collapsed="false">
      <c r="A121" s="28"/>
      <c r="B121" s="9"/>
      <c r="C121" s="9"/>
      <c r="D121" s="9"/>
      <c r="E121" s="9"/>
      <c r="F121" s="9"/>
      <c r="G121" s="9"/>
      <c r="H121" s="9"/>
      <c r="I121" s="9"/>
      <c r="J121" s="26"/>
    </row>
    <row r="122" customFormat="false" ht="15" hidden="false" customHeight="false" outlineLevel="0" collapsed="false">
      <c r="A122" s="28"/>
      <c r="B122" s="9"/>
      <c r="C122" s="9"/>
      <c r="D122" s="9"/>
      <c r="E122" s="9"/>
      <c r="F122" s="9"/>
      <c r="G122" s="9"/>
      <c r="H122" s="9"/>
      <c r="I122" s="9"/>
      <c r="J122" s="26"/>
    </row>
    <row r="123" customFormat="false" ht="15" hidden="false" customHeight="false" outlineLevel="0" collapsed="false">
      <c r="A123" s="28"/>
      <c r="B123" s="9"/>
      <c r="C123" s="9"/>
      <c r="D123" s="9"/>
      <c r="E123" s="9"/>
      <c r="F123" s="9"/>
      <c r="G123" s="9"/>
      <c r="H123" s="9"/>
      <c r="I123" s="9"/>
      <c r="J123" s="26"/>
    </row>
    <row r="124" customFormat="false" ht="15" hidden="false" customHeight="false" outlineLevel="0" collapsed="false">
      <c r="A124" s="28"/>
      <c r="B124" s="9"/>
      <c r="C124" s="9"/>
      <c r="D124" s="9"/>
      <c r="E124" s="9"/>
      <c r="F124" s="9"/>
      <c r="G124" s="9"/>
      <c r="H124" s="9"/>
      <c r="I124" s="9"/>
      <c r="J124" s="26"/>
    </row>
    <row r="125" customFormat="false" ht="15" hidden="false" customHeight="false" outlineLevel="0" collapsed="false">
      <c r="A125" s="28"/>
      <c r="B125" s="9"/>
      <c r="C125" s="9"/>
      <c r="D125" s="9"/>
      <c r="E125" s="9"/>
      <c r="F125" s="9"/>
      <c r="G125" s="9"/>
      <c r="H125" s="9"/>
      <c r="I125" s="9"/>
      <c r="J125" s="26"/>
    </row>
    <row r="126" customFormat="false" ht="15" hidden="false" customHeight="false" outlineLevel="0" collapsed="false">
      <c r="A126" s="28"/>
      <c r="B126" s="9"/>
      <c r="C126" s="9"/>
      <c r="D126" s="9"/>
      <c r="E126" s="9"/>
      <c r="F126" s="9"/>
      <c r="G126" s="9"/>
      <c r="H126" s="9"/>
      <c r="I126" s="9"/>
      <c r="J126" s="26"/>
    </row>
    <row r="127" customFormat="false" ht="15" hidden="false" customHeight="false" outlineLevel="0" collapsed="false">
      <c r="A127" s="28"/>
      <c r="B127" s="9"/>
      <c r="C127" s="9"/>
      <c r="D127" s="9"/>
      <c r="E127" s="9"/>
      <c r="F127" s="9"/>
      <c r="G127" s="9"/>
      <c r="H127" s="9"/>
      <c r="I127" s="9"/>
      <c r="J127" s="26"/>
    </row>
    <row r="128" customFormat="false" ht="15" hidden="false" customHeight="false" outlineLevel="0" collapsed="false">
      <c r="A128" s="28"/>
      <c r="B128" s="9"/>
      <c r="C128" s="9"/>
      <c r="D128" s="9"/>
      <c r="E128" s="9"/>
      <c r="F128" s="9"/>
      <c r="G128" s="9"/>
      <c r="H128" s="9"/>
      <c r="I128" s="9"/>
      <c r="J128" s="26"/>
    </row>
    <row r="129" customFormat="false" ht="15" hidden="false" customHeight="false" outlineLevel="0" collapsed="false">
      <c r="A129" s="28"/>
      <c r="B129" s="9"/>
      <c r="C129" s="9"/>
      <c r="D129" s="9"/>
      <c r="E129" s="9"/>
      <c r="F129" s="9"/>
      <c r="G129" s="9"/>
      <c r="H129" s="9"/>
      <c r="I129" s="9"/>
      <c r="J129" s="26"/>
    </row>
    <row r="130" customFormat="false" ht="15" hidden="false" customHeight="false" outlineLevel="0" collapsed="false">
      <c r="A130" s="28"/>
      <c r="B130" s="9"/>
      <c r="C130" s="9"/>
      <c r="D130" s="9"/>
      <c r="E130" s="9"/>
      <c r="F130" s="9"/>
      <c r="G130" s="9"/>
      <c r="H130" s="9"/>
      <c r="I130" s="9"/>
      <c r="J130" s="26"/>
    </row>
    <row r="131" customFormat="false" ht="15" hidden="false" customHeight="false" outlineLevel="0" collapsed="false">
      <c r="A131" s="28"/>
      <c r="B131" s="9"/>
      <c r="C131" s="9"/>
      <c r="D131" s="9"/>
      <c r="E131" s="9"/>
      <c r="F131" s="9"/>
      <c r="G131" s="9"/>
      <c r="H131" s="9"/>
      <c r="I131" s="9"/>
      <c r="J131" s="26"/>
    </row>
    <row r="132" customFormat="false" ht="15" hidden="false" customHeight="false" outlineLevel="0" collapsed="false">
      <c r="A132" s="28"/>
      <c r="B132" s="9"/>
      <c r="C132" s="9"/>
      <c r="D132" s="9"/>
      <c r="E132" s="9"/>
      <c r="F132" s="9"/>
      <c r="G132" s="9"/>
      <c r="H132" s="9"/>
      <c r="I132" s="9"/>
      <c r="J132" s="26"/>
    </row>
    <row r="133" customFormat="false" ht="15" hidden="false" customHeight="false" outlineLevel="0" collapsed="false">
      <c r="A133" s="28"/>
      <c r="B133" s="9"/>
      <c r="C133" s="9"/>
      <c r="D133" s="9"/>
      <c r="E133" s="9"/>
      <c r="F133" s="9"/>
      <c r="G133" s="9"/>
      <c r="H133" s="9"/>
      <c r="I133" s="9"/>
      <c r="J133" s="26"/>
    </row>
    <row r="134" customFormat="false" ht="15" hidden="false" customHeight="false" outlineLevel="0" collapsed="false">
      <c r="A134" s="28"/>
      <c r="B134" s="9"/>
      <c r="C134" s="9"/>
      <c r="D134" s="9"/>
      <c r="E134" s="9"/>
      <c r="F134" s="9"/>
      <c r="G134" s="9"/>
      <c r="H134" s="9"/>
      <c r="I134" s="9"/>
      <c r="J134" s="26"/>
    </row>
    <row r="135" customFormat="false" ht="15" hidden="false" customHeight="false" outlineLevel="0" collapsed="false">
      <c r="A135" s="28"/>
      <c r="B135" s="9"/>
      <c r="C135" s="9"/>
      <c r="D135" s="9"/>
      <c r="E135" s="9"/>
      <c r="F135" s="9"/>
      <c r="G135" s="9"/>
      <c r="H135" s="9"/>
      <c r="I135" s="9"/>
      <c r="J135" s="26"/>
    </row>
    <row r="136" customFormat="false" ht="15" hidden="false" customHeight="false" outlineLevel="0" collapsed="false">
      <c r="A136" s="28"/>
      <c r="B136" s="9"/>
      <c r="C136" s="9"/>
      <c r="D136" s="9"/>
      <c r="E136" s="9"/>
      <c r="F136" s="9"/>
      <c r="G136" s="9"/>
      <c r="H136" s="9"/>
      <c r="I136" s="9"/>
      <c r="J136" s="26"/>
    </row>
    <row r="137" customFormat="false" ht="15" hidden="false" customHeight="false" outlineLevel="0" collapsed="false">
      <c r="A137" s="28"/>
      <c r="B137" s="9"/>
      <c r="C137" s="9"/>
      <c r="D137" s="9"/>
      <c r="E137" s="9"/>
      <c r="F137" s="9"/>
      <c r="G137" s="9"/>
      <c r="H137" s="9"/>
      <c r="I137" s="9"/>
      <c r="J137" s="26"/>
    </row>
    <row r="138" customFormat="false" ht="15" hidden="false" customHeight="false" outlineLevel="0" collapsed="false">
      <c r="A138" s="28"/>
      <c r="B138" s="9"/>
      <c r="C138" s="9"/>
      <c r="D138" s="9"/>
      <c r="E138" s="9"/>
      <c r="F138" s="9"/>
      <c r="G138" s="9"/>
      <c r="H138" s="9"/>
      <c r="I138" s="9"/>
      <c r="J138" s="26"/>
    </row>
    <row r="139" customFormat="false" ht="15" hidden="false" customHeight="false" outlineLevel="0" collapsed="false">
      <c r="A139" s="28"/>
      <c r="B139" s="9"/>
      <c r="C139" s="9"/>
      <c r="D139" s="9"/>
      <c r="E139" s="9"/>
      <c r="F139" s="9"/>
      <c r="G139" s="9"/>
      <c r="H139" s="9"/>
      <c r="I139" s="9"/>
      <c r="J139" s="26"/>
    </row>
    <row r="140" customFormat="false" ht="15" hidden="false" customHeight="false" outlineLevel="0" collapsed="false">
      <c r="A140" s="28"/>
      <c r="B140" s="9"/>
      <c r="C140" s="9"/>
      <c r="D140" s="9"/>
      <c r="E140" s="9"/>
      <c r="F140" s="9"/>
      <c r="G140" s="9"/>
      <c r="H140" s="9"/>
      <c r="I140" s="9"/>
      <c r="J140" s="26"/>
    </row>
    <row r="141" customFormat="false" ht="15" hidden="false" customHeight="false" outlineLevel="0" collapsed="false">
      <c r="A141" s="28"/>
      <c r="B141" s="9"/>
      <c r="C141" s="9"/>
      <c r="D141" s="9"/>
      <c r="E141" s="9"/>
      <c r="F141" s="9"/>
      <c r="G141" s="9"/>
      <c r="H141" s="9"/>
      <c r="I141" s="9"/>
      <c r="J141" s="26"/>
    </row>
    <row r="142" customFormat="false" ht="15" hidden="false" customHeight="false" outlineLevel="0" collapsed="false">
      <c r="A142" s="28"/>
      <c r="B142" s="9"/>
      <c r="C142" s="9"/>
      <c r="D142" s="9"/>
      <c r="E142" s="9"/>
      <c r="F142" s="9"/>
      <c r="G142" s="9"/>
      <c r="H142" s="9"/>
      <c r="I142" s="9"/>
      <c r="J142" s="26"/>
    </row>
    <row r="143" customFormat="false" ht="15" hidden="false" customHeight="false" outlineLevel="0" collapsed="false">
      <c r="A143" s="28"/>
      <c r="B143" s="9"/>
      <c r="C143" s="9"/>
      <c r="D143" s="9"/>
      <c r="E143" s="9"/>
      <c r="F143" s="9"/>
      <c r="G143" s="9"/>
      <c r="H143" s="9"/>
      <c r="I143" s="9"/>
      <c r="J143" s="26"/>
    </row>
    <row r="144" customFormat="false" ht="15" hidden="false" customHeight="false" outlineLevel="0" collapsed="false">
      <c r="A144" s="28"/>
      <c r="B144" s="9"/>
      <c r="C144" s="9"/>
      <c r="D144" s="9"/>
      <c r="E144" s="9"/>
      <c r="F144" s="9"/>
      <c r="G144" s="9"/>
      <c r="H144" s="9"/>
      <c r="I144" s="9"/>
      <c r="J144" s="26"/>
    </row>
    <row r="145" customFormat="false" ht="15" hidden="false" customHeight="false" outlineLevel="0" collapsed="false">
      <c r="A145" s="28"/>
      <c r="B145" s="9"/>
      <c r="C145" s="9"/>
      <c r="D145" s="9"/>
      <c r="E145" s="9"/>
      <c r="F145" s="9"/>
      <c r="G145" s="9"/>
      <c r="H145" s="9"/>
      <c r="I145" s="9"/>
      <c r="J145" s="26"/>
    </row>
    <row r="146" customFormat="false" ht="15" hidden="false" customHeight="false" outlineLevel="0" collapsed="false">
      <c r="A146" s="28"/>
      <c r="B146" s="9"/>
      <c r="C146" s="9"/>
      <c r="D146" s="9"/>
      <c r="E146" s="9"/>
      <c r="F146" s="9"/>
      <c r="G146" s="9"/>
      <c r="H146" s="9"/>
      <c r="I146" s="9"/>
      <c r="J146" s="26"/>
    </row>
    <row r="147" customFormat="false" ht="15" hidden="false" customHeight="false" outlineLevel="0" collapsed="false">
      <c r="A147" s="28"/>
      <c r="B147" s="9"/>
      <c r="C147" s="9"/>
      <c r="D147" s="9"/>
      <c r="E147" s="9"/>
      <c r="F147" s="9"/>
      <c r="G147" s="9"/>
      <c r="H147" s="9"/>
      <c r="I147" s="9"/>
      <c r="J147" s="26"/>
    </row>
    <row r="148" customFormat="false" ht="15" hidden="false" customHeight="false" outlineLevel="0" collapsed="false">
      <c r="A148" s="28"/>
      <c r="B148" s="9"/>
      <c r="C148" s="9"/>
      <c r="D148" s="9"/>
      <c r="E148" s="9"/>
      <c r="F148" s="9"/>
      <c r="G148" s="9"/>
      <c r="H148" s="9"/>
      <c r="I148" s="9"/>
      <c r="J148" s="26"/>
    </row>
    <row r="149" customFormat="false" ht="15" hidden="false" customHeight="false" outlineLevel="0" collapsed="false">
      <c r="A149" s="28"/>
      <c r="B149" s="9"/>
      <c r="C149" s="9"/>
      <c r="D149" s="9"/>
      <c r="E149" s="9"/>
      <c r="F149" s="9"/>
      <c r="G149" s="9"/>
      <c r="H149" s="9"/>
      <c r="I149" s="9"/>
      <c r="J149" s="26"/>
    </row>
    <row r="150" customFormat="false" ht="15" hidden="false" customHeight="false" outlineLevel="0" collapsed="false">
      <c r="A150" s="28"/>
      <c r="B150" s="9"/>
      <c r="C150" s="9"/>
      <c r="D150" s="9"/>
      <c r="E150" s="9"/>
      <c r="F150" s="9"/>
      <c r="G150" s="9"/>
      <c r="H150" s="9"/>
      <c r="I150" s="9"/>
      <c r="J150" s="26"/>
    </row>
    <row r="151" customFormat="false" ht="15" hidden="false" customHeight="false" outlineLevel="0" collapsed="false">
      <c r="A151" s="28"/>
      <c r="B151" s="9"/>
      <c r="C151" s="9"/>
      <c r="D151" s="9"/>
      <c r="E151" s="9"/>
      <c r="F151" s="9"/>
      <c r="G151" s="9"/>
      <c r="H151" s="9"/>
      <c r="I151" s="9"/>
      <c r="J151" s="26"/>
    </row>
    <row r="152" customFormat="false" ht="15" hidden="false" customHeight="false" outlineLevel="0" collapsed="false">
      <c r="A152" s="28"/>
      <c r="B152" s="9"/>
      <c r="C152" s="9"/>
      <c r="D152" s="9"/>
      <c r="E152" s="9"/>
      <c r="F152" s="9"/>
      <c r="G152" s="9"/>
      <c r="H152" s="9"/>
      <c r="I152" s="9"/>
      <c r="J152" s="26"/>
    </row>
    <row r="153" customFormat="false" ht="15" hidden="false" customHeight="false" outlineLevel="0" collapsed="false">
      <c r="A153" s="28"/>
      <c r="B153" s="9"/>
      <c r="C153" s="9"/>
      <c r="D153" s="9"/>
      <c r="E153" s="9"/>
      <c r="F153" s="9"/>
      <c r="G153" s="9"/>
      <c r="H153" s="9"/>
      <c r="I153" s="9"/>
      <c r="J153" s="26"/>
    </row>
    <row r="154" customFormat="false" ht="15" hidden="false" customHeight="false" outlineLevel="0" collapsed="false">
      <c r="A154" s="28"/>
      <c r="B154" s="9"/>
      <c r="C154" s="9"/>
      <c r="D154" s="9"/>
      <c r="E154" s="9"/>
      <c r="F154" s="9"/>
      <c r="G154" s="9"/>
      <c r="H154" s="9"/>
      <c r="I154" s="9"/>
      <c r="J154" s="26"/>
    </row>
    <row r="155" customFormat="false" ht="15" hidden="false" customHeight="false" outlineLevel="0" collapsed="false">
      <c r="A155" s="28"/>
      <c r="B155" s="9"/>
      <c r="C155" s="9"/>
      <c r="D155" s="9"/>
      <c r="E155" s="9"/>
      <c r="F155" s="9"/>
      <c r="G155" s="9"/>
      <c r="H155" s="9"/>
      <c r="I155" s="9"/>
      <c r="J155" s="26"/>
    </row>
    <row r="156" customFormat="false" ht="15" hidden="false" customHeight="false" outlineLevel="0" collapsed="false">
      <c r="A156" s="28"/>
      <c r="B156" s="9"/>
      <c r="C156" s="9"/>
      <c r="D156" s="9"/>
      <c r="E156" s="9"/>
      <c r="F156" s="9"/>
      <c r="G156" s="9"/>
      <c r="H156" s="9"/>
      <c r="I156" s="9"/>
      <c r="J156" s="26"/>
    </row>
    <row r="157" customFormat="false" ht="15" hidden="false" customHeight="false" outlineLevel="0" collapsed="false">
      <c r="A157" s="28"/>
      <c r="B157" s="9"/>
      <c r="C157" s="9"/>
      <c r="D157" s="9"/>
      <c r="E157" s="9"/>
      <c r="F157" s="9"/>
      <c r="G157" s="9"/>
      <c r="H157" s="9"/>
      <c r="I157" s="9"/>
      <c r="J157" s="26"/>
    </row>
    <row r="158" customFormat="false" ht="15" hidden="false" customHeight="false" outlineLevel="0" collapsed="false">
      <c r="A158" s="28"/>
      <c r="B158" s="9"/>
      <c r="C158" s="9"/>
      <c r="D158" s="9"/>
      <c r="E158" s="9"/>
      <c r="F158" s="9"/>
      <c r="G158" s="9"/>
      <c r="H158" s="9"/>
      <c r="I158" s="9"/>
      <c r="J158" s="26"/>
    </row>
    <row r="159" customFormat="false" ht="15" hidden="false" customHeight="false" outlineLevel="0" collapsed="false">
      <c r="A159" s="28"/>
      <c r="B159" s="9"/>
      <c r="C159" s="9"/>
      <c r="D159" s="9"/>
      <c r="E159" s="9"/>
      <c r="F159" s="9"/>
      <c r="G159" s="9"/>
      <c r="H159" s="9"/>
      <c r="I159" s="9"/>
      <c r="J159" s="26"/>
    </row>
    <row r="160" customFormat="false" ht="15" hidden="false" customHeight="false" outlineLevel="0" collapsed="false">
      <c r="A160" s="28"/>
      <c r="B160" s="9"/>
      <c r="C160" s="9"/>
      <c r="D160" s="9"/>
      <c r="E160" s="9"/>
      <c r="F160" s="9"/>
      <c r="G160" s="9"/>
      <c r="H160" s="9"/>
      <c r="I160" s="9"/>
      <c r="J160" s="26"/>
    </row>
    <row r="161" customFormat="false" ht="15" hidden="false" customHeight="false" outlineLevel="0" collapsed="false">
      <c r="A161" s="28"/>
      <c r="B161" s="9"/>
      <c r="C161" s="9"/>
      <c r="D161" s="9"/>
      <c r="E161" s="9"/>
      <c r="F161" s="9"/>
      <c r="G161" s="9"/>
      <c r="H161" s="9"/>
      <c r="I161" s="9"/>
      <c r="J161" s="26"/>
    </row>
    <row r="162" customFormat="false" ht="15" hidden="false" customHeight="false" outlineLevel="0" collapsed="false">
      <c r="A162" s="28"/>
      <c r="B162" s="9"/>
      <c r="C162" s="9"/>
      <c r="D162" s="9"/>
      <c r="E162" s="9"/>
      <c r="F162" s="9"/>
      <c r="G162" s="9"/>
      <c r="H162" s="9"/>
      <c r="I162" s="9"/>
      <c r="J162" s="26"/>
    </row>
    <row r="163" customFormat="false" ht="15" hidden="false" customHeight="false" outlineLevel="0" collapsed="false">
      <c r="A163" s="28"/>
      <c r="B163" s="9"/>
      <c r="C163" s="9"/>
      <c r="D163" s="9"/>
      <c r="E163" s="9"/>
      <c r="F163" s="9"/>
      <c r="G163" s="9"/>
      <c r="H163" s="9"/>
      <c r="I163" s="9"/>
      <c r="J163" s="26"/>
    </row>
    <row r="164" customFormat="false" ht="15" hidden="false" customHeight="false" outlineLevel="0" collapsed="false">
      <c r="A164" s="28"/>
      <c r="B164" s="9"/>
      <c r="C164" s="9"/>
      <c r="D164" s="9"/>
      <c r="E164" s="9"/>
      <c r="F164" s="9"/>
      <c r="G164" s="9"/>
      <c r="H164" s="9"/>
      <c r="I164" s="9"/>
      <c r="J164" s="26"/>
    </row>
    <row r="165" customFormat="false" ht="15" hidden="false" customHeight="false" outlineLevel="0" collapsed="false">
      <c r="A165" s="28"/>
      <c r="B165" s="9"/>
      <c r="C165" s="9"/>
      <c r="D165" s="9"/>
      <c r="E165" s="9"/>
      <c r="F165" s="9"/>
      <c r="G165" s="9"/>
      <c r="H165" s="9"/>
      <c r="I165" s="9"/>
      <c r="J165" s="26"/>
    </row>
    <row r="166" customFormat="false" ht="15" hidden="false" customHeight="false" outlineLevel="0" collapsed="false">
      <c r="A166" s="28"/>
      <c r="B166" s="9"/>
      <c r="C166" s="9"/>
      <c r="D166" s="9"/>
      <c r="E166" s="9"/>
      <c r="F166" s="9"/>
      <c r="G166" s="9"/>
      <c r="H166" s="9"/>
      <c r="I166" s="9"/>
      <c r="J166" s="26"/>
    </row>
    <row r="167" customFormat="false" ht="15" hidden="false" customHeight="false" outlineLevel="0" collapsed="false">
      <c r="A167" s="28"/>
      <c r="B167" s="9"/>
      <c r="C167" s="9"/>
      <c r="D167" s="9"/>
      <c r="E167" s="9"/>
      <c r="F167" s="9"/>
      <c r="G167" s="9"/>
      <c r="H167" s="9"/>
      <c r="I167" s="9"/>
      <c r="J167" s="26"/>
    </row>
    <row r="168" customFormat="false" ht="15" hidden="false" customHeight="false" outlineLevel="0" collapsed="false">
      <c r="A168" s="28"/>
      <c r="B168" s="9"/>
      <c r="C168" s="9"/>
      <c r="D168" s="9"/>
      <c r="E168" s="9"/>
      <c r="F168" s="9"/>
      <c r="G168" s="9"/>
      <c r="H168" s="9"/>
      <c r="I168" s="9"/>
      <c r="J168" s="26"/>
    </row>
    <row r="169" customFormat="false" ht="15" hidden="false" customHeight="false" outlineLevel="0" collapsed="false">
      <c r="A169" s="28"/>
      <c r="B169" s="9"/>
      <c r="C169" s="9"/>
      <c r="D169" s="9"/>
      <c r="E169" s="9"/>
      <c r="F169" s="9"/>
      <c r="G169" s="9"/>
      <c r="H169" s="9"/>
      <c r="I169" s="9"/>
      <c r="J169" s="26"/>
    </row>
    <row r="170" customFormat="false" ht="15" hidden="false" customHeight="false" outlineLevel="0" collapsed="false">
      <c r="A170" s="28"/>
      <c r="B170" s="9"/>
      <c r="C170" s="9"/>
      <c r="D170" s="9"/>
      <c r="E170" s="9"/>
      <c r="F170" s="9"/>
      <c r="G170" s="9"/>
      <c r="H170" s="9"/>
      <c r="I170" s="9"/>
      <c r="J170" s="26"/>
    </row>
    <row r="171" customFormat="false" ht="15" hidden="false" customHeight="false" outlineLevel="0" collapsed="false">
      <c r="A171" s="28"/>
      <c r="B171" s="9"/>
      <c r="C171" s="9"/>
      <c r="D171" s="9"/>
      <c r="E171" s="9"/>
      <c r="F171" s="9"/>
      <c r="G171" s="9"/>
      <c r="H171" s="9"/>
      <c r="I171" s="9"/>
      <c r="J171" s="26"/>
    </row>
    <row r="172" customFormat="false" ht="15" hidden="false" customHeight="false" outlineLevel="0" collapsed="false">
      <c r="A172" s="28"/>
      <c r="B172" s="9"/>
      <c r="C172" s="9"/>
      <c r="D172" s="9"/>
      <c r="E172" s="9"/>
      <c r="F172" s="9"/>
      <c r="G172" s="9"/>
      <c r="H172" s="9"/>
      <c r="I172" s="9"/>
      <c r="J172" s="26"/>
    </row>
    <row r="173" customFormat="false" ht="15" hidden="false" customHeight="false" outlineLevel="0" collapsed="false">
      <c r="A173" s="28"/>
      <c r="B173" s="9"/>
      <c r="C173" s="9"/>
      <c r="D173" s="9"/>
      <c r="E173" s="9"/>
      <c r="F173" s="9"/>
      <c r="G173" s="9"/>
      <c r="H173" s="9"/>
      <c r="I173" s="9"/>
      <c r="J173" s="26"/>
    </row>
    <row r="174" customFormat="false" ht="15" hidden="false" customHeight="false" outlineLevel="0" collapsed="false">
      <c r="A174" s="28"/>
      <c r="B174" s="9"/>
      <c r="C174" s="9"/>
      <c r="D174" s="9"/>
      <c r="E174" s="9"/>
      <c r="F174" s="9"/>
      <c r="G174" s="9"/>
      <c r="H174" s="9"/>
      <c r="I174" s="9"/>
      <c r="J174" s="26"/>
    </row>
    <row r="175" customFormat="false" ht="15" hidden="false" customHeight="false" outlineLevel="0" collapsed="false">
      <c r="A175" s="28"/>
      <c r="B175" s="9"/>
      <c r="C175" s="9"/>
      <c r="D175" s="9"/>
      <c r="E175" s="9"/>
      <c r="F175" s="9"/>
      <c r="G175" s="9"/>
      <c r="H175" s="9"/>
      <c r="I175" s="9"/>
      <c r="J175" s="26"/>
    </row>
    <row r="176" customFormat="false" ht="15" hidden="false" customHeight="false" outlineLevel="0" collapsed="false">
      <c r="A176" s="28"/>
      <c r="B176" s="9"/>
      <c r="C176" s="9"/>
      <c r="D176" s="9"/>
      <c r="E176" s="9"/>
      <c r="F176" s="9"/>
      <c r="G176" s="9"/>
      <c r="H176" s="9"/>
      <c r="I176" s="9"/>
      <c r="J176" s="26"/>
    </row>
    <row r="177" customFormat="false" ht="15" hidden="false" customHeight="false" outlineLevel="0" collapsed="false">
      <c r="A177" s="28"/>
      <c r="B177" s="9"/>
      <c r="C177" s="9"/>
      <c r="D177" s="9"/>
      <c r="E177" s="9"/>
      <c r="F177" s="9"/>
      <c r="G177" s="9"/>
      <c r="H177" s="9"/>
      <c r="I177" s="9"/>
      <c r="J177" s="26"/>
    </row>
    <row r="178" customFormat="false" ht="15" hidden="false" customHeight="false" outlineLevel="0" collapsed="false">
      <c r="A178" s="28"/>
      <c r="B178" s="9"/>
      <c r="C178" s="9"/>
      <c r="D178" s="9"/>
      <c r="E178" s="9"/>
      <c r="F178" s="9"/>
      <c r="G178" s="9"/>
      <c r="H178" s="9"/>
      <c r="I178" s="9"/>
      <c r="J178" s="26"/>
    </row>
    <row r="179" customFormat="false" ht="15" hidden="false" customHeight="false" outlineLevel="0" collapsed="false">
      <c r="A179" s="28"/>
      <c r="B179" s="9"/>
      <c r="C179" s="9"/>
      <c r="D179" s="9"/>
      <c r="E179" s="9"/>
      <c r="F179" s="9"/>
      <c r="G179" s="9"/>
      <c r="H179" s="9"/>
      <c r="I179" s="9"/>
      <c r="J179" s="26"/>
    </row>
    <row r="180" customFormat="false" ht="15" hidden="false" customHeight="false" outlineLevel="0" collapsed="false">
      <c r="A180" s="28"/>
      <c r="B180" s="9"/>
      <c r="C180" s="9"/>
      <c r="D180" s="9"/>
      <c r="E180" s="9"/>
      <c r="F180" s="9"/>
      <c r="G180" s="9"/>
      <c r="H180" s="9"/>
      <c r="I180" s="9"/>
      <c r="J180" s="26"/>
    </row>
    <row r="181" customFormat="false" ht="15" hidden="false" customHeight="false" outlineLevel="0" collapsed="false">
      <c r="A181" s="28"/>
      <c r="B181" s="9"/>
      <c r="C181" s="9"/>
      <c r="D181" s="9"/>
      <c r="E181" s="9"/>
      <c r="F181" s="9"/>
      <c r="G181" s="9"/>
      <c r="H181" s="9"/>
      <c r="I181" s="9"/>
      <c r="J181" s="26"/>
    </row>
    <row r="182" customFormat="false" ht="15" hidden="false" customHeight="false" outlineLevel="0" collapsed="false">
      <c r="A182" s="28"/>
      <c r="B182" s="9"/>
      <c r="C182" s="9"/>
      <c r="D182" s="9"/>
      <c r="E182" s="9"/>
      <c r="F182" s="9"/>
      <c r="G182" s="9"/>
      <c r="H182" s="9"/>
      <c r="I182" s="9"/>
      <c r="J182" s="26"/>
    </row>
    <row r="183" customFormat="false" ht="15" hidden="false" customHeight="false" outlineLevel="0" collapsed="false">
      <c r="A183" s="28"/>
      <c r="B183" s="9"/>
      <c r="C183" s="9"/>
      <c r="D183" s="9"/>
      <c r="E183" s="9"/>
      <c r="F183" s="9"/>
      <c r="G183" s="9"/>
      <c r="H183" s="9"/>
      <c r="I183" s="9"/>
      <c r="J183" s="26"/>
    </row>
    <row r="184" customFormat="false" ht="15" hidden="false" customHeight="false" outlineLevel="0" collapsed="false">
      <c r="A184" s="28"/>
      <c r="B184" s="9"/>
      <c r="C184" s="9"/>
      <c r="D184" s="9"/>
      <c r="E184" s="9"/>
      <c r="F184" s="9"/>
      <c r="G184" s="9"/>
      <c r="H184" s="9"/>
      <c r="I184" s="9"/>
      <c r="J184" s="26"/>
    </row>
    <row r="185" customFormat="false" ht="15" hidden="false" customHeight="false" outlineLevel="0" collapsed="false">
      <c r="A185" s="28"/>
      <c r="B185" s="9"/>
      <c r="C185" s="9"/>
      <c r="D185" s="9"/>
      <c r="E185" s="9"/>
      <c r="F185" s="9"/>
      <c r="G185" s="9"/>
      <c r="H185" s="9"/>
      <c r="I185" s="9"/>
      <c r="J185" s="26"/>
    </row>
    <row r="186" customFormat="false" ht="15" hidden="false" customHeight="false" outlineLevel="0" collapsed="false">
      <c r="A186" s="28"/>
      <c r="B186" s="9"/>
      <c r="C186" s="9"/>
      <c r="D186" s="9"/>
      <c r="E186" s="9"/>
      <c r="F186" s="9"/>
      <c r="G186" s="9"/>
      <c r="H186" s="9"/>
      <c r="I186" s="9"/>
      <c r="J186" s="26"/>
    </row>
    <row r="187" customFormat="false" ht="15" hidden="false" customHeight="false" outlineLevel="0" collapsed="false">
      <c r="A187" s="28"/>
      <c r="B187" s="9"/>
      <c r="C187" s="9"/>
      <c r="D187" s="9"/>
      <c r="E187" s="9"/>
      <c r="F187" s="9"/>
      <c r="G187" s="9"/>
      <c r="H187" s="9"/>
      <c r="I187" s="9"/>
      <c r="J187" s="26"/>
    </row>
    <row r="188" customFormat="false" ht="15" hidden="false" customHeight="false" outlineLevel="0" collapsed="false">
      <c r="A188" s="28"/>
      <c r="B188" s="9"/>
      <c r="C188" s="9"/>
      <c r="D188" s="9"/>
      <c r="E188" s="9"/>
      <c r="F188" s="9"/>
      <c r="G188" s="9"/>
      <c r="H188" s="9"/>
      <c r="I188" s="9"/>
      <c r="J188" s="26"/>
    </row>
    <row r="189" customFormat="false" ht="15" hidden="false" customHeight="false" outlineLevel="0" collapsed="false">
      <c r="A189" s="28"/>
      <c r="B189" s="9"/>
      <c r="C189" s="9"/>
      <c r="D189" s="9"/>
      <c r="E189" s="9"/>
      <c r="F189" s="9"/>
      <c r="G189" s="9"/>
      <c r="H189" s="9"/>
      <c r="I189" s="9"/>
      <c r="J189" s="26"/>
    </row>
    <row r="190" customFormat="false" ht="15" hidden="false" customHeight="false" outlineLevel="0" collapsed="false">
      <c r="A190" s="28"/>
      <c r="B190" s="9"/>
      <c r="C190" s="9"/>
      <c r="D190" s="9"/>
      <c r="E190" s="9"/>
      <c r="F190" s="9"/>
      <c r="G190" s="9"/>
      <c r="H190" s="9"/>
      <c r="I190" s="9"/>
      <c r="J190" s="26"/>
    </row>
    <row r="191" customFormat="false" ht="15" hidden="false" customHeight="false" outlineLevel="0" collapsed="false">
      <c r="A191" s="28"/>
      <c r="B191" s="9"/>
      <c r="C191" s="9"/>
      <c r="D191" s="9"/>
      <c r="E191" s="9"/>
      <c r="F191" s="9"/>
      <c r="G191" s="9"/>
      <c r="H191" s="9"/>
      <c r="I191" s="9"/>
      <c r="J191" s="26"/>
    </row>
    <row r="192" customFormat="false" ht="15" hidden="false" customHeight="false" outlineLevel="0" collapsed="false">
      <c r="A192" s="28"/>
      <c r="B192" s="9"/>
      <c r="C192" s="9"/>
      <c r="D192" s="9"/>
      <c r="E192" s="9"/>
      <c r="F192" s="9"/>
      <c r="G192" s="9"/>
      <c r="H192" s="9"/>
      <c r="I192" s="9"/>
      <c r="J192" s="26"/>
    </row>
    <row r="193" customFormat="false" ht="15" hidden="false" customHeight="false" outlineLevel="0" collapsed="false">
      <c r="A193" s="28"/>
      <c r="B193" s="9"/>
      <c r="C193" s="9"/>
      <c r="D193" s="9"/>
      <c r="E193" s="9"/>
      <c r="F193" s="9"/>
      <c r="G193" s="9"/>
      <c r="H193" s="9"/>
      <c r="I193" s="9"/>
      <c r="J193" s="26"/>
    </row>
    <row r="194" customFormat="false" ht="15" hidden="false" customHeight="false" outlineLevel="0" collapsed="false">
      <c r="A194" s="28"/>
      <c r="B194" s="9"/>
      <c r="C194" s="9"/>
      <c r="D194" s="9"/>
      <c r="E194" s="9"/>
      <c r="F194" s="9"/>
      <c r="G194" s="9"/>
      <c r="H194" s="9"/>
      <c r="I194" s="9"/>
      <c r="J194" s="26"/>
    </row>
    <row r="195" customFormat="false" ht="15" hidden="false" customHeight="false" outlineLevel="0" collapsed="false">
      <c r="A195" s="28"/>
      <c r="B195" s="9"/>
      <c r="C195" s="9"/>
      <c r="D195" s="9"/>
      <c r="E195" s="9"/>
      <c r="F195" s="9"/>
      <c r="G195" s="9"/>
      <c r="H195" s="9"/>
      <c r="I195" s="9"/>
      <c r="J195" s="26"/>
    </row>
    <row r="196" customFormat="false" ht="15" hidden="false" customHeight="false" outlineLevel="0" collapsed="false">
      <c r="A196" s="28"/>
      <c r="B196" s="9"/>
      <c r="C196" s="9"/>
      <c r="D196" s="9"/>
      <c r="E196" s="9"/>
      <c r="F196" s="9"/>
      <c r="G196" s="9"/>
      <c r="H196" s="9"/>
      <c r="I196" s="9"/>
      <c r="J196" s="26"/>
    </row>
    <row r="197" customFormat="false" ht="15" hidden="false" customHeight="false" outlineLevel="0" collapsed="false">
      <c r="A197" s="28"/>
      <c r="B197" s="9"/>
      <c r="C197" s="9"/>
      <c r="D197" s="9"/>
      <c r="E197" s="9"/>
      <c r="F197" s="9"/>
      <c r="G197" s="9"/>
      <c r="H197" s="9"/>
      <c r="I197" s="9"/>
      <c r="J197" s="26"/>
    </row>
    <row r="198" customFormat="false" ht="15" hidden="false" customHeight="false" outlineLevel="0" collapsed="false">
      <c r="A198" s="28"/>
      <c r="B198" s="9"/>
      <c r="C198" s="9"/>
      <c r="D198" s="9"/>
      <c r="E198" s="9"/>
      <c r="F198" s="9"/>
      <c r="G198" s="9"/>
      <c r="H198" s="9"/>
      <c r="I198" s="9"/>
      <c r="J198" s="26"/>
    </row>
    <row r="199" customFormat="false" ht="15" hidden="false" customHeight="false" outlineLevel="0" collapsed="false">
      <c r="A199" s="28"/>
      <c r="B199" s="9"/>
      <c r="C199" s="9"/>
      <c r="D199" s="9"/>
      <c r="E199" s="9"/>
      <c r="F199" s="9"/>
      <c r="G199" s="9"/>
      <c r="H199" s="9"/>
      <c r="I199" s="9"/>
      <c r="J199" s="26"/>
    </row>
    <row r="200" customFormat="false" ht="15" hidden="false" customHeight="false" outlineLevel="0" collapsed="false">
      <c r="A200" s="28"/>
      <c r="B200" s="9"/>
      <c r="C200" s="9"/>
      <c r="D200" s="9"/>
      <c r="E200" s="9"/>
      <c r="F200" s="9"/>
      <c r="G200" s="9"/>
      <c r="H200" s="9"/>
      <c r="I200" s="9"/>
      <c r="J200" s="26"/>
    </row>
    <row r="201" customFormat="false" ht="15" hidden="false" customHeight="false" outlineLevel="0" collapsed="false">
      <c r="A201" s="28"/>
      <c r="B201" s="9"/>
      <c r="C201" s="9"/>
      <c r="D201" s="9"/>
      <c r="E201" s="9"/>
      <c r="F201" s="9"/>
      <c r="G201" s="9"/>
      <c r="H201" s="9"/>
      <c r="I201" s="9"/>
      <c r="J201" s="26"/>
    </row>
    <row r="202" customFormat="false" ht="15" hidden="false" customHeight="false" outlineLevel="0" collapsed="false">
      <c r="A202" s="28"/>
      <c r="B202" s="9"/>
      <c r="C202" s="9"/>
      <c r="D202" s="9"/>
      <c r="E202" s="9"/>
      <c r="F202" s="9"/>
      <c r="G202" s="9"/>
      <c r="H202" s="9"/>
      <c r="I202" s="9"/>
      <c r="J202" s="26"/>
    </row>
    <row r="203" customFormat="false" ht="15" hidden="false" customHeight="false" outlineLevel="0" collapsed="false">
      <c r="A203" s="28"/>
      <c r="B203" s="9"/>
      <c r="C203" s="9"/>
      <c r="D203" s="9"/>
      <c r="E203" s="9"/>
      <c r="F203" s="9"/>
      <c r="G203" s="9"/>
      <c r="H203" s="9"/>
      <c r="I203" s="9"/>
      <c r="J203" s="26"/>
    </row>
    <row r="204" customFormat="false" ht="15" hidden="false" customHeight="false" outlineLevel="0" collapsed="false">
      <c r="A204" s="28"/>
      <c r="B204" s="9"/>
      <c r="C204" s="9"/>
      <c r="D204" s="9"/>
      <c r="E204" s="9"/>
      <c r="F204" s="9"/>
      <c r="G204" s="9"/>
      <c r="H204" s="9"/>
      <c r="I204" s="9"/>
      <c r="J204" s="26"/>
    </row>
    <row r="205" customFormat="false" ht="15" hidden="false" customHeight="false" outlineLevel="0" collapsed="false">
      <c r="A205" s="28"/>
      <c r="B205" s="9"/>
      <c r="C205" s="9"/>
      <c r="D205" s="9"/>
      <c r="E205" s="9"/>
      <c r="F205" s="9"/>
      <c r="G205" s="9"/>
      <c r="H205" s="9"/>
      <c r="I205" s="9"/>
      <c r="J205" s="26"/>
    </row>
    <row r="206" customFormat="false" ht="15" hidden="false" customHeight="false" outlineLevel="0" collapsed="false">
      <c r="A206" s="28"/>
      <c r="B206" s="9"/>
      <c r="C206" s="9"/>
      <c r="D206" s="9"/>
      <c r="E206" s="9"/>
      <c r="F206" s="9"/>
      <c r="G206" s="9"/>
      <c r="H206" s="9"/>
      <c r="I206" s="9"/>
      <c r="J206" s="26"/>
    </row>
    <row r="207" customFormat="false" ht="15" hidden="false" customHeight="false" outlineLevel="0" collapsed="false">
      <c r="A207" s="28"/>
      <c r="B207" s="9"/>
      <c r="C207" s="9"/>
      <c r="D207" s="9"/>
      <c r="E207" s="9"/>
      <c r="F207" s="9"/>
      <c r="G207" s="9"/>
      <c r="H207" s="9"/>
      <c r="I207" s="9"/>
      <c r="J207" s="26"/>
    </row>
    <row r="208" customFormat="false" ht="15" hidden="false" customHeight="false" outlineLevel="0" collapsed="false">
      <c r="A208" s="28"/>
      <c r="B208" s="9"/>
      <c r="C208" s="9"/>
      <c r="D208" s="9"/>
      <c r="E208" s="9"/>
      <c r="F208" s="9"/>
      <c r="G208" s="9"/>
      <c r="H208" s="9"/>
      <c r="I208" s="9"/>
      <c r="J208" s="26"/>
    </row>
    <row r="209" customFormat="false" ht="15" hidden="false" customHeight="false" outlineLevel="0" collapsed="false">
      <c r="A209" s="28"/>
      <c r="B209" s="9"/>
      <c r="C209" s="9"/>
      <c r="D209" s="9"/>
      <c r="E209" s="9"/>
      <c r="F209" s="9"/>
      <c r="G209" s="9"/>
      <c r="H209" s="9"/>
      <c r="I209" s="9"/>
      <c r="J209" s="26"/>
    </row>
    <row r="210" customFormat="false" ht="15" hidden="false" customHeight="false" outlineLevel="0" collapsed="false">
      <c r="A210" s="28"/>
      <c r="B210" s="9"/>
      <c r="C210" s="9"/>
      <c r="D210" s="9"/>
      <c r="E210" s="9"/>
      <c r="F210" s="9"/>
      <c r="G210" s="9"/>
      <c r="H210" s="9"/>
      <c r="I210" s="9"/>
      <c r="J210" s="26"/>
    </row>
    <row r="211" customFormat="false" ht="15" hidden="false" customHeight="false" outlineLevel="0" collapsed="false">
      <c r="A211" s="28"/>
      <c r="B211" s="9"/>
      <c r="C211" s="9"/>
      <c r="D211" s="9"/>
      <c r="E211" s="9"/>
      <c r="F211" s="9"/>
      <c r="G211" s="9"/>
      <c r="H211" s="9"/>
      <c r="I211" s="9"/>
      <c r="J211" s="26"/>
    </row>
    <row r="212" customFormat="false" ht="15" hidden="false" customHeight="false" outlineLevel="0" collapsed="false">
      <c r="A212" s="28"/>
      <c r="B212" s="9"/>
      <c r="C212" s="9"/>
      <c r="D212" s="9"/>
      <c r="E212" s="9"/>
      <c r="F212" s="9"/>
      <c r="G212" s="9"/>
      <c r="H212" s="9"/>
      <c r="I212" s="9"/>
      <c r="J212" s="26"/>
    </row>
    <row r="213" customFormat="false" ht="15" hidden="false" customHeight="false" outlineLevel="0" collapsed="false">
      <c r="A213" s="28"/>
      <c r="B213" s="9"/>
      <c r="C213" s="9"/>
      <c r="D213" s="9"/>
      <c r="E213" s="9"/>
      <c r="F213" s="9"/>
      <c r="G213" s="9"/>
      <c r="H213" s="9"/>
      <c r="I213" s="9"/>
      <c r="J213" s="26"/>
    </row>
    <row r="214" customFormat="false" ht="15" hidden="false" customHeight="false" outlineLevel="0" collapsed="false">
      <c r="A214" s="28"/>
      <c r="B214" s="9"/>
      <c r="C214" s="9"/>
      <c r="D214" s="9"/>
      <c r="E214" s="9"/>
      <c r="F214" s="9"/>
      <c r="G214" s="9"/>
      <c r="H214" s="9"/>
      <c r="I214" s="9"/>
      <c r="J214" s="26"/>
    </row>
    <row r="215" customFormat="false" ht="15" hidden="false" customHeight="false" outlineLevel="0" collapsed="false">
      <c r="A215" s="28"/>
      <c r="B215" s="9"/>
      <c r="C215" s="9"/>
      <c r="D215" s="9"/>
      <c r="E215" s="9"/>
      <c r="F215" s="9"/>
      <c r="G215" s="9"/>
      <c r="H215" s="9"/>
      <c r="I215" s="9"/>
      <c r="J215" s="26"/>
    </row>
    <row r="216" customFormat="false" ht="15" hidden="false" customHeight="false" outlineLevel="0" collapsed="false">
      <c r="A216" s="28"/>
      <c r="B216" s="9"/>
      <c r="C216" s="9"/>
      <c r="D216" s="9"/>
      <c r="E216" s="9"/>
      <c r="F216" s="9"/>
      <c r="G216" s="9"/>
      <c r="H216" s="9"/>
      <c r="I216" s="9"/>
      <c r="J216" s="26"/>
    </row>
    <row r="217" customFormat="false" ht="15" hidden="false" customHeight="false" outlineLevel="0" collapsed="false">
      <c r="A217" s="28"/>
      <c r="B217" s="9"/>
      <c r="C217" s="9"/>
      <c r="D217" s="9"/>
      <c r="E217" s="9"/>
      <c r="F217" s="9"/>
      <c r="G217" s="9"/>
      <c r="H217" s="9"/>
      <c r="I217" s="9"/>
      <c r="J217" s="26"/>
    </row>
    <row r="218" customFormat="false" ht="15" hidden="false" customHeight="false" outlineLevel="0" collapsed="false">
      <c r="A218" s="28"/>
      <c r="B218" s="9"/>
      <c r="C218" s="9"/>
      <c r="D218" s="9"/>
      <c r="E218" s="9"/>
      <c r="F218" s="9"/>
      <c r="G218" s="9"/>
      <c r="H218" s="9"/>
      <c r="I218" s="9"/>
      <c r="J218" s="26"/>
    </row>
    <row r="219" customFormat="false" ht="15" hidden="false" customHeight="false" outlineLevel="0" collapsed="false">
      <c r="A219" s="28"/>
      <c r="B219" s="9"/>
      <c r="C219" s="9"/>
      <c r="D219" s="9"/>
      <c r="E219" s="9"/>
      <c r="F219" s="9"/>
      <c r="G219" s="9"/>
      <c r="H219" s="9"/>
      <c r="I219" s="9"/>
      <c r="J219" s="26"/>
    </row>
    <row r="220" customFormat="false" ht="15" hidden="false" customHeight="false" outlineLevel="0" collapsed="false">
      <c r="A220" s="28"/>
      <c r="B220" s="9"/>
      <c r="C220" s="9"/>
      <c r="D220" s="9"/>
      <c r="E220" s="9"/>
      <c r="F220" s="9"/>
      <c r="G220" s="9"/>
      <c r="H220" s="9"/>
      <c r="I220" s="9"/>
      <c r="J220" s="26"/>
    </row>
    <row r="221" customFormat="false" ht="15" hidden="false" customHeight="false" outlineLevel="0" collapsed="false">
      <c r="A221" s="28"/>
      <c r="B221" s="9"/>
      <c r="C221" s="9"/>
      <c r="D221" s="9"/>
      <c r="E221" s="9"/>
      <c r="F221" s="9"/>
      <c r="G221" s="9"/>
      <c r="H221" s="9"/>
      <c r="I221" s="9"/>
      <c r="J221" s="26"/>
    </row>
    <row r="222" customFormat="false" ht="15" hidden="false" customHeight="false" outlineLevel="0" collapsed="false">
      <c r="A222" s="28"/>
      <c r="B222" s="9"/>
      <c r="C222" s="9"/>
      <c r="D222" s="9"/>
      <c r="E222" s="9"/>
      <c r="F222" s="9"/>
      <c r="G222" s="9"/>
      <c r="H222" s="9"/>
      <c r="I222" s="9"/>
      <c r="J222" s="26"/>
    </row>
    <row r="223" customFormat="false" ht="15" hidden="false" customHeight="false" outlineLevel="0" collapsed="false">
      <c r="A223" s="28"/>
      <c r="B223" s="9"/>
      <c r="C223" s="9"/>
      <c r="D223" s="9"/>
      <c r="E223" s="9"/>
      <c r="F223" s="9"/>
      <c r="G223" s="9"/>
      <c r="H223" s="9"/>
      <c r="I223" s="9"/>
      <c r="J223" s="26"/>
    </row>
    <row r="224" customFormat="false" ht="15" hidden="false" customHeight="false" outlineLevel="0" collapsed="false">
      <c r="A224" s="28"/>
      <c r="B224" s="9"/>
      <c r="C224" s="9"/>
      <c r="D224" s="9"/>
      <c r="E224" s="9"/>
      <c r="F224" s="9"/>
      <c r="G224" s="9"/>
      <c r="H224" s="9"/>
      <c r="I224" s="9"/>
      <c r="J224" s="26"/>
    </row>
    <row r="225" customFormat="false" ht="15" hidden="false" customHeight="false" outlineLevel="0" collapsed="false">
      <c r="A225" s="28"/>
      <c r="B225" s="9"/>
      <c r="C225" s="9"/>
      <c r="D225" s="9"/>
      <c r="E225" s="9"/>
      <c r="F225" s="9"/>
      <c r="G225" s="9"/>
      <c r="H225" s="9"/>
      <c r="I225" s="9"/>
      <c r="J225" s="26"/>
    </row>
    <row r="226" customFormat="false" ht="15" hidden="false" customHeight="false" outlineLevel="0" collapsed="false">
      <c r="A226" s="28"/>
      <c r="B226" s="9"/>
      <c r="C226" s="9"/>
      <c r="D226" s="9"/>
      <c r="E226" s="9"/>
      <c r="F226" s="9"/>
      <c r="G226" s="9"/>
      <c r="H226" s="9"/>
      <c r="I226" s="9"/>
      <c r="J226" s="26"/>
    </row>
    <row r="227" customFormat="false" ht="15" hidden="false" customHeight="false" outlineLevel="0" collapsed="false">
      <c r="A227" s="28"/>
      <c r="B227" s="9"/>
      <c r="C227" s="9"/>
      <c r="D227" s="9"/>
      <c r="E227" s="9"/>
      <c r="F227" s="9"/>
      <c r="G227" s="9"/>
      <c r="H227" s="9"/>
      <c r="I227" s="9"/>
      <c r="J227" s="26"/>
    </row>
    <row r="228" customFormat="false" ht="15" hidden="false" customHeight="false" outlineLevel="0" collapsed="false">
      <c r="A228" s="28"/>
      <c r="B228" s="9"/>
      <c r="C228" s="9"/>
      <c r="D228" s="9"/>
      <c r="E228" s="9"/>
      <c r="F228" s="9"/>
      <c r="G228" s="9"/>
      <c r="H228" s="9"/>
      <c r="I228" s="9"/>
      <c r="J228" s="26"/>
    </row>
    <row r="229" customFormat="false" ht="15" hidden="false" customHeight="false" outlineLevel="0" collapsed="false">
      <c r="A229" s="28"/>
      <c r="B229" s="9"/>
      <c r="C229" s="9"/>
      <c r="D229" s="9"/>
      <c r="E229" s="9"/>
      <c r="F229" s="9"/>
      <c r="G229" s="9"/>
      <c r="H229" s="9"/>
      <c r="I229" s="9"/>
      <c r="J229" s="26"/>
    </row>
    <row r="230" customFormat="false" ht="15" hidden="false" customHeight="false" outlineLevel="0" collapsed="false">
      <c r="A230" s="28"/>
      <c r="B230" s="9"/>
      <c r="C230" s="9"/>
      <c r="D230" s="9"/>
      <c r="E230" s="9"/>
      <c r="F230" s="9"/>
      <c r="G230" s="9"/>
      <c r="H230" s="9"/>
      <c r="I230" s="9"/>
      <c r="J230" s="26"/>
    </row>
    <row r="231" customFormat="false" ht="15" hidden="false" customHeight="false" outlineLevel="0" collapsed="false">
      <c r="A231" s="28"/>
      <c r="B231" s="9"/>
      <c r="C231" s="9"/>
      <c r="D231" s="9"/>
      <c r="E231" s="9"/>
      <c r="F231" s="9"/>
      <c r="G231" s="9"/>
      <c r="H231" s="9"/>
      <c r="I231" s="9"/>
      <c r="J231" s="26"/>
    </row>
    <row r="232" customFormat="false" ht="15" hidden="false" customHeight="false" outlineLevel="0" collapsed="false">
      <c r="A232" s="28"/>
      <c r="B232" s="9"/>
      <c r="C232" s="9"/>
      <c r="D232" s="9"/>
      <c r="E232" s="9"/>
      <c r="F232" s="9"/>
      <c r="G232" s="9"/>
      <c r="H232" s="9"/>
      <c r="I232" s="9"/>
      <c r="J232" s="26"/>
    </row>
    <row r="233" customFormat="false" ht="15" hidden="false" customHeight="false" outlineLevel="0" collapsed="false">
      <c r="A233" s="28"/>
      <c r="B233" s="9"/>
      <c r="C233" s="9"/>
      <c r="D233" s="9"/>
      <c r="E233" s="9"/>
      <c r="F233" s="9"/>
      <c r="G233" s="9"/>
      <c r="H233" s="9"/>
      <c r="I233" s="9"/>
      <c r="J233" s="26"/>
    </row>
    <row r="234" customFormat="false" ht="15" hidden="false" customHeight="false" outlineLevel="0" collapsed="false">
      <c r="A234" s="28"/>
      <c r="B234" s="9"/>
      <c r="C234" s="9"/>
      <c r="D234" s="9"/>
      <c r="E234" s="9"/>
      <c r="F234" s="9"/>
      <c r="G234" s="9"/>
      <c r="H234" s="9"/>
      <c r="I234" s="9"/>
      <c r="J234" s="26"/>
    </row>
    <row r="235" customFormat="false" ht="15" hidden="false" customHeight="false" outlineLevel="0" collapsed="false">
      <c r="A235" s="28"/>
      <c r="B235" s="9"/>
      <c r="C235" s="9"/>
      <c r="D235" s="9"/>
      <c r="E235" s="9"/>
      <c r="F235" s="9"/>
      <c r="G235" s="9"/>
      <c r="H235" s="9"/>
      <c r="I235" s="9"/>
      <c r="J235" s="26"/>
    </row>
    <row r="236" customFormat="false" ht="15" hidden="false" customHeight="false" outlineLevel="0" collapsed="false">
      <c r="A236" s="28"/>
      <c r="B236" s="9"/>
      <c r="C236" s="9"/>
      <c r="D236" s="9"/>
      <c r="E236" s="9"/>
      <c r="F236" s="9"/>
      <c r="G236" s="9"/>
      <c r="H236" s="9"/>
      <c r="I236" s="9"/>
      <c r="J236" s="26"/>
    </row>
    <row r="237" customFormat="false" ht="15" hidden="false" customHeight="false" outlineLevel="0" collapsed="false">
      <c r="A237" s="28"/>
      <c r="B237" s="9"/>
      <c r="C237" s="9"/>
      <c r="D237" s="9"/>
      <c r="E237" s="9"/>
      <c r="F237" s="9"/>
      <c r="G237" s="9"/>
      <c r="H237" s="9"/>
      <c r="I237" s="9"/>
      <c r="J237" s="26"/>
    </row>
    <row r="238" customFormat="false" ht="15" hidden="false" customHeight="false" outlineLevel="0" collapsed="false">
      <c r="A238" s="28"/>
      <c r="B238" s="9"/>
      <c r="C238" s="9"/>
      <c r="D238" s="9"/>
      <c r="E238" s="9"/>
      <c r="F238" s="9"/>
      <c r="G238" s="9"/>
      <c r="H238" s="9"/>
      <c r="I238" s="9"/>
      <c r="J238" s="26"/>
    </row>
    <row r="239" customFormat="false" ht="15" hidden="false" customHeight="false" outlineLevel="0" collapsed="false">
      <c r="A239" s="28"/>
      <c r="B239" s="9"/>
      <c r="C239" s="9"/>
      <c r="D239" s="9"/>
      <c r="E239" s="9"/>
      <c r="F239" s="9"/>
      <c r="G239" s="9"/>
      <c r="H239" s="9"/>
      <c r="I239" s="9"/>
      <c r="J239" s="26"/>
    </row>
    <row r="240" customFormat="false" ht="15" hidden="false" customHeight="false" outlineLevel="0" collapsed="false">
      <c r="A240" s="28"/>
      <c r="B240" s="9"/>
      <c r="C240" s="9"/>
      <c r="D240" s="9"/>
      <c r="E240" s="9"/>
      <c r="F240" s="9"/>
      <c r="G240" s="9"/>
      <c r="H240" s="9"/>
      <c r="I240" s="9"/>
      <c r="J240" s="26"/>
    </row>
    <row r="241" customFormat="false" ht="15" hidden="false" customHeight="false" outlineLevel="0" collapsed="false">
      <c r="A241" s="28"/>
      <c r="B241" s="9"/>
      <c r="C241" s="9"/>
      <c r="D241" s="9"/>
      <c r="E241" s="9"/>
      <c r="F241" s="9"/>
      <c r="G241" s="9"/>
      <c r="H241" s="9"/>
      <c r="I241" s="9"/>
      <c r="J241" s="26"/>
    </row>
    <row r="242" customFormat="false" ht="15" hidden="false" customHeight="false" outlineLevel="0" collapsed="false">
      <c r="A242" s="28"/>
      <c r="B242" s="9"/>
      <c r="C242" s="9"/>
      <c r="D242" s="9"/>
      <c r="E242" s="9"/>
      <c r="F242" s="9"/>
      <c r="G242" s="9"/>
      <c r="H242" s="9"/>
      <c r="I242" s="9"/>
      <c r="J242" s="26"/>
    </row>
    <row r="243" customFormat="false" ht="15" hidden="false" customHeight="false" outlineLevel="0" collapsed="false">
      <c r="A243" s="28"/>
      <c r="B243" s="9"/>
      <c r="C243" s="9"/>
      <c r="D243" s="9"/>
      <c r="E243" s="9"/>
      <c r="F243" s="9"/>
      <c r="G243" s="9"/>
      <c r="H243" s="9"/>
      <c r="I243" s="9"/>
      <c r="J243" s="26"/>
    </row>
    <row r="244" customFormat="false" ht="15" hidden="false" customHeight="false" outlineLevel="0" collapsed="false">
      <c r="A244" s="28"/>
      <c r="B244" s="9"/>
      <c r="C244" s="9"/>
      <c r="D244" s="9"/>
      <c r="E244" s="9"/>
      <c r="F244" s="9"/>
      <c r="G244" s="9"/>
      <c r="H244" s="9"/>
      <c r="I244" s="9"/>
      <c r="J244" s="26"/>
    </row>
    <row r="245" customFormat="false" ht="15" hidden="false" customHeight="false" outlineLevel="0" collapsed="false">
      <c r="A245" s="28"/>
      <c r="B245" s="9"/>
      <c r="C245" s="9"/>
      <c r="D245" s="9"/>
      <c r="E245" s="9"/>
      <c r="F245" s="9"/>
      <c r="G245" s="9"/>
      <c r="H245" s="9"/>
      <c r="I245" s="9"/>
      <c r="J245" s="26"/>
    </row>
    <row r="246" customFormat="false" ht="15" hidden="false" customHeight="false" outlineLevel="0" collapsed="false">
      <c r="A246" s="28"/>
      <c r="B246" s="9"/>
      <c r="C246" s="9"/>
      <c r="D246" s="9"/>
      <c r="E246" s="9"/>
      <c r="F246" s="9"/>
      <c r="G246" s="9"/>
      <c r="H246" s="9"/>
      <c r="I246" s="9"/>
      <c r="J246" s="26"/>
    </row>
    <row r="247" customFormat="false" ht="15" hidden="false" customHeight="false" outlineLevel="0" collapsed="false">
      <c r="A247" s="28"/>
      <c r="B247" s="9"/>
      <c r="C247" s="9"/>
      <c r="D247" s="9"/>
      <c r="E247" s="9"/>
      <c r="F247" s="9"/>
      <c r="G247" s="9"/>
      <c r="H247" s="9"/>
      <c r="I247" s="9"/>
      <c r="J247" s="26"/>
    </row>
    <row r="248" customFormat="false" ht="15" hidden="false" customHeight="false" outlineLevel="0" collapsed="false">
      <c r="A248" s="28"/>
      <c r="B248" s="9"/>
      <c r="C248" s="9"/>
      <c r="D248" s="9"/>
      <c r="E248" s="9"/>
      <c r="F248" s="9"/>
      <c r="G248" s="9"/>
      <c r="H248" s="9"/>
      <c r="I248" s="9"/>
      <c r="J248" s="26"/>
    </row>
    <row r="249" customFormat="false" ht="15" hidden="false" customHeight="false" outlineLevel="0" collapsed="false">
      <c r="A249" s="28"/>
      <c r="B249" s="9"/>
      <c r="C249" s="9"/>
      <c r="D249" s="9"/>
      <c r="E249" s="9"/>
      <c r="F249" s="9"/>
      <c r="G249" s="9"/>
      <c r="H249" s="9"/>
      <c r="I249" s="9"/>
      <c r="J249" s="26"/>
    </row>
    <row r="250" customFormat="false" ht="15" hidden="false" customHeight="false" outlineLevel="0" collapsed="false">
      <c r="A250" s="28"/>
      <c r="B250" s="9"/>
      <c r="C250" s="9"/>
      <c r="D250" s="9"/>
      <c r="E250" s="9"/>
      <c r="F250" s="9"/>
      <c r="G250" s="9"/>
      <c r="H250" s="9"/>
      <c r="I250" s="9"/>
      <c r="J250" s="26"/>
    </row>
    <row r="251" customFormat="false" ht="15" hidden="false" customHeight="false" outlineLevel="0" collapsed="false">
      <c r="A251" s="28"/>
      <c r="B251" s="9"/>
      <c r="C251" s="9"/>
      <c r="D251" s="9"/>
      <c r="E251" s="9"/>
      <c r="F251" s="9"/>
      <c r="G251" s="9"/>
      <c r="H251" s="9"/>
      <c r="I251" s="9"/>
      <c r="J251" s="26"/>
    </row>
    <row r="252" customFormat="false" ht="15" hidden="false" customHeight="false" outlineLevel="0" collapsed="false">
      <c r="A252" s="28"/>
      <c r="B252" s="9"/>
      <c r="C252" s="9"/>
      <c r="D252" s="9"/>
      <c r="E252" s="9"/>
      <c r="F252" s="9"/>
      <c r="G252" s="9"/>
      <c r="H252" s="9"/>
      <c r="I252" s="9"/>
      <c r="J252" s="26"/>
    </row>
    <row r="253" customFormat="false" ht="15" hidden="false" customHeight="false" outlineLevel="0" collapsed="false">
      <c r="A253" s="28"/>
      <c r="B253" s="9"/>
      <c r="C253" s="9"/>
      <c r="D253" s="9"/>
      <c r="E253" s="9"/>
      <c r="F253" s="9"/>
      <c r="G253" s="9"/>
      <c r="H253" s="9"/>
      <c r="I253" s="9"/>
      <c r="J253" s="26"/>
    </row>
    <row r="254" customFormat="false" ht="15" hidden="false" customHeight="false" outlineLevel="0" collapsed="false">
      <c r="A254" s="28"/>
      <c r="B254" s="9"/>
      <c r="C254" s="9"/>
      <c r="D254" s="9"/>
      <c r="E254" s="9"/>
      <c r="F254" s="9"/>
      <c r="G254" s="9"/>
      <c r="H254" s="9"/>
      <c r="I254" s="9"/>
      <c r="J254" s="26"/>
    </row>
    <row r="255" customFormat="false" ht="15" hidden="false" customHeight="false" outlineLevel="0" collapsed="false">
      <c r="A255" s="28"/>
      <c r="B255" s="9"/>
      <c r="C255" s="9"/>
      <c r="D255" s="9"/>
      <c r="E255" s="9"/>
      <c r="F255" s="9"/>
      <c r="G255" s="9"/>
      <c r="H255" s="9"/>
      <c r="I255" s="9"/>
      <c r="J255" s="26"/>
    </row>
    <row r="256" customFormat="false" ht="15" hidden="false" customHeight="false" outlineLevel="0" collapsed="false">
      <c r="A256" s="28"/>
      <c r="B256" s="9"/>
      <c r="C256" s="9"/>
      <c r="D256" s="9"/>
      <c r="E256" s="9"/>
      <c r="F256" s="9"/>
      <c r="G256" s="9"/>
      <c r="H256" s="9"/>
      <c r="I256" s="9"/>
      <c r="J256" s="26"/>
    </row>
    <row r="257" customFormat="false" ht="15" hidden="false" customHeight="false" outlineLevel="0" collapsed="false">
      <c r="A257" s="28"/>
      <c r="B257" s="9"/>
      <c r="C257" s="9"/>
      <c r="D257" s="9"/>
      <c r="E257" s="9"/>
      <c r="F257" s="9"/>
      <c r="G257" s="9"/>
      <c r="H257" s="9"/>
      <c r="I257" s="9"/>
      <c r="J257" s="26"/>
    </row>
    <row r="258" customFormat="false" ht="15" hidden="false" customHeight="false" outlineLevel="0" collapsed="false">
      <c r="A258" s="28"/>
      <c r="B258" s="9"/>
      <c r="C258" s="9"/>
      <c r="D258" s="9"/>
      <c r="E258" s="9"/>
      <c r="F258" s="9"/>
      <c r="G258" s="9"/>
      <c r="H258" s="9"/>
      <c r="I258" s="9"/>
      <c r="J258" s="26"/>
    </row>
    <row r="259" customFormat="false" ht="15" hidden="false" customHeight="false" outlineLevel="0" collapsed="false">
      <c r="A259" s="28"/>
      <c r="B259" s="9"/>
      <c r="C259" s="9"/>
      <c r="D259" s="9"/>
      <c r="E259" s="9"/>
      <c r="F259" s="9"/>
      <c r="G259" s="9"/>
      <c r="H259" s="9"/>
      <c r="I259" s="9"/>
      <c r="J259" s="26"/>
    </row>
    <row r="260" customFormat="false" ht="15" hidden="false" customHeight="false" outlineLevel="0" collapsed="false">
      <c r="A260" s="28"/>
      <c r="B260" s="9"/>
      <c r="C260" s="9"/>
      <c r="D260" s="9"/>
      <c r="E260" s="9"/>
      <c r="F260" s="9"/>
      <c r="G260" s="9"/>
      <c r="H260" s="9"/>
      <c r="I260" s="9"/>
      <c r="J260" s="26"/>
    </row>
    <row r="261" customFormat="false" ht="15" hidden="false" customHeight="false" outlineLevel="0" collapsed="false">
      <c r="A261" s="28"/>
      <c r="B261" s="9"/>
      <c r="C261" s="9"/>
      <c r="D261" s="9"/>
      <c r="E261" s="9"/>
      <c r="F261" s="9"/>
      <c r="G261" s="9"/>
      <c r="H261" s="9"/>
      <c r="I261" s="9"/>
      <c r="J261" s="26"/>
    </row>
    <row r="262" customFormat="false" ht="15" hidden="false" customHeight="false" outlineLevel="0" collapsed="false">
      <c r="A262" s="28"/>
      <c r="B262" s="9"/>
      <c r="C262" s="9"/>
      <c r="D262" s="9"/>
      <c r="E262" s="9"/>
      <c r="F262" s="9"/>
      <c r="G262" s="9"/>
      <c r="H262" s="9"/>
      <c r="I262" s="9"/>
      <c r="J262" s="26"/>
    </row>
    <row r="263" customFormat="false" ht="15" hidden="false" customHeight="false" outlineLevel="0" collapsed="false">
      <c r="A263" s="28"/>
      <c r="B263" s="9"/>
      <c r="C263" s="9"/>
      <c r="D263" s="9"/>
      <c r="E263" s="9"/>
      <c r="F263" s="9"/>
      <c r="G263" s="9"/>
      <c r="H263" s="9"/>
      <c r="I263" s="9"/>
      <c r="J263" s="26"/>
    </row>
    <row r="264" customFormat="false" ht="15" hidden="false" customHeight="false" outlineLevel="0" collapsed="false">
      <c r="A264" s="28"/>
      <c r="B264" s="9"/>
      <c r="C264" s="9"/>
      <c r="D264" s="9"/>
      <c r="E264" s="9"/>
      <c r="F264" s="9"/>
      <c r="G264" s="9"/>
      <c r="H264" s="9"/>
      <c r="I264" s="9"/>
      <c r="J264" s="26"/>
    </row>
    <row r="265" customFormat="false" ht="15" hidden="false" customHeight="false" outlineLevel="0" collapsed="false">
      <c r="A265" s="28"/>
      <c r="B265" s="9"/>
      <c r="C265" s="9"/>
      <c r="D265" s="9"/>
      <c r="E265" s="9"/>
      <c r="F265" s="9"/>
      <c r="G265" s="9"/>
      <c r="H265" s="9"/>
      <c r="I265" s="9"/>
      <c r="J265" s="26"/>
    </row>
    <row r="266" customFormat="false" ht="15" hidden="false" customHeight="false" outlineLevel="0" collapsed="false">
      <c r="A266" s="28"/>
      <c r="B266" s="9"/>
      <c r="C266" s="9"/>
      <c r="D266" s="9"/>
      <c r="E266" s="9"/>
      <c r="F266" s="9"/>
      <c r="G266" s="9"/>
      <c r="H266" s="9"/>
      <c r="I266" s="9"/>
      <c r="J266" s="26"/>
    </row>
    <row r="267" customFormat="false" ht="15" hidden="false" customHeight="false" outlineLevel="0" collapsed="false">
      <c r="A267" s="28"/>
      <c r="B267" s="9"/>
      <c r="C267" s="9"/>
      <c r="D267" s="9"/>
      <c r="E267" s="9"/>
      <c r="F267" s="9"/>
      <c r="G267" s="9"/>
      <c r="H267" s="9"/>
      <c r="I267" s="9"/>
      <c r="J267" s="26"/>
    </row>
    <row r="268" customFormat="false" ht="15" hidden="false" customHeight="false" outlineLevel="0" collapsed="false">
      <c r="A268" s="28"/>
      <c r="B268" s="9"/>
      <c r="C268" s="9"/>
      <c r="D268" s="9"/>
      <c r="E268" s="9"/>
      <c r="F268" s="9"/>
      <c r="G268" s="9"/>
      <c r="H268" s="9"/>
      <c r="I268" s="9"/>
      <c r="J268" s="26"/>
    </row>
    <row r="269" customFormat="false" ht="15" hidden="false" customHeight="false" outlineLevel="0" collapsed="false">
      <c r="A269" s="28"/>
      <c r="B269" s="9"/>
      <c r="C269" s="9"/>
      <c r="D269" s="9"/>
      <c r="E269" s="9"/>
      <c r="F269" s="9"/>
      <c r="G269" s="9"/>
      <c r="H269" s="9"/>
      <c r="I269" s="9"/>
      <c r="J269" s="26"/>
    </row>
    <row r="270" customFormat="false" ht="15" hidden="false" customHeight="false" outlineLevel="0" collapsed="false">
      <c r="A270" s="28"/>
      <c r="B270" s="9"/>
      <c r="C270" s="9"/>
      <c r="D270" s="9"/>
      <c r="E270" s="9"/>
      <c r="F270" s="9"/>
      <c r="G270" s="9"/>
      <c r="H270" s="9"/>
      <c r="I270" s="9"/>
      <c r="J270" s="26"/>
    </row>
    <row r="271" customFormat="false" ht="15" hidden="false" customHeight="false" outlineLevel="0" collapsed="false">
      <c r="A271" s="28"/>
      <c r="B271" s="9"/>
      <c r="C271" s="9"/>
      <c r="D271" s="9"/>
      <c r="E271" s="9"/>
      <c r="F271" s="9"/>
      <c r="G271" s="9"/>
      <c r="H271" s="9"/>
      <c r="I271" s="9"/>
      <c r="J271" s="26"/>
    </row>
    <row r="272" customFormat="false" ht="15" hidden="false" customHeight="false" outlineLevel="0" collapsed="false">
      <c r="A272" s="28"/>
      <c r="B272" s="9"/>
      <c r="C272" s="9"/>
      <c r="D272" s="9"/>
      <c r="E272" s="9"/>
      <c r="F272" s="9"/>
      <c r="G272" s="9"/>
      <c r="H272" s="9"/>
      <c r="I272" s="9"/>
      <c r="J272" s="26"/>
    </row>
    <row r="273" customFormat="false" ht="15" hidden="false" customHeight="false" outlineLevel="0" collapsed="false">
      <c r="A273" s="28"/>
      <c r="B273" s="9"/>
      <c r="C273" s="9"/>
      <c r="D273" s="9"/>
      <c r="E273" s="9"/>
      <c r="F273" s="9"/>
      <c r="G273" s="9"/>
      <c r="H273" s="9"/>
      <c r="I273" s="9"/>
      <c r="J273" s="26"/>
    </row>
    <row r="274" customFormat="false" ht="15" hidden="false" customHeight="false" outlineLevel="0" collapsed="false">
      <c r="A274" s="28"/>
      <c r="B274" s="9"/>
      <c r="C274" s="9"/>
      <c r="D274" s="9"/>
      <c r="E274" s="9"/>
      <c r="F274" s="9"/>
      <c r="G274" s="9"/>
      <c r="H274" s="9"/>
      <c r="I274" s="9"/>
      <c r="J274" s="26"/>
    </row>
    <row r="275" customFormat="false" ht="15" hidden="false" customHeight="false" outlineLevel="0" collapsed="false">
      <c r="A275" s="28"/>
      <c r="B275" s="9"/>
      <c r="C275" s="9"/>
      <c r="D275" s="9"/>
      <c r="E275" s="9"/>
      <c r="F275" s="9"/>
      <c r="G275" s="9"/>
      <c r="H275" s="9"/>
      <c r="I275" s="9"/>
      <c r="J275" s="26"/>
    </row>
    <row r="276" customFormat="false" ht="15" hidden="false" customHeight="false" outlineLevel="0" collapsed="false">
      <c r="A276" s="28"/>
      <c r="B276" s="9"/>
      <c r="C276" s="9"/>
      <c r="D276" s="9"/>
      <c r="E276" s="9"/>
      <c r="F276" s="9"/>
      <c r="G276" s="9"/>
      <c r="H276" s="9"/>
      <c r="I276" s="9"/>
      <c r="J276" s="26"/>
    </row>
    <row r="277" customFormat="false" ht="15" hidden="false" customHeight="false" outlineLevel="0" collapsed="false">
      <c r="A277" s="28"/>
      <c r="B277" s="9"/>
      <c r="C277" s="9"/>
      <c r="D277" s="9"/>
      <c r="E277" s="9"/>
      <c r="F277" s="9"/>
      <c r="G277" s="9"/>
      <c r="H277" s="9"/>
      <c r="I277" s="9"/>
      <c r="J277" s="26"/>
    </row>
    <row r="278" customFormat="false" ht="15" hidden="false" customHeight="false" outlineLevel="0" collapsed="false">
      <c r="A278" s="28"/>
      <c r="B278" s="9"/>
      <c r="C278" s="9"/>
      <c r="D278" s="9"/>
      <c r="E278" s="9"/>
      <c r="F278" s="9"/>
      <c r="G278" s="9"/>
      <c r="H278" s="9"/>
      <c r="I278" s="9"/>
      <c r="J278" s="26"/>
    </row>
    <row r="279" customFormat="false" ht="15" hidden="false" customHeight="false" outlineLevel="0" collapsed="false">
      <c r="A279" s="28"/>
      <c r="B279" s="9"/>
      <c r="C279" s="9"/>
      <c r="D279" s="9"/>
      <c r="E279" s="9"/>
      <c r="F279" s="9"/>
      <c r="G279" s="9"/>
      <c r="H279" s="9"/>
      <c r="I279" s="9"/>
      <c r="J279" s="26"/>
    </row>
    <row r="280" customFormat="false" ht="15" hidden="false" customHeight="false" outlineLevel="0" collapsed="false">
      <c r="A280" s="28"/>
      <c r="B280" s="9"/>
      <c r="C280" s="9"/>
      <c r="D280" s="9"/>
      <c r="E280" s="9"/>
      <c r="F280" s="9"/>
      <c r="G280" s="9"/>
      <c r="H280" s="9"/>
      <c r="I280" s="9"/>
      <c r="J280" s="26"/>
    </row>
    <row r="281" customFormat="false" ht="15" hidden="false" customHeight="false" outlineLevel="0" collapsed="false">
      <c r="A281" s="28"/>
      <c r="B281" s="9"/>
      <c r="C281" s="9"/>
      <c r="D281" s="9"/>
      <c r="E281" s="9"/>
      <c r="F281" s="9"/>
      <c r="G281" s="9"/>
      <c r="H281" s="9"/>
      <c r="I281" s="9"/>
      <c r="J281" s="26"/>
    </row>
    <row r="282" customFormat="false" ht="15" hidden="false" customHeight="false" outlineLevel="0" collapsed="false">
      <c r="A282" s="28"/>
      <c r="B282" s="9"/>
      <c r="C282" s="9"/>
      <c r="D282" s="9"/>
      <c r="E282" s="9"/>
      <c r="F282" s="9"/>
      <c r="G282" s="9"/>
      <c r="H282" s="9"/>
      <c r="I282" s="9"/>
      <c r="J282" s="26"/>
    </row>
    <row r="283" customFormat="false" ht="15" hidden="false" customHeight="false" outlineLevel="0" collapsed="false">
      <c r="A283" s="28"/>
      <c r="B283" s="9"/>
      <c r="C283" s="9"/>
      <c r="D283" s="9"/>
      <c r="E283" s="9"/>
      <c r="F283" s="9"/>
      <c r="G283" s="9"/>
      <c r="H283" s="9"/>
      <c r="I283" s="9"/>
      <c r="J283" s="26"/>
    </row>
    <row r="284" customFormat="false" ht="15" hidden="false" customHeight="false" outlineLevel="0" collapsed="false">
      <c r="A284" s="28"/>
      <c r="B284" s="9"/>
      <c r="C284" s="9"/>
      <c r="D284" s="9"/>
      <c r="E284" s="9"/>
      <c r="F284" s="9"/>
      <c r="G284" s="9"/>
      <c r="H284" s="9"/>
      <c r="I284" s="9"/>
      <c r="J284" s="26"/>
    </row>
    <row r="285" customFormat="false" ht="15" hidden="false" customHeight="false" outlineLevel="0" collapsed="false">
      <c r="A285" s="28"/>
      <c r="B285" s="9"/>
      <c r="C285" s="9"/>
      <c r="D285" s="9"/>
      <c r="E285" s="9"/>
      <c r="F285" s="9"/>
      <c r="G285" s="9"/>
      <c r="H285" s="9"/>
      <c r="I285" s="9"/>
      <c r="J285" s="26"/>
    </row>
    <row r="286" customFormat="false" ht="15" hidden="false" customHeight="false" outlineLevel="0" collapsed="false">
      <c r="A286" s="28"/>
      <c r="B286" s="9"/>
      <c r="C286" s="9"/>
      <c r="D286" s="9"/>
      <c r="E286" s="9"/>
      <c r="F286" s="9"/>
      <c r="G286" s="9"/>
      <c r="H286" s="9"/>
      <c r="I286" s="9"/>
      <c r="J286" s="26"/>
    </row>
    <row r="287" customFormat="false" ht="15" hidden="false" customHeight="false" outlineLevel="0" collapsed="false">
      <c r="A287" s="28"/>
      <c r="B287" s="9"/>
      <c r="C287" s="9"/>
      <c r="D287" s="9"/>
      <c r="E287" s="9"/>
      <c r="F287" s="9"/>
      <c r="G287" s="9"/>
      <c r="H287" s="9"/>
      <c r="I287" s="9"/>
      <c r="J287" s="26"/>
    </row>
    <row r="288" customFormat="false" ht="15" hidden="false" customHeight="false" outlineLevel="0" collapsed="false">
      <c r="A288" s="28"/>
      <c r="B288" s="9"/>
      <c r="C288" s="9"/>
      <c r="D288" s="9"/>
      <c r="E288" s="9"/>
      <c r="F288" s="9"/>
      <c r="G288" s="9"/>
      <c r="H288" s="9"/>
      <c r="I288" s="9"/>
      <c r="J288" s="26"/>
    </row>
    <row r="289" customFormat="false" ht="15" hidden="false" customHeight="false" outlineLevel="0" collapsed="false">
      <c r="A289" s="28"/>
      <c r="B289" s="9"/>
      <c r="C289" s="9"/>
      <c r="D289" s="9"/>
      <c r="E289" s="9"/>
      <c r="F289" s="9"/>
      <c r="G289" s="9"/>
      <c r="H289" s="9"/>
      <c r="I289" s="9"/>
      <c r="J289" s="26"/>
    </row>
    <row r="290" customFormat="false" ht="15" hidden="false" customHeight="false" outlineLevel="0" collapsed="false">
      <c r="A290" s="28"/>
      <c r="B290" s="9"/>
      <c r="C290" s="9"/>
      <c r="D290" s="9"/>
      <c r="E290" s="9"/>
      <c r="F290" s="9"/>
      <c r="G290" s="9"/>
      <c r="H290" s="9"/>
      <c r="I290" s="9"/>
      <c r="J290" s="26"/>
    </row>
    <row r="291" customFormat="false" ht="15" hidden="false" customHeight="false" outlineLevel="0" collapsed="false">
      <c r="A291" s="28"/>
      <c r="B291" s="9"/>
      <c r="C291" s="9"/>
      <c r="D291" s="9"/>
      <c r="E291" s="9"/>
      <c r="F291" s="9"/>
      <c r="G291" s="9"/>
      <c r="H291" s="9"/>
      <c r="I291" s="9"/>
      <c r="J291" s="26"/>
    </row>
    <row r="292" customFormat="false" ht="15" hidden="false" customHeight="false" outlineLevel="0" collapsed="false">
      <c r="A292" s="28"/>
      <c r="B292" s="9"/>
      <c r="C292" s="9"/>
      <c r="D292" s="9"/>
      <c r="E292" s="9"/>
      <c r="F292" s="9"/>
      <c r="G292" s="9"/>
      <c r="H292" s="9"/>
      <c r="I292" s="9"/>
      <c r="J292" s="26"/>
    </row>
    <row r="293" customFormat="false" ht="15" hidden="false" customHeight="false" outlineLevel="0" collapsed="false">
      <c r="A293" s="28"/>
      <c r="B293" s="9"/>
      <c r="C293" s="9"/>
      <c r="D293" s="9"/>
      <c r="E293" s="9"/>
      <c r="F293" s="9"/>
      <c r="G293" s="9"/>
      <c r="H293" s="9"/>
      <c r="I293" s="9"/>
      <c r="J293" s="26"/>
    </row>
    <row r="294" customFormat="false" ht="15" hidden="false" customHeight="false" outlineLevel="0" collapsed="false">
      <c r="A294" s="28"/>
      <c r="B294" s="9"/>
      <c r="C294" s="9"/>
      <c r="D294" s="9"/>
      <c r="E294" s="9"/>
      <c r="F294" s="9"/>
      <c r="G294" s="9"/>
      <c r="H294" s="9"/>
      <c r="I294" s="9"/>
      <c r="J294" s="26"/>
    </row>
    <row r="295" customFormat="false" ht="15" hidden="false" customHeight="false" outlineLevel="0" collapsed="false">
      <c r="A295" s="28"/>
      <c r="B295" s="9"/>
      <c r="C295" s="9"/>
      <c r="D295" s="9"/>
      <c r="E295" s="9"/>
      <c r="F295" s="9"/>
      <c r="G295" s="9"/>
      <c r="H295" s="9"/>
      <c r="I295" s="9"/>
      <c r="J295" s="26"/>
    </row>
    <row r="296" customFormat="false" ht="15" hidden="false" customHeight="false" outlineLevel="0" collapsed="false">
      <c r="A296" s="28"/>
      <c r="B296" s="9"/>
      <c r="C296" s="9"/>
      <c r="D296" s="9"/>
      <c r="E296" s="9"/>
      <c r="F296" s="9"/>
      <c r="G296" s="9"/>
      <c r="H296" s="9"/>
      <c r="I296" s="9"/>
      <c r="J296" s="26"/>
    </row>
    <row r="297" customFormat="false" ht="15" hidden="false" customHeight="false" outlineLevel="0" collapsed="false">
      <c r="A297" s="28"/>
      <c r="B297" s="9"/>
      <c r="C297" s="9"/>
      <c r="D297" s="9"/>
      <c r="E297" s="9"/>
      <c r="F297" s="9"/>
      <c r="G297" s="9"/>
      <c r="H297" s="9"/>
      <c r="I297" s="9"/>
      <c r="J297" s="26"/>
    </row>
    <row r="298" customFormat="false" ht="15" hidden="false" customHeight="false" outlineLevel="0" collapsed="false">
      <c r="A298" s="28"/>
      <c r="B298" s="9"/>
      <c r="C298" s="9"/>
      <c r="D298" s="9"/>
      <c r="E298" s="9"/>
      <c r="F298" s="9"/>
      <c r="G298" s="9"/>
      <c r="H298" s="9"/>
      <c r="I298" s="9"/>
      <c r="J298" s="26"/>
    </row>
    <row r="299" customFormat="false" ht="15" hidden="false" customHeight="false" outlineLevel="0" collapsed="false">
      <c r="A299" s="28"/>
      <c r="B299" s="9"/>
      <c r="C299" s="9"/>
      <c r="D299" s="9"/>
      <c r="E299" s="9"/>
      <c r="F299" s="9"/>
      <c r="G299" s="9"/>
      <c r="H299" s="9"/>
      <c r="I299" s="9"/>
      <c r="J299" s="26"/>
    </row>
    <row r="300" customFormat="false" ht="15" hidden="false" customHeight="false" outlineLevel="0" collapsed="false">
      <c r="A300" s="28"/>
      <c r="B300" s="9"/>
      <c r="C300" s="9"/>
      <c r="D300" s="9"/>
      <c r="E300" s="9"/>
      <c r="F300" s="9"/>
      <c r="G300" s="9"/>
      <c r="H300" s="9"/>
      <c r="I300" s="9"/>
      <c r="J300" s="26"/>
    </row>
    <row r="301" customFormat="false" ht="15" hidden="false" customHeight="false" outlineLevel="0" collapsed="false">
      <c r="A301" s="28"/>
      <c r="B301" s="9"/>
      <c r="C301" s="9"/>
      <c r="D301" s="9"/>
      <c r="E301" s="9"/>
      <c r="F301" s="9"/>
      <c r="G301" s="9"/>
      <c r="H301" s="9"/>
      <c r="I301" s="9"/>
      <c r="J301" s="26"/>
    </row>
  </sheetData>
  <autoFilter ref="A1:J301"/>
  <conditionalFormatting sqref="D2:F301">
    <cfRule type="cellIs" priority="2" operator="equal" aboveAverage="0" equalAverage="0" bottom="0" percent="0" rank="0" text="" dxfId="15">
      <formula>"Falla"</formula>
    </cfRule>
  </conditionalFormatting>
  <conditionalFormatting sqref="H2:H301">
    <cfRule type="cellIs" priority="3" operator="equal" aboveAverage="0" equalAverage="0" bottom="0" percent="0" rank="0" text="" dxfId="15">
      <formula>"Encendido"</formula>
    </cfRule>
  </conditionalFormatting>
  <conditionalFormatting sqref="G2:G301">
    <cfRule type="cellIs" priority="4" operator="equal" aboveAverage="0" equalAverage="0" bottom="0" percent="0" rank="0" text="" dxfId="11">
      <formula>"Reserva"</formula>
    </cfRule>
  </conditionalFormatting>
  <dataValidations count="8">
    <dataValidation allowBlank="true" error="Usa un ID de vehículo que exista en la pestaña Vehículos." errorStyle="stop" errorTitle="Valor no permitido" operator="between" showDropDown="false" showErrorMessage="true" showInputMessage="false" sqref="B2:B301" type="list">
      <formula1>Vehículos!$A$2:$A$301</formula1>
      <formula2>0</formula2>
    </dataValidation>
    <dataValidation allowBlank="true" error="Usa un ID de conductor que exista en la pestaña Conductores." errorStyle="stop" errorTitle="Valor no permitido" operator="between" showDropDown="false" showErrorMessage="true" showInputMessage="false" sqref="C2:C301" type="list">
      <formula1>Conductores!$A$2:$A$301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D2:D301" type="list">
      <formula1>Listas!$K$2:$K$3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E2:E301" type="list">
      <formula1>Listas!$K$2:$K$3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F2:F301" type="list">
      <formula1>Listas!$K$2:$K$3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G2:G301" type="list">
      <formula1>Listas!$L$2:$L$6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H2:H301" type="list">
      <formula1>Listas!$M$2:$M$3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I2:I301" type="list">
      <formula1>Listas!$J$2:$J$3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31.5" hidden="false" customHeight="true" outlineLevel="0" collapsed="false">
      <c r="A1" s="17" t="s">
        <v>134</v>
      </c>
      <c r="B1" s="17" t="s">
        <v>198</v>
      </c>
      <c r="C1" s="17" t="s">
        <v>199</v>
      </c>
      <c r="D1" s="17" t="s">
        <v>200</v>
      </c>
      <c r="E1" s="17" t="s">
        <v>201</v>
      </c>
      <c r="F1" s="17" t="s">
        <v>202</v>
      </c>
      <c r="G1" s="17" t="s">
        <v>142</v>
      </c>
      <c r="H1" s="17" t="s">
        <v>203</v>
      </c>
      <c r="I1" s="17" t="s">
        <v>204</v>
      </c>
    </row>
    <row r="2" customFormat="false" ht="15" hidden="false" customHeight="false" outlineLevel="0" collapsed="false">
      <c r="A2" s="20" t="s">
        <v>149</v>
      </c>
      <c r="B2" s="20" t="s">
        <v>205</v>
      </c>
      <c r="C2" s="20" t="s">
        <v>206</v>
      </c>
      <c r="D2" s="20" t="s">
        <v>207</v>
      </c>
      <c r="E2" s="20" t="s">
        <v>208</v>
      </c>
      <c r="F2" s="20" t="s">
        <v>209</v>
      </c>
      <c r="G2" s="20" t="s">
        <v>210</v>
      </c>
      <c r="H2" s="19" t="n">
        <v>46461</v>
      </c>
      <c r="I2" s="20" t="s">
        <v>150</v>
      </c>
    </row>
    <row r="3" customFormat="false" ht="15" hidden="false" customHeight="false" outlineLevel="0" collapsed="false">
      <c r="A3" s="20" t="s">
        <v>153</v>
      </c>
      <c r="B3" s="20" t="s">
        <v>211</v>
      </c>
      <c r="C3" s="20" t="s">
        <v>212</v>
      </c>
      <c r="D3" s="20" t="s">
        <v>207</v>
      </c>
      <c r="E3" s="20" t="s">
        <v>208</v>
      </c>
      <c r="F3" s="20" t="s">
        <v>213</v>
      </c>
      <c r="G3" s="20" t="s">
        <v>210</v>
      </c>
      <c r="H3" s="19" t="n">
        <v>46357</v>
      </c>
      <c r="I3" s="20" t="s">
        <v>154</v>
      </c>
    </row>
    <row r="4" customFormat="false" ht="15" hidden="false" customHeight="false" outlineLevel="0" collapsed="false">
      <c r="A4" s="20" t="s">
        <v>164</v>
      </c>
      <c r="B4" s="20" t="s">
        <v>214</v>
      </c>
      <c r="C4" s="20" t="s">
        <v>215</v>
      </c>
      <c r="D4" s="20" t="s">
        <v>216</v>
      </c>
      <c r="E4" s="20" t="s">
        <v>217</v>
      </c>
      <c r="F4" s="20" t="s">
        <v>209</v>
      </c>
      <c r="G4" s="20" t="s">
        <v>210</v>
      </c>
      <c r="H4" s="19" t="n">
        <v>46619</v>
      </c>
      <c r="I4" s="20" t="s">
        <v>165</v>
      </c>
    </row>
    <row r="5" customFormat="false" ht="15" hidden="false" customHeight="false" outlineLevel="0" collapsed="false">
      <c r="A5" s="20" t="s">
        <v>158</v>
      </c>
      <c r="B5" s="20" t="s">
        <v>218</v>
      </c>
      <c r="C5" s="20" t="s">
        <v>219</v>
      </c>
      <c r="D5" s="20" t="s">
        <v>220</v>
      </c>
      <c r="E5" s="20" t="s">
        <v>221</v>
      </c>
      <c r="F5" s="20" t="s">
        <v>222</v>
      </c>
      <c r="G5" s="20" t="s">
        <v>210</v>
      </c>
      <c r="H5" s="19" t="n">
        <v>46397</v>
      </c>
      <c r="I5" s="20" t="s">
        <v>159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23"/>
      <c r="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23"/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23"/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23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23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23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23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23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23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23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23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23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23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23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23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23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23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23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23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23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23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23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23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23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23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23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23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23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23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23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23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23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23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23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23"/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23"/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23"/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23"/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23"/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23"/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23"/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23"/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23"/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23"/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23"/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23"/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23"/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23"/>
      <c r="I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23"/>
      <c r="I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23"/>
      <c r="I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23"/>
      <c r="I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23"/>
      <c r="I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23"/>
      <c r="I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23"/>
      <c r="I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23"/>
      <c r="I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23"/>
      <c r="I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23"/>
      <c r="I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23"/>
      <c r="I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23"/>
      <c r="I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23"/>
      <c r="I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23"/>
      <c r="I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23"/>
      <c r="I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23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23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23"/>
      <c r="I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23"/>
      <c r="I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23"/>
      <c r="I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23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23"/>
      <c r="I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23"/>
      <c r="I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23"/>
      <c r="I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23"/>
      <c r="I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23"/>
      <c r="I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23"/>
      <c r="I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23"/>
      <c r="I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23"/>
      <c r="I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23"/>
      <c r="I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23"/>
      <c r="I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23"/>
      <c r="I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23"/>
      <c r="I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23"/>
      <c r="I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23"/>
      <c r="I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23"/>
      <c r="I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23"/>
      <c r="I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23"/>
      <c r="I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23"/>
      <c r="I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23"/>
      <c r="I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23"/>
      <c r="I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23"/>
      <c r="I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23"/>
      <c r="I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23"/>
      <c r="I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23"/>
      <c r="I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23"/>
      <c r="I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23"/>
      <c r="I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23"/>
      <c r="I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23"/>
      <c r="I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23"/>
      <c r="I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23"/>
      <c r="I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23"/>
      <c r="I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23"/>
      <c r="I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23"/>
      <c r="I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23"/>
      <c r="I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23"/>
      <c r="I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23"/>
      <c r="I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23"/>
      <c r="I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23"/>
      <c r="I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23"/>
      <c r="I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23"/>
      <c r="I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23"/>
      <c r="I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23"/>
      <c r="I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23"/>
      <c r="I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23"/>
      <c r="I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23"/>
      <c r="I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23"/>
      <c r="I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23"/>
      <c r="I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23"/>
      <c r="I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23"/>
      <c r="I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23"/>
      <c r="I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23"/>
      <c r="I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23"/>
      <c r="I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23"/>
      <c r="I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23"/>
      <c r="I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23"/>
      <c r="I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23"/>
      <c r="I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23"/>
      <c r="I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23"/>
      <c r="I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23"/>
      <c r="I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23"/>
      <c r="I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23"/>
      <c r="I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23"/>
      <c r="I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23"/>
      <c r="I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23"/>
      <c r="I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23"/>
      <c r="I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23"/>
      <c r="I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23"/>
      <c r="I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23"/>
      <c r="I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23"/>
      <c r="I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23"/>
      <c r="I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23"/>
      <c r="I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23"/>
      <c r="I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23"/>
      <c r="I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23"/>
      <c r="I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23"/>
      <c r="I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23"/>
      <c r="I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23"/>
      <c r="I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23"/>
      <c r="I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23"/>
      <c r="I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23"/>
      <c r="I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23"/>
      <c r="I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23"/>
      <c r="I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23"/>
      <c r="I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23"/>
      <c r="I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23"/>
      <c r="I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23"/>
      <c r="I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23"/>
      <c r="I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23"/>
      <c r="I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23"/>
      <c r="I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23"/>
      <c r="I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23"/>
      <c r="I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23"/>
      <c r="I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23"/>
      <c r="I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23"/>
      <c r="I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23"/>
      <c r="I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23"/>
      <c r="I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23"/>
      <c r="I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23"/>
      <c r="I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23"/>
      <c r="I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23"/>
      <c r="I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23"/>
      <c r="I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23"/>
      <c r="I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23"/>
      <c r="I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23"/>
      <c r="I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23"/>
      <c r="I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23"/>
      <c r="I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23"/>
      <c r="I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23"/>
      <c r="I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23"/>
      <c r="I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23"/>
      <c r="I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23"/>
      <c r="I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23"/>
      <c r="I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23"/>
      <c r="I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23"/>
      <c r="I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23"/>
      <c r="I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23"/>
      <c r="I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23"/>
      <c r="I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23"/>
      <c r="I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23"/>
      <c r="I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23"/>
      <c r="I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23"/>
      <c r="I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23"/>
      <c r="I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23"/>
      <c r="I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23"/>
      <c r="I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23"/>
      <c r="I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23"/>
      <c r="I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23"/>
      <c r="I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23"/>
      <c r="I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23"/>
      <c r="I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23"/>
      <c r="I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23"/>
      <c r="I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23"/>
      <c r="I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23"/>
      <c r="I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23"/>
      <c r="I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23"/>
      <c r="I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23"/>
      <c r="I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23"/>
      <c r="I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23"/>
      <c r="I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23"/>
      <c r="I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23"/>
      <c r="I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23"/>
      <c r="I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23"/>
      <c r="I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23"/>
      <c r="I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23"/>
      <c r="I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23"/>
      <c r="I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23"/>
      <c r="I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23"/>
      <c r="I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23"/>
      <c r="I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23"/>
      <c r="I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23"/>
      <c r="I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23"/>
      <c r="I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23"/>
      <c r="I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23"/>
      <c r="I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23"/>
      <c r="I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23"/>
      <c r="I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23"/>
      <c r="I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23"/>
      <c r="I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23"/>
      <c r="I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23"/>
      <c r="I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23"/>
      <c r="I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23"/>
      <c r="I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23"/>
      <c r="I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23"/>
      <c r="I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23"/>
      <c r="I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23"/>
      <c r="I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23"/>
      <c r="I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23"/>
      <c r="I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23"/>
      <c r="I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23"/>
      <c r="I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23"/>
      <c r="I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23"/>
      <c r="I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23"/>
      <c r="I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23"/>
      <c r="I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23"/>
      <c r="I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23"/>
      <c r="I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23"/>
      <c r="I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23"/>
      <c r="I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23"/>
      <c r="I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23"/>
      <c r="I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23"/>
      <c r="I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23"/>
      <c r="I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23"/>
      <c r="I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23"/>
      <c r="I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23"/>
      <c r="I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23"/>
      <c r="I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23"/>
      <c r="I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23"/>
      <c r="I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23"/>
      <c r="I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23"/>
      <c r="I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23"/>
      <c r="I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23"/>
      <c r="I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23"/>
      <c r="I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23"/>
      <c r="I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23"/>
      <c r="I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23"/>
      <c r="I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23"/>
      <c r="I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23"/>
      <c r="I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23"/>
      <c r="I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23"/>
      <c r="I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23"/>
      <c r="I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23"/>
      <c r="I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23"/>
      <c r="I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23"/>
      <c r="I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23"/>
      <c r="I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23"/>
      <c r="I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23"/>
      <c r="I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23"/>
      <c r="I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23"/>
      <c r="I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23"/>
      <c r="I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23"/>
      <c r="I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23"/>
      <c r="I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23"/>
      <c r="I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23"/>
      <c r="I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23"/>
      <c r="I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23"/>
      <c r="I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23"/>
      <c r="I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23"/>
      <c r="I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23"/>
      <c r="I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23"/>
      <c r="I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23"/>
      <c r="I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23"/>
      <c r="I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23"/>
      <c r="I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23"/>
      <c r="I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23"/>
      <c r="I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23"/>
      <c r="I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23"/>
      <c r="I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23"/>
      <c r="I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23"/>
      <c r="I301" s="9"/>
    </row>
  </sheetData>
  <autoFilter ref="A1:I301"/>
  <conditionalFormatting sqref="A2:A301">
    <cfRule type="expression" priority="2" aboveAverage="0" equalAverage="0" bottom="0" percent="0" rank="0" text="" dxfId="14">
      <formula>AND(A2&lt;&gt;"",COUNTIF($A$2:$A$301,A2)&gt;1)</formula>
    </cfRule>
  </conditionalFormatting>
  <conditionalFormatting sqref="H2:H301">
    <cfRule type="expression" priority="3" aboveAverage="0" equalAverage="0" bottom="0" percent="0" rank="0" text="" dxfId="16">
      <formula>AND(H2&lt;&gt;"",H2&lt;TODAY()+30)</formula>
    </cfRule>
  </conditionalFormatting>
  <dataValidations count="6">
    <dataValidation allowBlank="true" error="Escribe una fecha válida, por ejemplo 09/10/2026." errorStyle="stop" errorTitle="Falta una fecha" operator="greaterThan" showDropDown="false" showErrorMessage="true" showInputMessage="false" sqref="H2:H301" type="date">
      <formula1>36526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D2:D301" type="list">
      <formula1>Listas!$A$2:$A$4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E2:E301" type="list">
      <formula1>Listas!$E$2:$E$4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F2:F301" type="list">
      <formula1>Listas!$D$2:$D$4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G2:G301" type="list">
      <formula1>Listas!$C$2:$C$4</formula1>
      <formula2>0</formula2>
    </dataValidation>
    <dataValidation allowBlank="true" error="Usa un ID de vehículo que exista en la pestaña Vehículos." errorStyle="stop" errorTitle="Valor no permitido" operator="between" showDropDown="false" showErrorMessage="true" showInputMessage="false" sqref="I2:I301" type="list">
      <formula1>Vehículos!$A$2:$A$301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17" t="s">
        <v>135</v>
      </c>
      <c r="B1" s="17" t="s">
        <v>200</v>
      </c>
      <c r="C1" s="17" t="s">
        <v>223</v>
      </c>
      <c r="D1" s="17" t="s">
        <v>186</v>
      </c>
      <c r="E1" s="17" t="s">
        <v>142</v>
      </c>
      <c r="F1" s="17" t="s">
        <v>224</v>
      </c>
      <c r="G1" s="17" t="s">
        <v>225</v>
      </c>
      <c r="H1" s="17" t="s">
        <v>145</v>
      </c>
    </row>
    <row r="2" customFormat="false" ht="15" hidden="false" customHeight="false" outlineLevel="0" collapsed="false">
      <c r="A2" s="20" t="s">
        <v>150</v>
      </c>
      <c r="B2" s="20" t="s">
        <v>207</v>
      </c>
      <c r="C2" s="20" t="s">
        <v>226</v>
      </c>
      <c r="D2" s="20" t="s">
        <v>227</v>
      </c>
      <c r="E2" s="20" t="s">
        <v>228</v>
      </c>
      <c r="F2" s="19" t="n">
        <v>46331</v>
      </c>
      <c r="G2" s="29" t="n">
        <v>18250</v>
      </c>
      <c r="H2" s="20"/>
    </row>
    <row r="3" customFormat="false" ht="15" hidden="false" customHeight="false" outlineLevel="0" collapsed="false">
      <c r="A3" s="20" t="s">
        <v>154</v>
      </c>
      <c r="B3" s="20" t="s">
        <v>207</v>
      </c>
      <c r="C3" s="20" t="s">
        <v>229</v>
      </c>
      <c r="D3" s="20" t="s">
        <v>227</v>
      </c>
      <c r="E3" s="20" t="s">
        <v>230</v>
      </c>
      <c r="F3" s="19" t="n">
        <v>46307</v>
      </c>
      <c r="G3" s="29" t="n">
        <v>31240</v>
      </c>
      <c r="H3" s="20" t="s">
        <v>231</v>
      </c>
    </row>
    <row r="4" customFormat="false" ht="15" hidden="false" customHeight="false" outlineLevel="0" collapsed="false">
      <c r="A4" s="20" t="s">
        <v>165</v>
      </c>
      <c r="B4" s="20" t="s">
        <v>216</v>
      </c>
      <c r="C4" s="20" t="s">
        <v>232</v>
      </c>
      <c r="D4" s="20" t="s">
        <v>233</v>
      </c>
      <c r="E4" s="20" t="s">
        <v>228</v>
      </c>
      <c r="F4" s="19" t="n">
        <v>46358</v>
      </c>
      <c r="G4" s="29" t="n">
        <v>74120</v>
      </c>
      <c r="H4" s="20"/>
    </row>
    <row r="5" customFormat="false" ht="15" hidden="false" customHeight="false" outlineLevel="0" collapsed="false">
      <c r="A5" s="20" t="s">
        <v>159</v>
      </c>
      <c r="B5" s="20" t="s">
        <v>220</v>
      </c>
      <c r="C5" s="20" t="s">
        <v>234</v>
      </c>
      <c r="D5" s="20" t="s">
        <v>233</v>
      </c>
      <c r="E5" s="20" t="s">
        <v>235</v>
      </c>
      <c r="F5" s="19" t="n">
        <v>46346</v>
      </c>
      <c r="G5" s="29" t="n">
        <v>212880</v>
      </c>
      <c r="H5" s="20"/>
    </row>
    <row r="6" customFormat="false" ht="15" hidden="false" customHeight="false" outlineLevel="0" collapsed="false">
      <c r="A6" s="9"/>
      <c r="B6" s="9"/>
      <c r="C6" s="9"/>
      <c r="D6" s="9"/>
      <c r="E6" s="9"/>
      <c r="F6" s="23"/>
      <c r="G6" s="30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23"/>
      <c r="G7" s="30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23"/>
      <c r="G8" s="30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23"/>
      <c r="G9" s="30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23"/>
      <c r="G10" s="30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23"/>
      <c r="G11" s="30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23"/>
      <c r="G12" s="30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23"/>
      <c r="G13" s="30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23"/>
      <c r="G14" s="30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23"/>
      <c r="G15" s="30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23"/>
      <c r="G16" s="30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23"/>
      <c r="G17" s="30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23"/>
      <c r="G18" s="30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23"/>
      <c r="G19" s="30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23"/>
      <c r="G20" s="30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23"/>
      <c r="G21" s="30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23"/>
      <c r="G22" s="30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23"/>
      <c r="G23" s="30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23"/>
      <c r="G24" s="30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23"/>
      <c r="G25" s="30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23"/>
      <c r="G26" s="30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23"/>
      <c r="G27" s="30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23"/>
      <c r="G28" s="30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23"/>
      <c r="G29" s="30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23"/>
      <c r="G30" s="30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23"/>
      <c r="G31" s="30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23"/>
      <c r="G32" s="30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23"/>
      <c r="G33" s="30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23"/>
      <c r="G34" s="30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23"/>
      <c r="G35" s="30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23"/>
      <c r="G36" s="30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23"/>
      <c r="G37" s="30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23"/>
      <c r="G38" s="30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23"/>
      <c r="G39" s="30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23"/>
      <c r="G40" s="30"/>
      <c r="H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23"/>
      <c r="G41" s="30"/>
      <c r="H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23"/>
      <c r="G42" s="30"/>
      <c r="H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23"/>
      <c r="G43" s="30"/>
      <c r="H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23"/>
      <c r="G44" s="30"/>
      <c r="H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23"/>
      <c r="G45" s="30"/>
      <c r="H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23"/>
      <c r="G46" s="30"/>
      <c r="H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23"/>
      <c r="G47" s="30"/>
      <c r="H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23"/>
      <c r="G48" s="30"/>
      <c r="H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23"/>
      <c r="G49" s="30"/>
      <c r="H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23"/>
      <c r="G50" s="30"/>
      <c r="H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23"/>
      <c r="G51" s="30"/>
      <c r="H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23"/>
      <c r="G52" s="30"/>
      <c r="H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23"/>
      <c r="G53" s="30"/>
      <c r="H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23"/>
      <c r="G54" s="30"/>
      <c r="H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23"/>
      <c r="G55" s="30"/>
      <c r="H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23"/>
      <c r="G56" s="30"/>
      <c r="H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23"/>
      <c r="G57" s="30"/>
      <c r="H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23"/>
      <c r="G58" s="30"/>
      <c r="H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23"/>
      <c r="G59" s="30"/>
      <c r="H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23"/>
      <c r="G60" s="30"/>
      <c r="H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23"/>
      <c r="G61" s="30"/>
      <c r="H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23"/>
      <c r="G62" s="30"/>
      <c r="H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23"/>
      <c r="G63" s="30"/>
      <c r="H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23"/>
      <c r="G64" s="30"/>
      <c r="H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23"/>
      <c r="G65" s="30"/>
      <c r="H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23"/>
      <c r="G66" s="30"/>
      <c r="H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23"/>
      <c r="G67" s="30"/>
      <c r="H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23"/>
      <c r="G68" s="30"/>
      <c r="H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23"/>
      <c r="G69" s="30"/>
      <c r="H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23"/>
      <c r="G70" s="30"/>
      <c r="H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23"/>
      <c r="G71" s="30"/>
      <c r="H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23"/>
      <c r="G72" s="30"/>
      <c r="H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23"/>
      <c r="G73" s="30"/>
      <c r="H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23"/>
      <c r="G74" s="30"/>
      <c r="H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23"/>
      <c r="G75" s="30"/>
      <c r="H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23"/>
      <c r="G76" s="30"/>
      <c r="H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23"/>
      <c r="G77" s="30"/>
      <c r="H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23"/>
      <c r="G78" s="30"/>
      <c r="H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23"/>
      <c r="G79" s="30"/>
      <c r="H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23"/>
      <c r="G80" s="30"/>
      <c r="H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23"/>
      <c r="G81" s="30"/>
      <c r="H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23"/>
      <c r="G82" s="30"/>
      <c r="H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23"/>
      <c r="G83" s="30"/>
      <c r="H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23"/>
      <c r="G84" s="30"/>
      <c r="H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23"/>
      <c r="G85" s="30"/>
      <c r="H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23"/>
      <c r="G86" s="30"/>
      <c r="H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23"/>
      <c r="G87" s="30"/>
      <c r="H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23"/>
      <c r="G88" s="30"/>
      <c r="H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23"/>
      <c r="G89" s="30"/>
      <c r="H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23"/>
      <c r="G90" s="30"/>
      <c r="H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23"/>
      <c r="G91" s="30"/>
      <c r="H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23"/>
      <c r="G92" s="30"/>
      <c r="H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23"/>
      <c r="G93" s="30"/>
      <c r="H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23"/>
      <c r="G94" s="30"/>
      <c r="H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23"/>
      <c r="G95" s="30"/>
      <c r="H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23"/>
      <c r="G96" s="30"/>
      <c r="H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23"/>
      <c r="G97" s="30"/>
      <c r="H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23"/>
      <c r="G98" s="30"/>
      <c r="H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23"/>
      <c r="G99" s="30"/>
      <c r="H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23"/>
      <c r="G100" s="30"/>
      <c r="H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23"/>
      <c r="G101" s="30"/>
      <c r="H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23"/>
      <c r="G102" s="30"/>
      <c r="H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23"/>
      <c r="G103" s="30"/>
      <c r="H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23"/>
      <c r="G104" s="30"/>
      <c r="H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23"/>
      <c r="G105" s="30"/>
      <c r="H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23"/>
      <c r="G106" s="30"/>
      <c r="H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23"/>
      <c r="G107" s="30"/>
      <c r="H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23"/>
      <c r="G108" s="30"/>
      <c r="H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23"/>
      <c r="G109" s="30"/>
      <c r="H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23"/>
      <c r="G110" s="30"/>
      <c r="H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23"/>
      <c r="G111" s="30"/>
      <c r="H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23"/>
      <c r="G112" s="30"/>
      <c r="H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23"/>
      <c r="G113" s="30"/>
      <c r="H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23"/>
      <c r="G114" s="30"/>
      <c r="H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23"/>
      <c r="G115" s="30"/>
      <c r="H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23"/>
      <c r="G116" s="30"/>
      <c r="H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23"/>
      <c r="G117" s="30"/>
      <c r="H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23"/>
      <c r="G118" s="30"/>
      <c r="H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23"/>
      <c r="G119" s="30"/>
      <c r="H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23"/>
      <c r="G120" s="30"/>
      <c r="H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23"/>
      <c r="G121" s="30"/>
      <c r="H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23"/>
      <c r="G122" s="30"/>
      <c r="H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23"/>
      <c r="G123" s="30"/>
      <c r="H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23"/>
      <c r="G124" s="30"/>
      <c r="H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23"/>
      <c r="G125" s="30"/>
      <c r="H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23"/>
      <c r="G126" s="30"/>
      <c r="H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23"/>
      <c r="G127" s="30"/>
      <c r="H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23"/>
      <c r="G128" s="30"/>
      <c r="H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23"/>
      <c r="G129" s="30"/>
      <c r="H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23"/>
      <c r="G130" s="30"/>
      <c r="H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23"/>
      <c r="G131" s="30"/>
      <c r="H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23"/>
      <c r="G132" s="30"/>
      <c r="H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23"/>
      <c r="G133" s="30"/>
      <c r="H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23"/>
      <c r="G134" s="30"/>
      <c r="H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23"/>
      <c r="G135" s="30"/>
      <c r="H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23"/>
      <c r="G136" s="30"/>
      <c r="H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23"/>
      <c r="G137" s="30"/>
      <c r="H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23"/>
      <c r="G138" s="30"/>
      <c r="H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23"/>
      <c r="G139" s="30"/>
      <c r="H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23"/>
      <c r="G140" s="30"/>
      <c r="H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23"/>
      <c r="G141" s="30"/>
      <c r="H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23"/>
      <c r="G142" s="30"/>
      <c r="H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23"/>
      <c r="G143" s="30"/>
      <c r="H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23"/>
      <c r="G144" s="30"/>
      <c r="H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23"/>
      <c r="G145" s="30"/>
      <c r="H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23"/>
      <c r="G146" s="30"/>
      <c r="H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23"/>
      <c r="G147" s="30"/>
      <c r="H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23"/>
      <c r="G148" s="30"/>
      <c r="H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23"/>
      <c r="G149" s="30"/>
      <c r="H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23"/>
      <c r="G150" s="30"/>
      <c r="H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23"/>
      <c r="G151" s="30"/>
      <c r="H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23"/>
      <c r="G152" s="30"/>
      <c r="H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23"/>
      <c r="G153" s="30"/>
      <c r="H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23"/>
      <c r="G154" s="30"/>
      <c r="H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23"/>
      <c r="G155" s="30"/>
      <c r="H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23"/>
      <c r="G156" s="30"/>
      <c r="H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23"/>
      <c r="G157" s="30"/>
      <c r="H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23"/>
      <c r="G158" s="30"/>
      <c r="H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23"/>
      <c r="G159" s="30"/>
      <c r="H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23"/>
      <c r="G160" s="30"/>
      <c r="H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23"/>
      <c r="G161" s="30"/>
      <c r="H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23"/>
      <c r="G162" s="30"/>
      <c r="H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23"/>
      <c r="G163" s="30"/>
      <c r="H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23"/>
      <c r="G164" s="30"/>
      <c r="H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23"/>
      <c r="G165" s="30"/>
      <c r="H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23"/>
      <c r="G166" s="30"/>
      <c r="H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23"/>
      <c r="G167" s="30"/>
      <c r="H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23"/>
      <c r="G168" s="30"/>
      <c r="H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23"/>
      <c r="G169" s="30"/>
      <c r="H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23"/>
      <c r="G170" s="30"/>
      <c r="H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23"/>
      <c r="G171" s="30"/>
      <c r="H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23"/>
      <c r="G172" s="30"/>
      <c r="H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23"/>
      <c r="G173" s="30"/>
      <c r="H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23"/>
      <c r="G174" s="30"/>
      <c r="H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23"/>
      <c r="G175" s="30"/>
      <c r="H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23"/>
      <c r="G176" s="30"/>
      <c r="H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23"/>
      <c r="G177" s="30"/>
      <c r="H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23"/>
      <c r="G178" s="30"/>
      <c r="H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23"/>
      <c r="G179" s="30"/>
      <c r="H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23"/>
      <c r="G180" s="30"/>
      <c r="H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23"/>
      <c r="G181" s="30"/>
      <c r="H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23"/>
      <c r="G182" s="30"/>
      <c r="H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23"/>
      <c r="G183" s="30"/>
      <c r="H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23"/>
      <c r="G184" s="30"/>
      <c r="H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23"/>
      <c r="G185" s="30"/>
      <c r="H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23"/>
      <c r="G186" s="30"/>
      <c r="H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23"/>
      <c r="G187" s="30"/>
      <c r="H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23"/>
      <c r="G188" s="30"/>
      <c r="H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23"/>
      <c r="G189" s="30"/>
      <c r="H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23"/>
      <c r="G190" s="30"/>
      <c r="H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23"/>
      <c r="G191" s="30"/>
      <c r="H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23"/>
      <c r="G192" s="30"/>
      <c r="H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23"/>
      <c r="G193" s="30"/>
      <c r="H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23"/>
      <c r="G194" s="30"/>
      <c r="H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23"/>
      <c r="G195" s="30"/>
      <c r="H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23"/>
      <c r="G196" s="30"/>
      <c r="H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23"/>
      <c r="G197" s="30"/>
      <c r="H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23"/>
      <c r="G198" s="30"/>
      <c r="H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23"/>
      <c r="G199" s="30"/>
      <c r="H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23"/>
      <c r="G200" s="30"/>
      <c r="H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23"/>
      <c r="G201" s="30"/>
      <c r="H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23"/>
      <c r="G202" s="30"/>
      <c r="H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23"/>
      <c r="G203" s="30"/>
      <c r="H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23"/>
      <c r="G204" s="30"/>
      <c r="H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23"/>
      <c r="G205" s="30"/>
      <c r="H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23"/>
      <c r="G206" s="30"/>
      <c r="H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23"/>
      <c r="G207" s="30"/>
      <c r="H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23"/>
      <c r="G208" s="30"/>
      <c r="H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23"/>
      <c r="G209" s="30"/>
      <c r="H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23"/>
      <c r="G210" s="30"/>
      <c r="H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23"/>
      <c r="G211" s="30"/>
      <c r="H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23"/>
      <c r="G212" s="30"/>
      <c r="H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23"/>
      <c r="G213" s="30"/>
      <c r="H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23"/>
      <c r="G214" s="30"/>
      <c r="H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23"/>
      <c r="G215" s="30"/>
      <c r="H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23"/>
      <c r="G216" s="30"/>
      <c r="H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23"/>
      <c r="G217" s="30"/>
      <c r="H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23"/>
      <c r="G218" s="30"/>
      <c r="H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23"/>
      <c r="G219" s="30"/>
      <c r="H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23"/>
      <c r="G220" s="30"/>
      <c r="H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23"/>
      <c r="G221" s="30"/>
      <c r="H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23"/>
      <c r="G222" s="30"/>
      <c r="H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23"/>
      <c r="G223" s="30"/>
      <c r="H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23"/>
      <c r="G224" s="30"/>
      <c r="H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23"/>
      <c r="G225" s="30"/>
      <c r="H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23"/>
      <c r="G226" s="30"/>
      <c r="H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23"/>
      <c r="G227" s="30"/>
      <c r="H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23"/>
      <c r="G228" s="30"/>
      <c r="H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23"/>
      <c r="G229" s="30"/>
      <c r="H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23"/>
      <c r="G230" s="30"/>
      <c r="H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23"/>
      <c r="G231" s="30"/>
      <c r="H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23"/>
      <c r="G232" s="30"/>
      <c r="H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23"/>
      <c r="G233" s="30"/>
      <c r="H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23"/>
      <c r="G234" s="30"/>
      <c r="H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23"/>
      <c r="G235" s="30"/>
      <c r="H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23"/>
      <c r="G236" s="30"/>
      <c r="H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23"/>
      <c r="G237" s="30"/>
      <c r="H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23"/>
      <c r="G238" s="30"/>
      <c r="H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23"/>
      <c r="G239" s="30"/>
      <c r="H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23"/>
      <c r="G240" s="30"/>
      <c r="H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23"/>
      <c r="G241" s="30"/>
      <c r="H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23"/>
      <c r="G242" s="30"/>
      <c r="H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23"/>
      <c r="G243" s="30"/>
      <c r="H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23"/>
      <c r="G244" s="30"/>
      <c r="H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23"/>
      <c r="G245" s="30"/>
      <c r="H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23"/>
      <c r="G246" s="30"/>
      <c r="H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23"/>
      <c r="G247" s="30"/>
      <c r="H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23"/>
      <c r="G248" s="30"/>
      <c r="H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23"/>
      <c r="G249" s="30"/>
      <c r="H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23"/>
      <c r="G250" s="30"/>
      <c r="H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23"/>
      <c r="G251" s="30"/>
      <c r="H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23"/>
      <c r="G252" s="30"/>
      <c r="H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23"/>
      <c r="G253" s="30"/>
      <c r="H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23"/>
      <c r="G254" s="30"/>
      <c r="H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23"/>
      <c r="G255" s="30"/>
      <c r="H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23"/>
      <c r="G256" s="30"/>
      <c r="H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23"/>
      <c r="G257" s="30"/>
      <c r="H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23"/>
      <c r="G258" s="30"/>
      <c r="H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23"/>
      <c r="G259" s="30"/>
      <c r="H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23"/>
      <c r="G260" s="30"/>
      <c r="H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23"/>
      <c r="G261" s="30"/>
      <c r="H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23"/>
      <c r="G262" s="30"/>
      <c r="H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23"/>
      <c r="G263" s="30"/>
      <c r="H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23"/>
      <c r="G264" s="30"/>
      <c r="H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23"/>
      <c r="G265" s="30"/>
      <c r="H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23"/>
      <c r="G266" s="30"/>
      <c r="H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23"/>
      <c r="G267" s="30"/>
      <c r="H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23"/>
      <c r="G268" s="30"/>
      <c r="H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23"/>
      <c r="G269" s="30"/>
      <c r="H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23"/>
      <c r="G270" s="30"/>
      <c r="H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23"/>
      <c r="G271" s="30"/>
      <c r="H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23"/>
      <c r="G272" s="30"/>
      <c r="H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23"/>
      <c r="G273" s="30"/>
      <c r="H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23"/>
      <c r="G274" s="30"/>
      <c r="H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23"/>
      <c r="G275" s="30"/>
      <c r="H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23"/>
      <c r="G276" s="30"/>
      <c r="H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23"/>
      <c r="G277" s="30"/>
      <c r="H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23"/>
      <c r="G278" s="30"/>
      <c r="H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23"/>
      <c r="G279" s="30"/>
      <c r="H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23"/>
      <c r="G280" s="30"/>
      <c r="H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23"/>
      <c r="G281" s="30"/>
      <c r="H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23"/>
      <c r="G282" s="30"/>
      <c r="H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23"/>
      <c r="G283" s="30"/>
      <c r="H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23"/>
      <c r="G284" s="30"/>
      <c r="H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23"/>
      <c r="G285" s="30"/>
      <c r="H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23"/>
      <c r="G286" s="30"/>
      <c r="H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23"/>
      <c r="G287" s="30"/>
      <c r="H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23"/>
      <c r="G288" s="30"/>
      <c r="H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23"/>
      <c r="G289" s="30"/>
      <c r="H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23"/>
      <c r="G290" s="30"/>
      <c r="H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23"/>
      <c r="G291" s="30"/>
      <c r="H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23"/>
      <c r="G292" s="30"/>
      <c r="H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23"/>
      <c r="G293" s="30"/>
      <c r="H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23"/>
      <c r="G294" s="30"/>
      <c r="H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23"/>
      <c r="G295" s="30"/>
      <c r="H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23"/>
      <c r="G296" s="30"/>
      <c r="H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23"/>
      <c r="G297" s="30"/>
      <c r="H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23"/>
      <c r="G298" s="30"/>
      <c r="H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23"/>
      <c r="G299" s="30"/>
      <c r="H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23"/>
      <c r="G300" s="30"/>
      <c r="H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23"/>
      <c r="G301" s="30"/>
      <c r="H301" s="9"/>
    </row>
  </sheetData>
  <autoFilter ref="A1:H301"/>
  <conditionalFormatting sqref="A2:A301">
    <cfRule type="expression" priority="2" aboveAverage="0" equalAverage="0" bottom="0" percent="0" rank="0" text="" dxfId="14">
      <formula>AND(A2&lt;&gt;"",COUNTIF($A$2:$A$301,A2)&gt;1)</formula>
    </cfRule>
  </conditionalFormatting>
  <conditionalFormatting sqref="E2:E301">
    <cfRule type="cellIs" priority="3" operator="equal" aboveAverage="0" equalAverage="0" bottom="0" percent="0" rank="0" text="" dxfId="11">
      <formula>"Taller"</formula>
    </cfRule>
    <cfRule type="cellIs" priority="4" operator="equal" aboveAverage="0" equalAverage="0" bottom="0" percent="0" rank="0" text="" dxfId="16">
      <formula>"Fuera de servicio"</formula>
    </cfRule>
  </conditionalFormatting>
  <conditionalFormatting sqref="F2:F301">
    <cfRule type="expression" priority="5" aboveAverage="0" equalAverage="0" bottom="0" percent="0" rank="0" text="" dxfId="16">
      <formula>AND(F2&lt;&gt;"",F2&lt;TODAY()+7)</formula>
    </cfRule>
  </conditionalFormatting>
  <dataValidations count="4">
    <dataValidation allowBlank="true" error="Escribe una fecha válida, por ejemplo 09/10/2026." errorStyle="stop" errorTitle="Falta una fecha" operator="greaterThan" showDropDown="false" showErrorMessage="true" showInputMessage="false" sqref="F2:F301" type="date">
      <formula1>36526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B2:B301" type="list">
      <formula1>Listas!$A$2:$A$4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D2:D301" type="list">
      <formula1>Listas!$F$2:$F$3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E2:E301" type="list">
      <formula1>Listas!$B$2:$B$5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17" t="s">
        <v>133</v>
      </c>
      <c r="B1" s="17" t="s">
        <v>137</v>
      </c>
      <c r="C1" s="17" t="s">
        <v>200</v>
      </c>
      <c r="D1" s="17" t="s">
        <v>236</v>
      </c>
      <c r="E1" s="17" t="s">
        <v>237</v>
      </c>
      <c r="F1" s="17" t="s">
        <v>238</v>
      </c>
    </row>
    <row r="2" customFormat="false" ht="15" hidden="false" customHeight="false" outlineLevel="0" collapsed="false">
      <c r="A2" s="20" t="s">
        <v>148</v>
      </c>
      <c r="B2" s="20" t="s">
        <v>239</v>
      </c>
      <c r="C2" s="20" t="s">
        <v>207</v>
      </c>
      <c r="D2" s="20" t="n">
        <v>24</v>
      </c>
      <c r="E2" s="20" t="n">
        <v>45</v>
      </c>
      <c r="F2" s="20" t="s">
        <v>180</v>
      </c>
    </row>
    <row r="3" customFormat="false" ht="15" hidden="false" customHeight="false" outlineLevel="0" collapsed="false">
      <c r="A3" s="20" t="s">
        <v>152</v>
      </c>
      <c r="B3" s="20" t="s">
        <v>240</v>
      </c>
      <c r="C3" s="20" t="s">
        <v>207</v>
      </c>
      <c r="D3" s="20" t="n">
        <v>22</v>
      </c>
      <c r="E3" s="20" t="n">
        <v>38</v>
      </c>
      <c r="F3" s="20" t="s">
        <v>180</v>
      </c>
    </row>
    <row r="4" customFormat="false" ht="15" hidden="false" customHeight="false" outlineLevel="0" collapsed="false">
      <c r="A4" s="20" t="s">
        <v>163</v>
      </c>
      <c r="B4" s="20" t="s">
        <v>241</v>
      </c>
      <c r="C4" s="20" t="s">
        <v>216</v>
      </c>
      <c r="D4" s="20" t="n">
        <v>18</v>
      </c>
      <c r="E4" s="20" t="n">
        <v>105</v>
      </c>
      <c r="F4" s="20" t="s">
        <v>180</v>
      </c>
    </row>
    <row r="5" customFormat="false" ht="15" hidden="false" customHeight="false" outlineLevel="0" collapsed="false">
      <c r="A5" s="20" t="s">
        <v>157</v>
      </c>
      <c r="B5" s="20" t="s">
        <v>242</v>
      </c>
      <c r="C5" s="20" t="s">
        <v>220</v>
      </c>
      <c r="D5" s="20" t="n">
        <v>8</v>
      </c>
      <c r="E5" s="20" t="n">
        <v>335</v>
      </c>
      <c r="F5" s="20" t="s">
        <v>180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</row>
  </sheetData>
  <autoFilter ref="A1:F301"/>
  <conditionalFormatting sqref="A2:A301">
    <cfRule type="expression" priority="2" aboveAverage="0" equalAverage="0" bottom="0" percent="0" rank="0" text="" dxfId="14">
      <formula>AND(A2&lt;&gt;"",COUNTIF($A$2:$A$301,A2)&gt;1)</formula>
    </cfRule>
  </conditionalFormatting>
  <dataValidations count="2">
    <dataValidation allowBlank="true" error="Elige un valor de la lista." errorStyle="stop" errorTitle="Valor no permitido" operator="between" showDropDown="false" showErrorMessage="true" showInputMessage="false" sqref="C2:C301" type="list">
      <formula1>Listas!$A$2:$A$4</formula1>
      <formula2>0</formula2>
    </dataValidation>
    <dataValidation allowBlank="true" error="Elige un valor de la lista." errorStyle="stop" errorTitle="Valor no permitido" operator="between" showDropDown="false" showErrorMessage="true" showInputMessage="false" sqref="F2:F301" type="list">
      <formula1>Listas!$J$2:$J$3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0"/>
    <col collapsed="false" customWidth="true" hidden="false" outlineLevel="0" max="15" min="15" style="0" width="18"/>
    <col collapsed="false" customWidth="true" hidden="false" outlineLevel="0" max="16" min="16" style="0" width="28"/>
    <col collapsed="false" customWidth="true" hidden="false" outlineLevel="0" max="17" min="17" style="0" width="56"/>
  </cols>
  <sheetData>
    <row r="1" customFormat="false" ht="15" hidden="false" customHeight="false" outlineLevel="0" collapsed="false">
      <c r="A1" s="3" t="s">
        <v>243</v>
      </c>
      <c r="B1" s="3" t="s">
        <v>244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249</v>
      </c>
      <c r="H1" s="3" t="s">
        <v>250</v>
      </c>
      <c r="I1" s="3" t="s">
        <v>181</v>
      </c>
      <c r="J1" s="3" t="s">
        <v>251</v>
      </c>
      <c r="K1" s="3" t="s">
        <v>252</v>
      </c>
      <c r="L1" s="3" t="s">
        <v>253</v>
      </c>
      <c r="M1" s="3" t="s">
        <v>254</v>
      </c>
      <c r="O1" s="3" t="s">
        <v>255</v>
      </c>
      <c r="P1" s="3" t="s">
        <v>256</v>
      </c>
      <c r="Q1" s="3" t="s">
        <v>257</v>
      </c>
    </row>
    <row r="2" customFormat="false" ht="15" hidden="false" customHeight="false" outlineLevel="0" collapsed="false">
      <c r="A2" s="16" t="s">
        <v>207</v>
      </c>
      <c r="B2" s="16" t="s">
        <v>228</v>
      </c>
      <c r="C2" s="16" t="s">
        <v>210</v>
      </c>
      <c r="D2" s="16" t="s">
        <v>209</v>
      </c>
      <c r="E2" s="16" t="s">
        <v>208</v>
      </c>
      <c r="F2" s="16" t="s">
        <v>227</v>
      </c>
      <c r="G2" s="16" t="s">
        <v>155</v>
      </c>
      <c r="H2" s="16" t="s">
        <v>258</v>
      </c>
      <c r="I2" s="16" t="s">
        <v>259</v>
      </c>
      <c r="J2" s="16" t="s">
        <v>180</v>
      </c>
      <c r="K2" s="16" t="s">
        <v>190</v>
      </c>
      <c r="L2" s="16" t="s">
        <v>194</v>
      </c>
      <c r="M2" s="16" t="s">
        <v>192</v>
      </c>
      <c r="O2" s="16" t="s">
        <v>161</v>
      </c>
      <c r="P2" s="16" t="s">
        <v>260</v>
      </c>
      <c r="Q2" s="16" t="s">
        <v>261</v>
      </c>
    </row>
    <row r="3" customFormat="false" ht="15" hidden="false" customHeight="false" outlineLevel="0" collapsed="false">
      <c r="A3" s="16" t="s">
        <v>216</v>
      </c>
      <c r="B3" s="16" t="s">
        <v>235</v>
      </c>
      <c r="C3" s="16" t="s">
        <v>262</v>
      </c>
      <c r="D3" s="16" t="s">
        <v>213</v>
      </c>
      <c r="E3" s="16" t="s">
        <v>217</v>
      </c>
      <c r="F3" s="16" t="s">
        <v>233</v>
      </c>
      <c r="G3" s="16" t="s">
        <v>151</v>
      </c>
      <c r="H3" s="16" t="s">
        <v>177</v>
      </c>
      <c r="I3" s="16" t="s">
        <v>181</v>
      </c>
      <c r="J3" s="16" t="s">
        <v>193</v>
      </c>
      <c r="K3" s="16" t="s">
        <v>195</v>
      </c>
      <c r="L3" s="16" t="s">
        <v>191</v>
      </c>
      <c r="M3" s="16" t="s">
        <v>263</v>
      </c>
      <c r="O3" s="16" t="s">
        <v>264</v>
      </c>
      <c r="P3" s="16" t="s">
        <v>265</v>
      </c>
      <c r="Q3" s="16" t="s">
        <v>266</v>
      </c>
    </row>
    <row r="4" customFormat="false" ht="15" hidden="false" customHeight="false" outlineLevel="0" collapsed="false">
      <c r="A4" s="16" t="s">
        <v>220</v>
      </c>
      <c r="B4" s="16" t="s">
        <v>230</v>
      </c>
      <c r="C4" s="16" t="s">
        <v>267</v>
      </c>
      <c r="D4" s="16" t="s">
        <v>222</v>
      </c>
      <c r="E4" s="16" t="s">
        <v>221</v>
      </c>
      <c r="G4" s="16" t="s">
        <v>166</v>
      </c>
      <c r="H4" s="16" t="s">
        <v>268</v>
      </c>
      <c r="L4" s="16" t="s">
        <v>196</v>
      </c>
      <c r="O4" s="16" t="s">
        <v>269</v>
      </c>
      <c r="P4" s="16" t="s">
        <v>270</v>
      </c>
      <c r="Q4" s="16" t="s">
        <v>271</v>
      </c>
    </row>
    <row r="5" customFormat="false" ht="15" hidden="false" customHeight="false" outlineLevel="0" collapsed="false">
      <c r="B5" s="16" t="s">
        <v>272</v>
      </c>
      <c r="G5" s="16" t="s">
        <v>160</v>
      </c>
      <c r="L5" s="16" t="s">
        <v>273</v>
      </c>
      <c r="O5" s="16" t="s">
        <v>274</v>
      </c>
      <c r="P5" s="16" t="s">
        <v>275</v>
      </c>
      <c r="Q5" s="16" t="s">
        <v>276</v>
      </c>
    </row>
    <row r="6" customFormat="false" ht="15" hidden="false" customHeight="false" outlineLevel="0" collapsed="false">
      <c r="G6" s="16" t="s">
        <v>277</v>
      </c>
      <c r="L6" s="16" t="s">
        <v>278</v>
      </c>
      <c r="O6" s="16" t="s">
        <v>279</v>
      </c>
      <c r="P6" s="16" t="s">
        <v>280</v>
      </c>
      <c r="Q6" s="16" t="s">
        <v>281</v>
      </c>
    </row>
    <row r="7" customFormat="false" ht="15" hidden="false" customHeight="false" outlineLevel="0" collapsed="false">
      <c r="G7" s="16" t="s">
        <v>282</v>
      </c>
      <c r="O7" s="16" t="s">
        <v>283</v>
      </c>
      <c r="P7" s="16" t="s">
        <v>284</v>
      </c>
      <c r="Q7" s="16" t="s">
        <v>285</v>
      </c>
    </row>
    <row r="8" customFormat="false" ht="15" hidden="false" customHeight="false" outlineLevel="0" collapsed="false">
      <c r="O8" s="16" t="s">
        <v>286</v>
      </c>
      <c r="P8" s="16" t="s">
        <v>287</v>
      </c>
      <c r="Q8" s="16" t="s">
        <v>288</v>
      </c>
    </row>
    <row r="9" customFormat="false" ht="15" hidden="false" customHeight="false" outlineLevel="0" collapsed="false">
      <c r="O9" s="16" t="s">
        <v>289</v>
      </c>
      <c r="P9" s="16" t="s">
        <v>290</v>
      </c>
      <c r="Q9" s="16" t="s">
        <v>291</v>
      </c>
    </row>
    <row r="10" customFormat="false" ht="15" hidden="false" customHeight="false" outlineLevel="0" collapsed="false">
      <c r="O10" s="16" t="s">
        <v>292</v>
      </c>
      <c r="P10" s="16" t="s">
        <v>293</v>
      </c>
      <c r="Q10" s="16" t="s">
        <v>294</v>
      </c>
    </row>
    <row r="11" customFormat="false" ht="15" hidden="false" customHeight="false" outlineLevel="0" collapsed="false">
      <c r="O11" s="16" t="s">
        <v>295</v>
      </c>
      <c r="P11" s="16" t="s">
        <v>296</v>
      </c>
      <c r="Q11" s="16" t="s">
        <v>297</v>
      </c>
    </row>
    <row r="12" customFormat="false" ht="15" hidden="false" customHeight="false" outlineLevel="0" collapsed="false">
      <c r="O12" s="16" t="s">
        <v>298</v>
      </c>
      <c r="P12" s="16" t="s">
        <v>299</v>
      </c>
      <c r="Q12" s="16" t="s">
        <v>300</v>
      </c>
    </row>
    <row r="13" customFormat="false" ht="15" hidden="false" customHeight="false" outlineLevel="0" collapsed="false">
      <c r="O13" s="16" t="s">
        <v>301</v>
      </c>
      <c r="P13" s="16" t="s">
        <v>302</v>
      </c>
      <c r="Q13" s="16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2026-10-09T06:24:58Z</dcterms:created>
  <dc:creator>openpyxl</dc:creator>
  <dc:description/>
  <dc:language>en-US</dc:language>
  <cp:lastModifiedBy/>
  <dcterms:modified xsi:type="dcterms:W3CDTF">2026-10-09T06:25:01Z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